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5.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tables/table6.xml" ContentType="application/vnd.openxmlformats-officedocument.spreadsheetml.table+xml"/>
  <Override PartName="/xl/slicers/slicer2.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Public\Downloads\"/>
    </mc:Choice>
  </mc:AlternateContent>
  <xr:revisionPtr revIDLastSave="0" documentId="13_ncr:1_{14E525E6-C70D-4F8E-AD43-324FDDAA684F}" xr6:coauthVersionLast="47" xr6:coauthVersionMax="47" xr10:uidLastSave="{00000000-0000-0000-0000-000000000000}"/>
  <bookViews>
    <workbookView xWindow="-120" yWindow="-120" windowWidth="20730" windowHeight="11760" xr2:uid="{DE4BB78B-B23C-4CE8-9A6A-2F33012050E0}"/>
  </bookViews>
  <sheets>
    <sheet name="RawData" sheetId="1" r:id="rId1"/>
    <sheet name="BabycareClean" sheetId="6" r:id="rId2"/>
    <sheet name="data segregation" sheetId="5" state="hidden" r:id="rId3"/>
    <sheet name="Mgf" sheetId="7" r:id="rId4"/>
    <sheet name="pivot by mfg." sheetId="8" state="hidden" r:id="rId5"/>
    <sheet name="Brand" sheetId="10" r:id="rId6"/>
    <sheet name="pivot brand" sheetId="11" state="hidden" r:id="rId7"/>
    <sheet name="productdetails" sheetId="3" r:id="rId8"/>
    <sheet name="Vol_size" sheetId="14" state="hidden" r:id="rId9"/>
    <sheet name="pivot perf care" sheetId="13" state="hidden" r:id="rId10"/>
    <sheet name="Market share" sheetId="18" state="hidden" r:id="rId11"/>
    <sheet name="Dashboard" sheetId="16" r:id="rId12"/>
  </sheets>
  <definedNames>
    <definedName name="_xlnm._FilterDatabase" localSheetId="1" hidden="1">BabycareClean!$L$12:$L$826</definedName>
    <definedName name="_xlnm._FilterDatabase" localSheetId="3" hidden="1">Mgf!$N$6:$N$7</definedName>
    <definedName name="_xlnm._FilterDatabase" localSheetId="0" hidden="1">RawData!$A$3:$K$820</definedName>
    <definedName name="_xlcn.WorksheetConnection_Baby_Care_sourceDA1.xlsxBabycareRaw1" hidden="1">BabycareRaw[]</definedName>
    <definedName name="Slicer_BRAND">#N/A</definedName>
    <definedName name="Slicer_BRAND1">#N/A</definedName>
    <definedName name="Slicer_MANUFACTURER2">#N/A</definedName>
    <definedName name="Slicer_PACKAGE_SIZE1">#N/A</definedName>
    <definedName name="Slicer_PACKAGE_SIZE2">#N/A</definedName>
    <definedName name="Slicer_Package_Type">#N/A</definedName>
    <definedName name="Slicer_PACKAGE_TYPE1">#N/A</definedName>
    <definedName name="Slicer_PROTECTION___CARE">#N/A</definedName>
    <definedName name="Slicer_Protection_Care">#N/A</definedName>
    <definedName name="solver_eng" localSheetId="8" hidden="1">1</definedName>
    <definedName name="solver_neg" localSheetId="8" hidden="1">1</definedName>
    <definedName name="solver_num" localSheetId="8" hidden="1">0</definedName>
    <definedName name="solver_opt" localSheetId="8" hidden="1">Vol_size!$A$3</definedName>
    <definedName name="solver_typ" localSheetId="8" hidden="1">1</definedName>
    <definedName name="solver_val" localSheetId="8" hidden="1">0</definedName>
    <definedName name="solver_ver" localSheetId="8" hidden="1">3</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s>
  <extLst>
    <ext xmlns:x14="http://schemas.microsoft.com/office/spreadsheetml/2009/9/main" uri="{876F7934-8845-4945-9796-88D515C7AA90}">
      <x14:pivotCaches>
        <pivotCache cacheId="8" r:id="rId21"/>
        <pivotCache cacheId="9" r:id="rId22"/>
      </x14:pivotCaches>
    </ex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8"/>
        <x14:slicerCache r:id="rId29"/>
        <x14:slicerCache r:id="rId30"/>
        <x14:slicerCache r:id="rId31"/>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abycareRaw" name="BabycareRaw" connection="WorksheetConnection_Baby_Care_sourceDA1.xlsx!BabycareRaw"/>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6" l="1"/>
  <c r="C4" i="16"/>
  <c r="F2" i="16"/>
  <c r="F3" i="16"/>
  <c r="C3" i="16"/>
  <c r="C2" i="16"/>
  <c r="Q7" i="3"/>
  <c r="Q8" i="3"/>
  <c r="Q9" i="3"/>
  <c r="Q10" i="3"/>
  <c r="Q11" i="3"/>
  <c r="Q443" i="3"/>
  <c r="Q13" i="3"/>
  <c r="Q14" i="3"/>
  <c r="Q15" i="3"/>
  <c r="Q16" i="3"/>
  <c r="Q17" i="3"/>
  <c r="Q18" i="3"/>
  <c r="Q19" i="3"/>
  <c r="Q20" i="3"/>
  <c r="Q21" i="3"/>
  <c r="Q22" i="3"/>
  <c r="Q23" i="3"/>
  <c r="Q24" i="3"/>
  <c r="Q25" i="3"/>
  <c r="Q26" i="3"/>
  <c r="Q27" i="3"/>
  <c r="Q28" i="3"/>
  <c r="Q29" i="3"/>
  <c r="Q30" i="3"/>
  <c r="Q404" i="3"/>
  <c r="Q32" i="3"/>
  <c r="Q33" i="3"/>
  <c r="Q12"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161"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31" i="3"/>
  <c r="Q162" i="3"/>
  <c r="Q163" i="3"/>
  <c r="Q164" i="3"/>
  <c r="Q165" i="3"/>
  <c r="Q166" i="3"/>
  <c r="Q167" i="3"/>
  <c r="Q168" i="3"/>
  <c r="Q169" i="3"/>
  <c r="Q170" i="3"/>
  <c r="Q442" i="3"/>
  <c r="Q172" i="3"/>
  <c r="Q173" i="3"/>
  <c r="Q174" i="3"/>
  <c r="Q175" i="3"/>
  <c r="Q176" i="3"/>
  <c r="Q177" i="3"/>
  <c r="Q178" i="3"/>
  <c r="Q179" i="3"/>
  <c r="Q180" i="3"/>
  <c r="Q181" i="3"/>
  <c r="Q182" i="3"/>
  <c r="Q183" i="3"/>
  <c r="Q184" i="3"/>
  <c r="Q185" i="3"/>
  <c r="Q186" i="3"/>
  <c r="Q187" i="3"/>
  <c r="Q188" i="3"/>
  <c r="Q189" i="3"/>
  <c r="Q190" i="3"/>
  <c r="Q191" i="3"/>
  <c r="Q192" i="3"/>
  <c r="Q193" i="3"/>
  <c r="Q171" i="3"/>
  <c r="Q195" i="3"/>
  <c r="Q196" i="3"/>
  <c r="Q197" i="3"/>
  <c r="Q198" i="3"/>
  <c r="Q79" i="3"/>
  <c r="Q200" i="3"/>
  <c r="Q201" i="3"/>
  <c r="Q202" i="3"/>
  <c r="Q203" i="3"/>
  <c r="Q204" i="3"/>
  <c r="Q205" i="3"/>
  <c r="Q206" i="3"/>
  <c r="Q207" i="3"/>
  <c r="Q208" i="3"/>
  <c r="Q209" i="3"/>
  <c r="Q210" i="3"/>
  <c r="Q211" i="3"/>
  <c r="Q212" i="3"/>
  <c r="Q213" i="3"/>
  <c r="Q214" i="3"/>
  <c r="Q215" i="3"/>
  <c r="Q216" i="3"/>
  <c r="Q217" i="3"/>
  <c r="Q218" i="3"/>
  <c r="Q363"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79" i="3"/>
  <c r="Q364" i="3"/>
  <c r="Q365" i="3"/>
  <c r="Q366" i="3"/>
  <c r="Q367" i="3"/>
  <c r="Q368" i="3"/>
  <c r="Q369" i="3"/>
  <c r="Q370" i="3"/>
  <c r="Q371" i="3"/>
  <c r="Q372" i="3"/>
  <c r="Q373" i="3"/>
  <c r="Q374" i="3"/>
  <c r="Q34" i="3"/>
  <c r="Q376" i="3"/>
  <c r="Q377" i="3"/>
  <c r="Q482" i="3"/>
  <c r="Q199" i="3"/>
  <c r="Q380" i="3"/>
  <c r="Q381" i="3"/>
  <c r="Q382" i="3"/>
  <c r="Q383" i="3"/>
  <c r="Q384" i="3"/>
  <c r="Q385" i="3"/>
  <c r="Q386" i="3"/>
  <c r="Q387" i="3"/>
  <c r="Q388" i="3"/>
  <c r="Q389" i="3"/>
  <c r="Q390" i="3"/>
  <c r="Q391" i="3"/>
  <c r="Q392" i="3"/>
  <c r="Q393" i="3"/>
  <c r="Q394" i="3"/>
  <c r="Q395" i="3"/>
  <c r="Q396" i="3"/>
  <c r="Q397" i="3"/>
  <c r="Q375" i="3"/>
  <c r="Q399" i="3"/>
  <c r="Q400" i="3"/>
  <c r="Q401" i="3"/>
  <c r="Q402" i="3"/>
  <c r="Q403" i="3"/>
  <c r="Q398"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194" i="3"/>
  <c r="Q219"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92" i="3"/>
  <c r="Q483" i="3"/>
  <c r="Q484" i="3"/>
  <c r="Q485" i="3"/>
  <c r="Q486" i="3"/>
  <c r="Q487" i="3"/>
  <c r="Q488" i="3"/>
  <c r="Q489" i="3"/>
  <c r="Q490" i="3"/>
  <c r="Q491" i="3"/>
  <c r="Q378"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P7" i="3"/>
  <c r="P8" i="3"/>
  <c r="P9" i="3"/>
  <c r="P10" i="3"/>
  <c r="P11" i="3"/>
  <c r="P443" i="3"/>
  <c r="P13" i="3"/>
  <c r="P14" i="3"/>
  <c r="P15" i="3"/>
  <c r="P16" i="3"/>
  <c r="P17" i="3"/>
  <c r="P18" i="3"/>
  <c r="P19" i="3"/>
  <c r="P20" i="3"/>
  <c r="P21" i="3"/>
  <c r="P22" i="3"/>
  <c r="P23" i="3"/>
  <c r="P24" i="3"/>
  <c r="P25" i="3"/>
  <c r="P26" i="3"/>
  <c r="P27" i="3"/>
  <c r="P28" i="3"/>
  <c r="P29" i="3"/>
  <c r="P30" i="3"/>
  <c r="P404" i="3"/>
  <c r="P32" i="3"/>
  <c r="P33" i="3"/>
  <c r="P12"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161"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31" i="3"/>
  <c r="P162" i="3"/>
  <c r="P163" i="3"/>
  <c r="P164" i="3"/>
  <c r="P165" i="3"/>
  <c r="P166" i="3"/>
  <c r="P167" i="3"/>
  <c r="P168" i="3"/>
  <c r="P169" i="3"/>
  <c r="P170" i="3"/>
  <c r="P442" i="3"/>
  <c r="P172" i="3"/>
  <c r="P173" i="3"/>
  <c r="P174" i="3"/>
  <c r="P175" i="3"/>
  <c r="P176" i="3"/>
  <c r="P177" i="3"/>
  <c r="P178" i="3"/>
  <c r="P179" i="3"/>
  <c r="P180" i="3"/>
  <c r="P181" i="3"/>
  <c r="P182" i="3"/>
  <c r="P183" i="3"/>
  <c r="P184" i="3"/>
  <c r="P185" i="3"/>
  <c r="P186" i="3"/>
  <c r="P187" i="3"/>
  <c r="P188" i="3"/>
  <c r="P189" i="3"/>
  <c r="P190" i="3"/>
  <c r="P191" i="3"/>
  <c r="P192" i="3"/>
  <c r="P193" i="3"/>
  <c r="P171" i="3"/>
  <c r="P195" i="3"/>
  <c r="P196" i="3"/>
  <c r="P197" i="3"/>
  <c r="P198" i="3"/>
  <c r="P79" i="3"/>
  <c r="P200" i="3"/>
  <c r="P201" i="3"/>
  <c r="P202" i="3"/>
  <c r="P203" i="3"/>
  <c r="P204" i="3"/>
  <c r="P205" i="3"/>
  <c r="P206" i="3"/>
  <c r="P207" i="3"/>
  <c r="P208" i="3"/>
  <c r="P209" i="3"/>
  <c r="P210" i="3"/>
  <c r="P211" i="3"/>
  <c r="P212" i="3"/>
  <c r="P213" i="3"/>
  <c r="P214" i="3"/>
  <c r="P215" i="3"/>
  <c r="P216" i="3"/>
  <c r="P217" i="3"/>
  <c r="P218" i="3"/>
  <c r="P363"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79" i="3"/>
  <c r="R379" i="3" s="1"/>
  <c r="P364" i="3"/>
  <c r="P365" i="3"/>
  <c r="P366" i="3"/>
  <c r="P367" i="3"/>
  <c r="P368" i="3"/>
  <c r="P369" i="3"/>
  <c r="P370" i="3"/>
  <c r="P371" i="3"/>
  <c r="P372" i="3"/>
  <c r="P373" i="3"/>
  <c r="P374" i="3"/>
  <c r="P34" i="3"/>
  <c r="P376" i="3"/>
  <c r="P377" i="3"/>
  <c r="P482" i="3"/>
  <c r="P199" i="3"/>
  <c r="P380" i="3"/>
  <c r="P381" i="3"/>
  <c r="P382" i="3"/>
  <c r="P383" i="3"/>
  <c r="P384" i="3"/>
  <c r="P385" i="3"/>
  <c r="P386" i="3"/>
  <c r="P387" i="3"/>
  <c r="P388" i="3"/>
  <c r="P389" i="3"/>
  <c r="P390" i="3"/>
  <c r="P391" i="3"/>
  <c r="P392" i="3"/>
  <c r="P393" i="3"/>
  <c r="P394" i="3"/>
  <c r="P395" i="3"/>
  <c r="P396" i="3"/>
  <c r="P397" i="3"/>
  <c r="P375" i="3"/>
  <c r="P399" i="3"/>
  <c r="P400" i="3"/>
  <c r="P401" i="3"/>
  <c r="P402" i="3"/>
  <c r="P403" i="3"/>
  <c r="P398"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194" i="3"/>
  <c r="P219"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92" i="3"/>
  <c r="P483" i="3"/>
  <c r="P484" i="3"/>
  <c r="P485" i="3"/>
  <c r="P486" i="3"/>
  <c r="P487" i="3"/>
  <c r="P488" i="3"/>
  <c r="P489" i="3"/>
  <c r="P490" i="3"/>
  <c r="P491" i="3"/>
  <c r="P378"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R531" i="3" s="1"/>
  <c r="P532" i="3"/>
  <c r="P533" i="3"/>
  <c r="P534" i="3"/>
  <c r="P535" i="3"/>
  <c r="P536" i="3"/>
  <c r="P537" i="3"/>
  <c r="P538" i="3"/>
  <c r="P539" i="3"/>
  <c r="P540" i="3"/>
  <c r="P541" i="3"/>
  <c r="P542" i="3"/>
  <c r="P543" i="3"/>
  <c r="P544" i="3"/>
  <c r="P545" i="3"/>
  <c r="P546" i="3"/>
  <c r="P547" i="3"/>
  <c r="P548" i="3"/>
  <c r="P549" i="3"/>
  <c r="P550" i="3"/>
  <c r="P551" i="3"/>
  <c r="P552" i="3"/>
  <c r="P553" i="3"/>
  <c r="P554" i="3"/>
  <c r="P555" i="3"/>
  <c r="P556" i="3"/>
  <c r="Q6" i="3"/>
  <c r="P6" i="3"/>
  <c r="R3" i="3"/>
  <c r="Q3" i="3"/>
  <c r="R2" i="3" s="1"/>
  <c r="P3" i="3"/>
  <c r="K2" i="3"/>
  <c r="N2" i="3" s="1"/>
  <c r="J2" i="3"/>
  <c r="M2" i="3" s="1"/>
  <c r="H2" i="3"/>
  <c r="G2" i="3"/>
  <c r="M114" i="10"/>
  <c r="L8" i="10"/>
  <c r="L9" i="10"/>
  <c r="L10" i="10"/>
  <c r="L11" i="10"/>
  <c r="L12" i="10"/>
  <c r="L13" i="10"/>
  <c r="L14" i="10"/>
  <c r="L15" i="10"/>
  <c r="L16" i="10"/>
  <c r="L17" i="10"/>
  <c r="L18" i="10"/>
  <c r="L19" i="10"/>
  <c r="L20" i="10"/>
  <c r="L21" i="10"/>
  <c r="L22" i="10"/>
  <c r="L23" i="10"/>
  <c r="L24" i="10"/>
  <c r="L25" i="10"/>
  <c r="L26" i="10"/>
  <c r="L7" i="10"/>
  <c r="K8" i="10"/>
  <c r="K9" i="10"/>
  <c r="M9" i="10" s="1"/>
  <c r="K10" i="10"/>
  <c r="K11" i="10"/>
  <c r="K12" i="10"/>
  <c r="M12" i="10" s="1"/>
  <c r="K13" i="10"/>
  <c r="K14" i="10"/>
  <c r="K15" i="10"/>
  <c r="M15" i="10" s="1"/>
  <c r="K16" i="10"/>
  <c r="K17" i="10"/>
  <c r="M17" i="10" s="1"/>
  <c r="K18" i="10"/>
  <c r="K19" i="10"/>
  <c r="K20" i="10"/>
  <c r="M20" i="10" s="1"/>
  <c r="K21" i="10"/>
  <c r="K22" i="10"/>
  <c r="K23" i="10"/>
  <c r="M23" i="10" s="1"/>
  <c r="K24" i="10"/>
  <c r="K25" i="10"/>
  <c r="M25" i="10" s="1"/>
  <c r="K26" i="10"/>
  <c r="K7" i="10"/>
  <c r="N8" i="7"/>
  <c r="N9" i="7"/>
  <c r="N10" i="7"/>
  <c r="N11" i="7"/>
  <c r="N12" i="7"/>
  <c r="N13" i="7"/>
  <c r="N14" i="7"/>
  <c r="N15" i="7"/>
  <c r="N16" i="7"/>
  <c r="N17" i="7"/>
  <c r="N18" i="7"/>
  <c r="N19" i="7"/>
  <c r="N20" i="7"/>
  <c r="N21" i="7"/>
  <c r="N22" i="7"/>
  <c r="N23" i="7"/>
  <c r="N24" i="7"/>
  <c r="N25" i="7"/>
  <c r="N26" i="7"/>
  <c r="N7" i="7"/>
  <c r="M8" i="7"/>
  <c r="M9" i="7"/>
  <c r="M10" i="7"/>
  <c r="M11" i="7"/>
  <c r="M12" i="7"/>
  <c r="M13" i="7"/>
  <c r="M14" i="7"/>
  <c r="M15" i="7"/>
  <c r="M16" i="7"/>
  <c r="M17" i="7"/>
  <c r="M18" i="7"/>
  <c r="M19" i="7"/>
  <c r="M20" i="7"/>
  <c r="M21" i="7"/>
  <c r="M22" i="7"/>
  <c r="M23" i="7"/>
  <c r="M24" i="7"/>
  <c r="M25" i="7"/>
  <c r="M26" i="7"/>
  <c r="M7"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O4" i="10"/>
  <c r="N4" i="10"/>
  <c r="M4" i="10"/>
  <c r="N3" i="10" s="1"/>
  <c r="H3" i="10"/>
  <c r="G3" i="10"/>
  <c r="E3" i="10"/>
  <c r="D3" i="10"/>
  <c r="I7" i="10"/>
  <c r="N4" i="7"/>
  <c r="O4" i="7"/>
  <c r="M4" i="7"/>
  <c r="H3" i="7"/>
  <c r="G3" i="7"/>
  <c r="L8" i="7"/>
  <c r="L9" i="7"/>
  <c r="L10" i="7"/>
  <c r="L11" i="7"/>
  <c r="L12" i="7"/>
  <c r="L13" i="7"/>
  <c r="L14" i="7"/>
  <c r="L15" i="7"/>
  <c r="L16" i="7"/>
  <c r="L17" i="7"/>
  <c r="L18" i="7"/>
  <c r="L19" i="7"/>
  <c r="L20" i="7"/>
  <c r="L21" i="7"/>
  <c r="L22" i="7"/>
  <c r="L23" i="7"/>
  <c r="L24" i="7"/>
  <c r="L25" i="7"/>
  <c r="L26" i="7"/>
  <c r="L7"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E3" i="7"/>
  <c r="D3" i="7"/>
  <c r="C5" i="16" s="1"/>
  <c r="I76" i="7"/>
  <c r="K76" i="7" s="1"/>
  <c r="I80" i="7"/>
  <c r="K80" i="7" s="1"/>
  <c r="I29" i="7"/>
  <c r="K29" i="7" s="1"/>
  <c r="I24" i="7"/>
  <c r="K24" i="7" s="1"/>
  <c r="I30" i="7"/>
  <c r="K30" i="7" s="1"/>
  <c r="I32" i="7"/>
  <c r="K32" i="7" s="1"/>
  <c r="I56" i="7"/>
  <c r="K56" i="7" s="1"/>
  <c r="I38" i="7"/>
  <c r="K38" i="7" s="1"/>
  <c r="I90" i="7"/>
  <c r="K90" i="7" s="1"/>
  <c r="I25" i="7"/>
  <c r="K25" i="7" s="1"/>
  <c r="I41" i="7"/>
  <c r="K41" i="7" s="1"/>
  <c r="I43" i="7"/>
  <c r="K43" i="7" s="1"/>
  <c r="I54" i="7"/>
  <c r="K54" i="7" s="1"/>
  <c r="I55" i="7"/>
  <c r="K55" i="7" s="1"/>
  <c r="I59" i="7"/>
  <c r="K59" i="7" s="1"/>
  <c r="I65" i="7"/>
  <c r="K65" i="7" s="1"/>
  <c r="I71" i="7"/>
  <c r="K71" i="7" s="1"/>
  <c r="I79" i="7"/>
  <c r="K79" i="7" s="1"/>
  <c r="I81" i="7"/>
  <c r="K81" i="7" s="1"/>
  <c r="I84" i="7"/>
  <c r="K84" i="7" s="1"/>
  <c r="I85" i="7"/>
  <c r="K85" i="7" s="1"/>
  <c r="I94" i="7"/>
  <c r="K94" i="7" s="1"/>
  <c r="I95" i="7"/>
  <c r="K95" i="7" s="1"/>
  <c r="I97" i="7"/>
  <c r="K97" i="7" s="1"/>
  <c r="I98" i="7"/>
  <c r="K98" i="7" s="1"/>
  <c r="I102" i="7"/>
  <c r="K102" i="7" s="1"/>
  <c r="I104" i="7"/>
  <c r="K104" i="7" s="1"/>
  <c r="I105" i="7"/>
  <c r="K105" i="7" s="1"/>
  <c r="I106" i="7"/>
  <c r="K106" i="7" s="1"/>
  <c r="I107" i="7"/>
  <c r="K107" i="7" s="1"/>
  <c r="I108" i="7"/>
  <c r="K108" i="7" s="1"/>
  <c r="I109" i="7"/>
  <c r="K109" i="7" s="1"/>
  <c r="I110" i="7"/>
  <c r="K110" i="7" s="1"/>
  <c r="I111" i="7"/>
  <c r="K111" i="7" s="1"/>
  <c r="I112" i="7"/>
  <c r="K112" i="7" s="1"/>
  <c r="I113" i="7"/>
  <c r="K113" i="7" s="1"/>
  <c r="I82" i="7"/>
  <c r="K82" i="7" s="1"/>
  <c r="I52" i="7"/>
  <c r="K52" i="7" s="1"/>
  <c r="I13" i="7"/>
  <c r="K13" i="7" s="1"/>
  <c r="I40" i="7"/>
  <c r="K40" i="7" s="1"/>
  <c r="I49" i="7"/>
  <c r="K49" i="7" s="1"/>
  <c r="I53" i="7"/>
  <c r="K53" i="7" s="1"/>
  <c r="I8" i="7"/>
  <c r="K8" i="7" s="1"/>
  <c r="I18" i="7"/>
  <c r="K18" i="7" s="1"/>
  <c r="I17" i="7"/>
  <c r="K17" i="7" s="1"/>
  <c r="I20" i="7"/>
  <c r="K20" i="7" s="1"/>
  <c r="I21" i="7"/>
  <c r="K21" i="7" s="1"/>
  <c r="I12" i="7"/>
  <c r="K12" i="7" s="1"/>
  <c r="I11" i="7"/>
  <c r="K11" i="7" s="1"/>
  <c r="I14" i="7"/>
  <c r="K14" i="7" s="1"/>
  <c r="I48" i="7"/>
  <c r="K48" i="7" s="1"/>
  <c r="I7" i="7"/>
  <c r="K7" i="7" s="1"/>
  <c r="I19" i="7"/>
  <c r="K19" i="7" s="1"/>
  <c r="I42" i="7"/>
  <c r="K42" i="7" s="1"/>
  <c r="I36" i="7"/>
  <c r="K36" i="7" s="1"/>
  <c r="I70" i="7"/>
  <c r="K70" i="7" s="1"/>
  <c r="I26" i="7"/>
  <c r="K26" i="7" s="1"/>
  <c r="I27" i="7"/>
  <c r="K27" i="7" s="1"/>
  <c r="I28" i="7"/>
  <c r="K28" i="7" s="1"/>
  <c r="I10" i="7"/>
  <c r="K10" i="7" s="1"/>
  <c r="I45" i="7"/>
  <c r="K45" i="7" s="1"/>
  <c r="I47" i="7"/>
  <c r="K47" i="7" s="1"/>
  <c r="I16" i="7"/>
  <c r="K16" i="7" s="1"/>
  <c r="I9" i="7"/>
  <c r="K9" i="7" s="1"/>
  <c r="I39" i="7"/>
  <c r="K39" i="7" s="1"/>
  <c r="I86" i="7"/>
  <c r="K86" i="7" s="1"/>
  <c r="I77" i="7"/>
  <c r="K77" i="7" s="1"/>
  <c r="I72" i="7"/>
  <c r="K72" i="7" s="1"/>
  <c r="I50" i="7"/>
  <c r="K50" i="7" s="1"/>
  <c r="I23" i="7"/>
  <c r="K23" i="7" s="1"/>
  <c r="I33" i="7"/>
  <c r="K33" i="7" s="1"/>
  <c r="I73" i="7"/>
  <c r="K73" i="7" s="1"/>
  <c r="I15" i="7"/>
  <c r="K15" i="7" s="1"/>
  <c r="I46" i="7"/>
  <c r="K46" i="7" s="1"/>
  <c r="I34" i="7"/>
  <c r="K34" i="7" s="1"/>
  <c r="I37" i="7"/>
  <c r="K37" i="7" s="1"/>
  <c r="I35" i="7"/>
  <c r="K35" i="7" s="1"/>
  <c r="I22" i="7"/>
  <c r="K22" i="7" s="1"/>
  <c r="I68" i="7"/>
  <c r="K68" i="7" s="1"/>
  <c r="I31" i="7"/>
  <c r="K31" i="7" s="1"/>
  <c r="I44" i="7"/>
  <c r="K44" i="7" s="1"/>
  <c r="I75" i="7"/>
  <c r="K75" i="7" s="1"/>
  <c r="I87" i="7"/>
  <c r="K87" i="7" s="1"/>
  <c r="I60" i="7"/>
  <c r="K60" i="7" s="1"/>
  <c r="I92" i="7"/>
  <c r="K92" i="7" s="1"/>
  <c r="I51" i="7"/>
  <c r="K51" i="7" s="1"/>
  <c r="I61" i="7"/>
  <c r="K61" i="7" s="1"/>
  <c r="I88" i="7"/>
  <c r="K88" i="7" s="1"/>
  <c r="I66" i="7"/>
  <c r="K66" i="7" s="1"/>
  <c r="I58" i="7"/>
  <c r="K58" i="7" s="1"/>
  <c r="I96" i="7"/>
  <c r="K96" i="7" s="1"/>
  <c r="I57" i="7"/>
  <c r="K57" i="7" s="1"/>
  <c r="I74" i="7"/>
  <c r="K74" i="7" s="1"/>
  <c r="I89" i="7"/>
  <c r="K89" i="7" s="1"/>
  <c r="I78" i="7"/>
  <c r="K78" i="7" s="1"/>
  <c r="I67" i="7"/>
  <c r="K67" i="7" s="1"/>
  <c r="I64" i="7"/>
  <c r="K64" i="7" s="1"/>
  <c r="I62" i="7"/>
  <c r="K62" i="7" s="1"/>
  <c r="I63" i="7"/>
  <c r="K63" i="7" s="1"/>
  <c r="I69" i="7"/>
  <c r="K69" i="7" s="1"/>
  <c r="I83" i="7"/>
  <c r="K83" i="7" s="1"/>
  <c r="I91" i="7"/>
  <c r="K91" i="7" s="1"/>
  <c r="I93" i="7"/>
  <c r="K93" i="7" s="1"/>
  <c r="I99" i="7"/>
  <c r="K99" i="7" s="1"/>
  <c r="I100" i="7"/>
  <c r="K100" i="7" s="1"/>
  <c r="I101" i="7"/>
  <c r="K101" i="7" s="1"/>
  <c r="I103" i="7"/>
  <c r="K103" i="7" s="1"/>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K27" i="10"/>
  <c r="M27" i="10" s="1"/>
  <c r="K28" i="10"/>
  <c r="K29" i="10"/>
  <c r="M29" i="10" s="1"/>
  <c r="K30" i="10"/>
  <c r="M30" i="10" s="1"/>
  <c r="K31" i="10"/>
  <c r="M31" i="10" s="1"/>
  <c r="K32" i="10"/>
  <c r="M32" i="10" s="1"/>
  <c r="K33" i="10"/>
  <c r="K34" i="10"/>
  <c r="M34" i="10" s="1"/>
  <c r="K35" i="10"/>
  <c r="M35" i="10" s="1"/>
  <c r="K36" i="10"/>
  <c r="K37" i="10"/>
  <c r="M37" i="10" s="1"/>
  <c r="K38" i="10"/>
  <c r="M38" i="10" s="1"/>
  <c r="K39" i="10"/>
  <c r="M39" i="10" s="1"/>
  <c r="K40" i="10"/>
  <c r="K41" i="10"/>
  <c r="K42" i="10"/>
  <c r="M42" i="10" s="1"/>
  <c r="K43" i="10"/>
  <c r="M43" i="10" s="1"/>
  <c r="K44" i="10"/>
  <c r="K45" i="10"/>
  <c r="M45" i="10" s="1"/>
  <c r="K46" i="10"/>
  <c r="M46" i="10" s="1"/>
  <c r="K47" i="10"/>
  <c r="M47" i="10" s="1"/>
  <c r="K48" i="10"/>
  <c r="K49" i="10"/>
  <c r="K50" i="10"/>
  <c r="M50" i="10" s="1"/>
  <c r="K51" i="10"/>
  <c r="M51" i="10" s="1"/>
  <c r="K52" i="10"/>
  <c r="K53" i="10"/>
  <c r="M53" i="10" s="1"/>
  <c r="K54" i="10"/>
  <c r="M54" i="10" s="1"/>
  <c r="K55" i="10"/>
  <c r="M55" i="10" s="1"/>
  <c r="K56" i="10"/>
  <c r="M56" i="10" s="1"/>
  <c r="K57" i="10"/>
  <c r="K58" i="10"/>
  <c r="M58" i="10" s="1"/>
  <c r="K59" i="10"/>
  <c r="M59" i="10" s="1"/>
  <c r="K60" i="10"/>
  <c r="K61" i="10"/>
  <c r="M61" i="10" s="1"/>
  <c r="K62" i="10"/>
  <c r="M62" i="10" s="1"/>
  <c r="K63" i="10"/>
  <c r="M63" i="10" s="1"/>
  <c r="K64" i="10"/>
  <c r="M64" i="10" s="1"/>
  <c r="K65" i="10"/>
  <c r="K66" i="10"/>
  <c r="M66" i="10" s="1"/>
  <c r="K67" i="10"/>
  <c r="M67" i="10" s="1"/>
  <c r="K68" i="10"/>
  <c r="K69" i="10"/>
  <c r="M69" i="10" s="1"/>
  <c r="K70" i="10"/>
  <c r="M70" i="10" s="1"/>
  <c r="K71" i="10"/>
  <c r="M71" i="10" s="1"/>
  <c r="K72" i="10"/>
  <c r="K73" i="10"/>
  <c r="K74" i="10"/>
  <c r="M74" i="10" s="1"/>
  <c r="K75" i="10"/>
  <c r="M75" i="10" s="1"/>
  <c r="K76" i="10"/>
  <c r="K77" i="10"/>
  <c r="M77" i="10" s="1"/>
  <c r="K78" i="10"/>
  <c r="M78" i="10" s="1"/>
  <c r="K79" i="10"/>
  <c r="M79" i="10" s="1"/>
  <c r="K80" i="10"/>
  <c r="K81" i="10"/>
  <c r="K82" i="10"/>
  <c r="M82" i="10" s="1"/>
  <c r="K83" i="10"/>
  <c r="M83" i="10" s="1"/>
  <c r="K84" i="10"/>
  <c r="K85" i="10"/>
  <c r="M85" i="10" s="1"/>
  <c r="K86" i="10"/>
  <c r="M86" i="10" s="1"/>
  <c r="K87" i="10"/>
  <c r="M87" i="10" s="1"/>
  <c r="K88" i="10"/>
  <c r="M88" i="10" s="1"/>
  <c r="K89" i="10"/>
  <c r="K90" i="10"/>
  <c r="M90" i="10" s="1"/>
  <c r="K91" i="10"/>
  <c r="M91" i="10" s="1"/>
  <c r="K92" i="10"/>
  <c r="K93" i="10"/>
  <c r="M93" i="10" s="1"/>
  <c r="K94" i="10"/>
  <c r="M94" i="10" s="1"/>
  <c r="K95" i="10"/>
  <c r="M95" i="10" s="1"/>
  <c r="K96" i="10"/>
  <c r="M96" i="10" s="1"/>
  <c r="K97" i="10"/>
  <c r="K98" i="10"/>
  <c r="M98" i="10" s="1"/>
  <c r="K99" i="10"/>
  <c r="M99" i="10" s="1"/>
  <c r="K100" i="10"/>
  <c r="K101" i="10"/>
  <c r="M101" i="10" s="1"/>
  <c r="K102" i="10"/>
  <c r="M102" i="10" s="1"/>
  <c r="K103" i="10"/>
  <c r="M103" i="10" s="1"/>
  <c r="K104" i="10"/>
  <c r="K105" i="10"/>
  <c r="K106" i="10"/>
  <c r="M106" i="10" s="1"/>
  <c r="K107" i="10"/>
  <c r="M107" i="10" s="1"/>
  <c r="K108" i="10"/>
  <c r="K109" i="10"/>
  <c r="M109" i="10" s="1"/>
  <c r="K110" i="10"/>
  <c r="M110" i="10" s="1"/>
  <c r="K111" i="10"/>
  <c r="M111" i="10" s="1"/>
  <c r="K112" i="10"/>
  <c r="K113" i="10"/>
  <c r="K114" i="10"/>
  <c r="K115" i="10"/>
  <c r="M115" i="10" s="1"/>
  <c r="K116" i="10"/>
  <c r="K117" i="10"/>
  <c r="M117" i="10" s="1"/>
  <c r="K118" i="10"/>
  <c r="M118" i="10" s="1"/>
  <c r="K119" i="10"/>
  <c r="M119" i="10" s="1"/>
  <c r="K120" i="10"/>
  <c r="M120" i="10" s="1"/>
  <c r="K121" i="10"/>
  <c r="K122" i="10"/>
  <c r="M122" i="10" s="1"/>
  <c r="K123" i="10"/>
  <c r="M123" i="10" s="1"/>
  <c r="K124" i="10"/>
  <c r="K125" i="10"/>
  <c r="M125" i="10" s="1"/>
  <c r="K126" i="10"/>
  <c r="M126" i="10" s="1"/>
  <c r="K127" i="10"/>
  <c r="M127" i="10" s="1"/>
  <c r="K128" i="10"/>
  <c r="M128" i="10" s="1"/>
  <c r="K129" i="10"/>
  <c r="K130" i="10"/>
  <c r="M130" i="10" s="1"/>
  <c r="K131" i="10"/>
  <c r="M131" i="10" s="1"/>
  <c r="K132" i="10"/>
  <c r="K133" i="10"/>
  <c r="M133" i="10" s="1"/>
  <c r="K134" i="10"/>
  <c r="M134" i="10" s="1"/>
  <c r="K135" i="10"/>
  <c r="M135" i="10" s="1"/>
  <c r="K136" i="10"/>
  <c r="K137" i="10"/>
  <c r="K138" i="10"/>
  <c r="M138" i="10" s="1"/>
  <c r="K139" i="10"/>
  <c r="M139" i="10" s="1"/>
  <c r="K140" i="10"/>
  <c r="K141" i="10"/>
  <c r="M141" i="10" s="1"/>
  <c r="K142" i="10"/>
  <c r="M142" i="10" s="1"/>
  <c r="K143" i="10"/>
  <c r="M143" i="10" s="1"/>
  <c r="K144" i="10"/>
  <c r="K145" i="10"/>
  <c r="K146" i="10"/>
  <c r="M146" i="10" s="1"/>
  <c r="K147" i="10"/>
  <c r="M147" i="10" s="1"/>
  <c r="K148" i="10"/>
  <c r="K149" i="10"/>
  <c r="M149" i="10" s="1"/>
  <c r="K150" i="10"/>
  <c r="M150" i="10" s="1"/>
  <c r="K151" i="10"/>
  <c r="M151" i="10" s="1"/>
  <c r="K152" i="10"/>
  <c r="M152" i="10" s="1"/>
  <c r="K153" i="10"/>
  <c r="K154" i="10"/>
  <c r="M154" i="10" s="1"/>
  <c r="K155" i="10"/>
  <c r="M155" i="10" s="1"/>
  <c r="K156" i="10"/>
  <c r="K157" i="10"/>
  <c r="M157" i="10" s="1"/>
  <c r="K158" i="10"/>
  <c r="M158" i="10" s="1"/>
  <c r="K159" i="10"/>
  <c r="M159" i="10" s="1"/>
  <c r="K160" i="10"/>
  <c r="M160" i="10" s="1"/>
  <c r="K161" i="10"/>
  <c r="K162" i="10"/>
  <c r="M162" i="10" s="1"/>
  <c r="K163" i="10"/>
  <c r="M163" i="10" s="1"/>
  <c r="K164" i="10"/>
  <c r="K165" i="10"/>
  <c r="M165" i="10" s="1"/>
  <c r="J2" i="5"/>
  <c r="C117" i="5"/>
  <c r="A553" i="5"/>
  <c r="E153" i="5"/>
  <c r="G109" i="5"/>
  <c r="J5" i="5"/>
  <c r="J4" i="5"/>
  <c r="J3" i="5"/>
  <c r="O556" i="3"/>
  <c r="O555" i="3"/>
  <c r="O554" i="3"/>
  <c r="O553" i="3"/>
  <c r="O552" i="3"/>
  <c r="O551" i="3"/>
  <c r="O550" i="3"/>
  <c r="O549" i="3"/>
  <c r="O548" i="3"/>
  <c r="O547" i="3"/>
  <c r="O546" i="3"/>
  <c r="O545" i="3"/>
  <c r="O544" i="3"/>
  <c r="O543" i="3"/>
  <c r="O542" i="3"/>
  <c r="O541" i="3"/>
  <c r="O540" i="3"/>
  <c r="O539" i="3"/>
  <c r="O538" i="3"/>
  <c r="O537" i="3"/>
  <c r="O536" i="3"/>
  <c r="O535" i="3"/>
  <c r="O534" i="3"/>
  <c r="O533" i="3"/>
  <c r="O532" i="3"/>
  <c r="O531" i="3"/>
  <c r="O530" i="3"/>
  <c r="O529" i="3"/>
  <c r="O528" i="3"/>
  <c r="O527" i="3"/>
  <c r="O526" i="3"/>
  <c r="O525" i="3"/>
  <c r="O524" i="3"/>
  <c r="O523" i="3"/>
  <c r="O522" i="3"/>
  <c r="O521" i="3"/>
  <c r="O520" i="3"/>
  <c r="O519" i="3"/>
  <c r="O518" i="3"/>
  <c r="O517" i="3"/>
  <c r="O516" i="3"/>
  <c r="O515" i="3"/>
  <c r="O514" i="3"/>
  <c r="O513" i="3"/>
  <c r="O512" i="3"/>
  <c r="O511" i="3"/>
  <c r="O510" i="3"/>
  <c r="O509" i="3"/>
  <c r="O508" i="3"/>
  <c r="O507" i="3"/>
  <c r="O506" i="3"/>
  <c r="O505" i="3"/>
  <c r="O504" i="3"/>
  <c r="O503" i="3"/>
  <c r="O502" i="3"/>
  <c r="O501" i="3"/>
  <c r="O500" i="3"/>
  <c r="O499" i="3"/>
  <c r="O498" i="3"/>
  <c r="O497" i="3"/>
  <c r="O496" i="3"/>
  <c r="O495" i="3"/>
  <c r="O494" i="3"/>
  <c r="O493" i="3"/>
  <c r="O378" i="3"/>
  <c r="O491" i="3"/>
  <c r="O490" i="3"/>
  <c r="O489" i="3"/>
  <c r="O488" i="3"/>
  <c r="O487" i="3"/>
  <c r="O486" i="3"/>
  <c r="O485" i="3"/>
  <c r="O484" i="3"/>
  <c r="O483" i="3"/>
  <c r="O492" i="3"/>
  <c r="O481" i="3"/>
  <c r="O480" i="3"/>
  <c r="O479" i="3"/>
  <c r="O478" i="3"/>
  <c r="O477" i="3"/>
  <c r="O476" i="3"/>
  <c r="O475" i="3"/>
  <c r="O474" i="3"/>
  <c r="O473" i="3"/>
  <c r="O472" i="3"/>
  <c r="O471" i="3"/>
  <c r="O470" i="3"/>
  <c r="O469" i="3"/>
  <c r="O468" i="3"/>
  <c r="O467" i="3"/>
  <c r="O466" i="3"/>
  <c r="O465" i="3"/>
  <c r="O464" i="3"/>
  <c r="O463" i="3"/>
  <c r="O462" i="3"/>
  <c r="O461" i="3"/>
  <c r="O460" i="3"/>
  <c r="O459" i="3"/>
  <c r="O458" i="3"/>
  <c r="O457" i="3"/>
  <c r="O456" i="3"/>
  <c r="O455" i="3"/>
  <c r="O454" i="3"/>
  <c r="O453" i="3"/>
  <c r="O452" i="3"/>
  <c r="O451" i="3"/>
  <c r="O450" i="3"/>
  <c r="O449" i="3"/>
  <c r="O448" i="3"/>
  <c r="O447" i="3"/>
  <c r="O446" i="3"/>
  <c r="O445" i="3"/>
  <c r="O444" i="3"/>
  <c r="O219" i="3"/>
  <c r="O194" i="3"/>
  <c r="O441" i="3"/>
  <c r="O440" i="3"/>
  <c r="O439" i="3"/>
  <c r="O438" i="3"/>
  <c r="O437" i="3"/>
  <c r="O436" i="3"/>
  <c r="O435" i="3"/>
  <c r="O434" i="3"/>
  <c r="O433" i="3"/>
  <c r="O432" i="3"/>
  <c r="O431" i="3"/>
  <c r="O430" i="3"/>
  <c r="O429" i="3"/>
  <c r="O428" i="3"/>
  <c r="O427" i="3"/>
  <c r="O426" i="3"/>
  <c r="O425" i="3"/>
  <c r="O424" i="3"/>
  <c r="O423" i="3"/>
  <c r="O422" i="3"/>
  <c r="O421" i="3"/>
  <c r="O420" i="3"/>
  <c r="O419" i="3"/>
  <c r="O418" i="3"/>
  <c r="O417" i="3"/>
  <c r="O416" i="3"/>
  <c r="O415" i="3"/>
  <c r="O414" i="3"/>
  <c r="O413" i="3"/>
  <c r="O412" i="3"/>
  <c r="O411" i="3"/>
  <c r="O410" i="3"/>
  <c r="O409" i="3"/>
  <c r="O408" i="3"/>
  <c r="O407" i="3"/>
  <c r="O406" i="3"/>
  <c r="O405" i="3"/>
  <c r="O398" i="3"/>
  <c r="O403" i="3"/>
  <c r="O402" i="3"/>
  <c r="O401" i="3"/>
  <c r="O400" i="3"/>
  <c r="O399" i="3"/>
  <c r="O375" i="3"/>
  <c r="O397" i="3"/>
  <c r="O396" i="3"/>
  <c r="O395" i="3"/>
  <c r="O394" i="3"/>
  <c r="O393" i="3"/>
  <c r="O392" i="3"/>
  <c r="O391" i="3"/>
  <c r="O390" i="3"/>
  <c r="O389" i="3"/>
  <c r="O388" i="3"/>
  <c r="O387" i="3"/>
  <c r="O386" i="3"/>
  <c r="O385" i="3"/>
  <c r="O384" i="3"/>
  <c r="O383" i="3"/>
  <c r="O382" i="3"/>
  <c r="O381" i="3"/>
  <c r="O380" i="3"/>
  <c r="O199" i="3"/>
  <c r="O482" i="3"/>
  <c r="O377" i="3"/>
  <c r="O376" i="3"/>
  <c r="O34" i="3"/>
  <c r="O374" i="3"/>
  <c r="O373" i="3"/>
  <c r="O372" i="3"/>
  <c r="O371" i="3"/>
  <c r="O370" i="3"/>
  <c r="O369" i="3"/>
  <c r="O368" i="3"/>
  <c r="O367" i="3"/>
  <c r="O366" i="3"/>
  <c r="O365" i="3"/>
  <c r="O364" i="3"/>
  <c r="O379" i="3"/>
  <c r="O362" i="3"/>
  <c r="O361" i="3"/>
  <c r="O360" i="3"/>
  <c r="O359" i="3"/>
  <c r="O358" i="3"/>
  <c r="O357" i="3"/>
  <c r="O356" i="3"/>
  <c r="O355" i="3"/>
  <c r="O354" i="3"/>
  <c r="O353" i="3"/>
  <c r="O352" i="3"/>
  <c r="O351" i="3"/>
  <c r="O350" i="3"/>
  <c r="O349" i="3"/>
  <c r="O348" i="3"/>
  <c r="O347" i="3"/>
  <c r="O346" i="3"/>
  <c r="O345" i="3"/>
  <c r="O344" i="3"/>
  <c r="O343" i="3"/>
  <c r="O342" i="3"/>
  <c r="O341" i="3"/>
  <c r="O340" i="3"/>
  <c r="O339" i="3"/>
  <c r="O338" i="3"/>
  <c r="O337" i="3"/>
  <c r="O336" i="3"/>
  <c r="O335" i="3"/>
  <c r="O334" i="3"/>
  <c r="O333" i="3"/>
  <c r="O332" i="3"/>
  <c r="O331" i="3"/>
  <c r="O330" i="3"/>
  <c r="O329" i="3"/>
  <c r="O328" i="3"/>
  <c r="O327" i="3"/>
  <c r="O326" i="3"/>
  <c r="O325" i="3"/>
  <c r="O324" i="3"/>
  <c r="O323" i="3"/>
  <c r="O322" i="3"/>
  <c r="O321" i="3"/>
  <c r="O320" i="3"/>
  <c r="O319" i="3"/>
  <c r="O318" i="3"/>
  <c r="O317" i="3"/>
  <c r="O316" i="3"/>
  <c r="O315" i="3"/>
  <c r="O314" i="3"/>
  <c r="O313" i="3"/>
  <c r="O312" i="3"/>
  <c r="O311" i="3"/>
  <c r="O310" i="3"/>
  <c r="O309" i="3"/>
  <c r="O308" i="3"/>
  <c r="O307" i="3"/>
  <c r="O306" i="3"/>
  <c r="O305" i="3"/>
  <c r="O304" i="3"/>
  <c r="O303" i="3"/>
  <c r="O302" i="3"/>
  <c r="O301" i="3"/>
  <c r="O300" i="3"/>
  <c r="O299" i="3"/>
  <c r="O298" i="3"/>
  <c r="O297" i="3"/>
  <c r="O296" i="3"/>
  <c r="O295" i="3"/>
  <c r="O294" i="3"/>
  <c r="O293" i="3"/>
  <c r="O292" i="3"/>
  <c r="O291" i="3"/>
  <c r="O290" i="3"/>
  <c r="O289" i="3"/>
  <c r="O288" i="3"/>
  <c r="O287" i="3"/>
  <c r="O286" i="3"/>
  <c r="O285" i="3"/>
  <c r="O284" i="3"/>
  <c r="O283" i="3"/>
  <c r="O282" i="3"/>
  <c r="O281" i="3"/>
  <c r="O280" i="3"/>
  <c r="O279" i="3"/>
  <c r="O278" i="3"/>
  <c r="O277" i="3"/>
  <c r="O276" i="3"/>
  <c r="O275" i="3"/>
  <c r="O274" i="3"/>
  <c r="O273" i="3"/>
  <c r="O272" i="3"/>
  <c r="O271" i="3"/>
  <c r="O270" i="3"/>
  <c r="O269" i="3"/>
  <c r="O268" i="3"/>
  <c r="O267" i="3"/>
  <c r="O266" i="3"/>
  <c r="O265" i="3"/>
  <c r="O264" i="3"/>
  <c r="O263" i="3"/>
  <c r="O262" i="3"/>
  <c r="O261" i="3"/>
  <c r="O260" i="3"/>
  <c r="O259" i="3"/>
  <c r="O258" i="3"/>
  <c r="O257" i="3"/>
  <c r="O256" i="3"/>
  <c r="O255" i="3"/>
  <c r="O254" i="3"/>
  <c r="O253" i="3"/>
  <c r="O252" i="3"/>
  <c r="O251" i="3"/>
  <c r="O250" i="3"/>
  <c r="O249" i="3"/>
  <c r="O248" i="3"/>
  <c r="O247" i="3"/>
  <c r="O246" i="3"/>
  <c r="O245" i="3"/>
  <c r="O244" i="3"/>
  <c r="O243" i="3"/>
  <c r="O242" i="3"/>
  <c r="O241" i="3"/>
  <c r="O240" i="3"/>
  <c r="O239" i="3"/>
  <c r="O238" i="3"/>
  <c r="O237" i="3"/>
  <c r="O236" i="3"/>
  <c r="O235" i="3"/>
  <c r="O234" i="3"/>
  <c r="O233" i="3"/>
  <c r="O232" i="3"/>
  <c r="O231" i="3"/>
  <c r="O230" i="3"/>
  <c r="O229" i="3"/>
  <c r="O228" i="3"/>
  <c r="O227" i="3"/>
  <c r="O226" i="3"/>
  <c r="O225" i="3"/>
  <c r="O224" i="3"/>
  <c r="O223" i="3"/>
  <c r="O222" i="3"/>
  <c r="O221" i="3"/>
  <c r="O220" i="3"/>
  <c r="O363" i="3"/>
  <c r="O218" i="3"/>
  <c r="O217" i="3"/>
  <c r="O216" i="3"/>
  <c r="O215" i="3"/>
  <c r="O214" i="3"/>
  <c r="O213" i="3"/>
  <c r="O212" i="3"/>
  <c r="O211" i="3"/>
  <c r="O210" i="3"/>
  <c r="O209" i="3"/>
  <c r="O208" i="3"/>
  <c r="O207" i="3"/>
  <c r="O206" i="3"/>
  <c r="O205" i="3"/>
  <c r="O204" i="3"/>
  <c r="O203" i="3"/>
  <c r="O202" i="3"/>
  <c r="O201" i="3"/>
  <c r="O200" i="3"/>
  <c r="O79" i="3"/>
  <c r="O198" i="3"/>
  <c r="O197" i="3"/>
  <c r="O196" i="3"/>
  <c r="O195" i="3"/>
  <c r="O171" i="3"/>
  <c r="O193" i="3"/>
  <c r="O192" i="3"/>
  <c r="O191" i="3"/>
  <c r="O190" i="3"/>
  <c r="O189" i="3"/>
  <c r="O188" i="3"/>
  <c r="O187" i="3"/>
  <c r="O186" i="3"/>
  <c r="O185" i="3"/>
  <c r="O184" i="3"/>
  <c r="O183" i="3"/>
  <c r="O182" i="3"/>
  <c r="O181" i="3"/>
  <c r="O180" i="3"/>
  <c r="O179" i="3"/>
  <c r="O178" i="3"/>
  <c r="O177" i="3"/>
  <c r="O176" i="3"/>
  <c r="O175" i="3"/>
  <c r="O174" i="3"/>
  <c r="O173" i="3"/>
  <c r="O172" i="3"/>
  <c r="O442" i="3"/>
  <c r="O170" i="3"/>
  <c r="O169" i="3"/>
  <c r="O168" i="3"/>
  <c r="O167" i="3"/>
  <c r="O166" i="3"/>
  <c r="O165" i="3"/>
  <c r="O164" i="3"/>
  <c r="O163" i="3"/>
  <c r="O162" i="3"/>
  <c r="O31" i="3"/>
  <c r="O160" i="3"/>
  <c r="O159" i="3"/>
  <c r="O158" i="3"/>
  <c r="O157" i="3"/>
  <c r="O156" i="3"/>
  <c r="O155" i="3"/>
  <c r="O154" i="3"/>
  <c r="O153" i="3"/>
  <c r="O152" i="3"/>
  <c r="O151" i="3"/>
  <c r="O150" i="3"/>
  <c r="O149" i="3"/>
  <c r="O148" i="3"/>
  <c r="O147" i="3"/>
  <c r="O146" i="3"/>
  <c r="O145" i="3"/>
  <c r="O144" i="3"/>
  <c r="O143" i="3"/>
  <c r="O142" i="3"/>
  <c r="O141" i="3"/>
  <c r="O140" i="3"/>
  <c r="O139" i="3"/>
  <c r="O138" i="3"/>
  <c r="O137" i="3"/>
  <c r="O136" i="3"/>
  <c r="O135" i="3"/>
  <c r="O134" i="3"/>
  <c r="O133" i="3"/>
  <c r="O132" i="3"/>
  <c r="O131" i="3"/>
  <c r="O130" i="3"/>
  <c r="O129" i="3"/>
  <c r="O128" i="3"/>
  <c r="O127" i="3"/>
  <c r="O126" i="3"/>
  <c r="O125" i="3"/>
  <c r="O124" i="3"/>
  <c r="O123" i="3"/>
  <c r="O122" i="3"/>
  <c r="O121" i="3"/>
  <c r="O120" i="3"/>
  <c r="O119" i="3"/>
  <c r="O118" i="3"/>
  <c r="O117" i="3"/>
  <c r="O116" i="3"/>
  <c r="O115" i="3"/>
  <c r="O114" i="3"/>
  <c r="O113" i="3"/>
  <c r="O112" i="3"/>
  <c r="O111" i="3"/>
  <c r="O110" i="3"/>
  <c r="O109" i="3"/>
  <c r="O108" i="3"/>
  <c r="O107" i="3"/>
  <c r="O106" i="3"/>
  <c r="O105" i="3"/>
  <c r="O104" i="3"/>
  <c r="O103" i="3"/>
  <c r="O102" i="3"/>
  <c r="O101" i="3"/>
  <c r="O100" i="3"/>
  <c r="O99" i="3"/>
  <c r="O98" i="3"/>
  <c r="O97" i="3"/>
  <c r="O96" i="3"/>
  <c r="O95" i="3"/>
  <c r="O94" i="3"/>
  <c r="O93" i="3"/>
  <c r="O92" i="3"/>
  <c r="O91" i="3"/>
  <c r="O90" i="3"/>
  <c r="O89" i="3"/>
  <c r="O88" i="3"/>
  <c r="O87" i="3"/>
  <c r="O86" i="3"/>
  <c r="O85" i="3"/>
  <c r="O84" i="3"/>
  <c r="O83" i="3"/>
  <c r="O82" i="3"/>
  <c r="O81" i="3"/>
  <c r="O80" i="3"/>
  <c r="O161" i="3"/>
  <c r="O78" i="3"/>
  <c r="O77" i="3"/>
  <c r="O76"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3" i="3"/>
  <c r="O42" i="3"/>
  <c r="O41" i="3"/>
  <c r="O40" i="3"/>
  <c r="O39" i="3"/>
  <c r="O38" i="3"/>
  <c r="O37" i="3"/>
  <c r="O36" i="3"/>
  <c r="O35" i="3"/>
  <c r="O12" i="3"/>
  <c r="O33" i="3"/>
  <c r="O32" i="3"/>
  <c r="O404" i="3"/>
  <c r="O30" i="3"/>
  <c r="O29" i="3"/>
  <c r="O28" i="3"/>
  <c r="O27" i="3"/>
  <c r="O26" i="3"/>
  <c r="O25" i="3"/>
  <c r="O24" i="3"/>
  <c r="O23" i="3"/>
  <c r="O22" i="3"/>
  <c r="O21" i="3"/>
  <c r="O20" i="3"/>
  <c r="O19" i="3"/>
  <c r="O18" i="3"/>
  <c r="O17" i="3"/>
  <c r="O16" i="3"/>
  <c r="O15" i="3"/>
  <c r="O14" i="3"/>
  <c r="O13" i="3"/>
  <c r="O443" i="3"/>
  <c r="O11" i="3"/>
  <c r="O10" i="3"/>
  <c r="O9" i="3"/>
  <c r="O8" i="3"/>
  <c r="O7" i="3"/>
  <c r="O6" i="3"/>
  <c r="I91" i="10"/>
  <c r="I44" i="10"/>
  <c r="I60" i="10"/>
  <c r="I165" i="10"/>
  <c r="I74" i="10"/>
  <c r="I136" i="10"/>
  <c r="I110" i="10"/>
  <c r="I112" i="10"/>
  <c r="I57" i="10"/>
  <c r="I132" i="10"/>
  <c r="I38" i="10"/>
  <c r="I101" i="10"/>
  <c r="I164" i="10"/>
  <c r="I94" i="10"/>
  <c r="I124" i="10"/>
  <c r="I143" i="10"/>
  <c r="I163" i="10"/>
  <c r="I15" i="10"/>
  <c r="I36" i="10"/>
  <c r="I75" i="10"/>
  <c r="I162" i="10"/>
  <c r="I161" i="10"/>
  <c r="I85" i="10"/>
  <c r="I125" i="10"/>
  <c r="I24" i="10"/>
  <c r="I19" i="10"/>
  <c r="I64" i="10"/>
  <c r="I43" i="10"/>
  <c r="I14" i="10"/>
  <c r="I111" i="10"/>
  <c r="I65" i="10"/>
  <c r="I105" i="10"/>
  <c r="I35" i="10"/>
  <c r="I70" i="10"/>
  <c r="I47" i="10"/>
  <c r="I114" i="10"/>
  <c r="I160" i="10"/>
  <c r="I148" i="10"/>
  <c r="I76" i="10"/>
  <c r="I99" i="10"/>
  <c r="I39" i="10"/>
  <c r="I31" i="10"/>
  <c r="I78" i="10"/>
  <c r="I159" i="10"/>
  <c r="I69" i="10"/>
  <c r="I127" i="10"/>
  <c r="I8" i="10"/>
  <c r="I20" i="10"/>
  <c r="I123" i="10"/>
  <c r="I59" i="10"/>
  <c r="I103" i="10"/>
  <c r="I107" i="10"/>
  <c r="I150" i="10"/>
  <c r="I126" i="10"/>
  <c r="I117" i="10"/>
  <c r="I141" i="10"/>
  <c r="I158" i="10"/>
  <c r="I128" i="10"/>
  <c r="I135" i="10"/>
  <c r="I95" i="10"/>
  <c r="I157" i="10"/>
  <c r="I89" i="10"/>
  <c r="I25" i="10"/>
  <c r="I104" i="10"/>
  <c r="I119" i="10"/>
  <c r="I41" i="10"/>
  <c r="I73" i="10"/>
  <c r="I129" i="10"/>
  <c r="I34" i="10"/>
  <c r="I77" i="10"/>
  <c r="I49" i="10"/>
  <c r="I45" i="10"/>
  <c r="I90" i="10"/>
  <c r="I156" i="10"/>
  <c r="I50" i="10"/>
  <c r="I16" i="10"/>
  <c r="I137" i="10"/>
  <c r="I54" i="10"/>
  <c r="I120" i="10"/>
  <c r="I121" i="10"/>
  <c r="I102" i="10"/>
  <c r="I11" i="10"/>
  <c r="I149" i="10"/>
  <c r="I58" i="10"/>
  <c r="I67" i="10"/>
  <c r="I92" i="10"/>
  <c r="I21" i="10"/>
  <c r="I46" i="10"/>
  <c r="I113" i="10"/>
  <c r="I144" i="10"/>
  <c r="I155" i="10"/>
  <c r="I72" i="10"/>
  <c r="I66" i="10"/>
  <c r="I130" i="10"/>
  <c r="I131" i="10"/>
  <c r="I18" i="10"/>
  <c r="I133" i="10"/>
  <c r="I33" i="10"/>
  <c r="I80" i="10"/>
  <c r="I13" i="10"/>
  <c r="I17" i="10"/>
  <c r="I98" i="10"/>
  <c r="I118" i="10"/>
  <c r="I37" i="10"/>
  <c r="I86" i="10"/>
  <c r="I88" i="10"/>
  <c r="I61" i="10"/>
  <c r="I26" i="10"/>
  <c r="I81" i="10"/>
  <c r="I23" i="10"/>
  <c r="I154" i="10"/>
  <c r="I55" i="10"/>
  <c r="I22" i="10"/>
  <c r="I116" i="10"/>
  <c r="I12" i="10"/>
  <c r="I63" i="10"/>
  <c r="I100" i="10"/>
  <c r="I84" i="10"/>
  <c r="I52" i="10"/>
  <c r="I83" i="10"/>
  <c r="I134" i="10"/>
  <c r="I27" i="10"/>
  <c r="I48" i="10"/>
  <c r="I28" i="10"/>
  <c r="I147" i="10"/>
  <c r="I87" i="10"/>
  <c r="I153" i="10"/>
  <c r="I68" i="10"/>
  <c r="I51" i="10"/>
  <c r="I40" i="10"/>
  <c r="I62" i="10"/>
  <c r="I115" i="10"/>
  <c r="I97" i="10"/>
  <c r="I42" i="10"/>
  <c r="I138" i="10"/>
  <c r="I56" i="10"/>
  <c r="I146" i="10"/>
  <c r="I32" i="10"/>
  <c r="I139" i="10"/>
  <c r="I152" i="10"/>
  <c r="I109" i="10"/>
  <c r="I30" i="10"/>
  <c r="I108" i="10"/>
  <c r="I10" i="10"/>
  <c r="I142" i="10"/>
  <c r="I93" i="10"/>
  <c r="I53" i="10"/>
  <c r="I71" i="10"/>
  <c r="I79" i="10"/>
  <c r="I140" i="10"/>
  <c r="I96" i="10"/>
  <c r="I151" i="10"/>
  <c r="I29" i="10"/>
  <c r="I122" i="10"/>
  <c r="I82" i="10"/>
  <c r="I9" i="10"/>
  <c r="I145" i="10"/>
  <c r="I106" i="10"/>
  <c r="L826" i="6"/>
  <c r="L825" i="6"/>
  <c r="L824" i="6"/>
  <c r="L823" i="6"/>
  <c r="L822" i="6"/>
  <c r="L821" i="6"/>
  <c r="L820" i="6"/>
  <c r="L819" i="6"/>
  <c r="L818" i="6"/>
  <c r="L817" i="6"/>
  <c r="L816" i="6"/>
  <c r="L815" i="6"/>
  <c r="L814" i="6"/>
  <c r="L813" i="6"/>
  <c r="L812" i="6"/>
  <c r="L811" i="6"/>
  <c r="L810" i="6"/>
  <c r="L809" i="6"/>
  <c r="L808" i="6"/>
  <c r="L807" i="6"/>
  <c r="L806" i="6"/>
  <c r="L805" i="6"/>
  <c r="L804" i="6"/>
  <c r="L803" i="6"/>
  <c r="L802" i="6"/>
  <c r="L801" i="6"/>
  <c r="L800" i="6"/>
  <c r="L799" i="6"/>
  <c r="L798" i="6"/>
  <c r="L797" i="6"/>
  <c r="L796" i="6"/>
  <c r="L795" i="6"/>
  <c r="L794" i="6"/>
  <c r="L793" i="6"/>
  <c r="L792" i="6"/>
  <c r="L791" i="6"/>
  <c r="L790" i="6"/>
  <c r="L789" i="6"/>
  <c r="L788" i="6"/>
  <c r="L787" i="6"/>
  <c r="L786" i="6"/>
  <c r="L785" i="6"/>
  <c r="L784" i="6"/>
  <c r="L783" i="6"/>
  <c r="L782" i="6"/>
  <c r="L781" i="6"/>
  <c r="L780" i="6"/>
  <c r="L779" i="6"/>
  <c r="L778" i="6"/>
  <c r="L777" i="6"/>
  <c r="L776" i="6"/>
  <c r="L775" i="6"/>
  <c r="L774" i="6"/>
  <c r="L773" i="6"/>
  <c r="L772" i="6"/>
  <c r="L771" i="6"/>
  <c r="L770" i="6"/>
  <c r="L769" i="6"/>
  <c r="L768" i="6"/>
  <c r="L767" i="6"/>
  <c r="L766" i="6"/>
  <c r="L765" i="6"/>
  <c r="L764" i="6"/>
  <c r="L763" i="6"/>
  <c r="L762" i="6"/>
  <c r="L761" i="6"/>
  <c r="L760" i="6"/>
  <c r="L759" i="6"/>
  <c r="L758" i="6"/>
  <c r="L757" i="6"/>
  <c r="L756" i="6"/>
  <c r="L755" i="6"/>
  <c r="L754" i="6"/>
  <c r="L753" i="6"/>
  <c r="L752" i="6"/>
  <c r="L751" i="6"/>
  <c r="L750" i="6"/>
  <c r="L749" i="6"/>
  <c r="L748" i="6"/>
  <c r="L747" i="6"/>
  <c r="L746" i="6"/>
  <c r="L745" i="6"/>
  <c r="L744" i="6"/>
  <c r="L743" i="6"/>
  <c r="L742" i="6"/>
  <c r="L741" i="6"/>
  <c r="L740" i="6"/>
  <c r="L739" i="6"/>
  <c r="L738" i="6"/>
  <c r="L737" i="6"/>
  <c r="L736" i="6"/>
  <c r="L735" i="6"/>
  <c r="L734" i="6"/>
  <c r="L733" i="6"/>
  <c r="L732" i="6"/>
  <c r="L731" i="6"/>
  <c r="L730" i="6"/>
  <c r="L729" i="6"/>
  <c r="L728" i="6"/>
  <c r="L727" i="6"/>
  <c r="L726" i="6"/>
  <c r="L725" i="6"/>
  <c r="L724" i="6"/>
  <c r="L723" i="6"/>
  <c r="L722" i="6"/>
  <c r="L721" i="6"/>
  <c r="L720" i="6"/>
  <c r="L719" i="6"/>
  <c r="L718" i="6"/>
  <c r="L717" i="6"/>
  <c r="L716" i="6"/>
  <c r="L715" i="6"/>
  <c r="L714" i="6"/>
  <c r="L713" i="6"/>
  <c r="L712" i="6"/>
  <c r="L711" i="6"/>
  <c r="L710" i="6"/>
  <c r="L709" i="6"/>
  <c r="L708" i="6"/>
  <c r="L707" i="6"/>
  <c r="L706" i="6"/>
  <c r="L705" i="6"/>
  <c r="L704" i="6"/>
  <c r="L703" i="6"/>
  <c r="L702" i="6"/>
  <c r="L701" i="6"/>
  <c r="L700" i="6"/>
  <c r="L699" i="6"/>
  <c r="L698" i="6"/>
  <c r="L697" i="6"/>
  <c r="L696" i="6"/>
  <c r="L695" i="6"/>
  <c r="L694" i="6"/>
  <c r="L693" i="6"/>
  <c r="L692" i="6"/>
  <c r="L691" i="6"/>
  <c r="L690" i="6"/>
  <c r="L689" i="6"/>
  <c r="L688" i="6"/>
  <c r="L687" i="6"/>
  <c r="L686" i="6"/>
  <c r="L685" i="6"/>
  <c r="L684" i="6"/>
  <c r="L683" i="6"/>
  <c r="L682" i="6"/>
  <c r="L681" i="6"/>
  <c r="L680" i="6"/>
  <c r="L679" i="6"/>
  <c r="L678" i="6"/>
  <c r="L677" i="6"/>
  <c r="L676" i="6"/>
  <c r="L675" i="6"/>
  <c r="L674" i="6"/>
  <c r="L673" i="6"/>
  <c r="L672" i="6"/>
  <c r="L671" i="6"/>
  <c r="L670" i="6"/>
  <c r="L669" i="6"/>
  <c r="L668" i="6"/>
  <c r="L667" i="6"/>
  <c r="L666" i="6"/>
  <c r="L665" i="6"/>
  <c r="L664" i="6"/>
  <c r="L663" i="6"/>
  <c r="L662" i="6"/>
  <c r="L661" i="6"/>
  <c r="L660" i="6"/>
  <c r="L659" i="6"/>
  <c r="L658" i="6"/>
  <c r="L657" i="6"/>
  <c r="L656" i="6"/>
  <c r="L655" i="6"/>
  <c r="L654" i="6"/>
  <c r="L653" i="6"/>
  <c r="L652" i="6"/>
  <c r="L651" i="6"/>
  <c r="L650" i="6"/>
  <c r="L649" i="6"/>
  <c r="L648" i="6"/>
  <c r="L647" i="6"/>
  <c r="L646" i="6"/>
  <c r="L645" i="6"/>
  <c r="L644" i="6"/>
  <c r="L643" i="6"/>
  <c r="L642" i="6"/>
  <c r="L641" i="6"/>
  <c r="L640" i="6"/>
  <c r="L639" i="6"/>
  <c r="L638" i="6"/>
  <c r="L637" i="6"/>
  <c r="L636" i="6"/>
  <c r="L635" i="6"/>
  <c r="L634" i="6"/>
  <c r="L633" i="6"/>
  <c r="L632" i="6"/>
  <c r="L631" i="6"/>
  <c r="L630" i="6"/>
  <c r="L629" i="6"/>
  <c r="L628" i="6"/>
  <c r="L627" i="6"/>
  <c r="L626" i="6"/>
  <c r="L625" i="6"/>
  <c r="L624" i="6"/>
  <c r="L623" i="6"/>
  <c r="L622" i="6"/>
  <c r="L621" i="6"/>
  <c r="L620" i="6"/>
  <c r="L619" i="6"/>
  <c r="L618" i="6"/>
  <c r="L617" i="6"/>
  <c r="L616" i="6"/>
  <c r="L615" i="6"/>
  <c r="L614" i="6"/>
  <c r="L613" i="6"/>
  <c r="L612" i="6"/>
  <c r="L611" i="6"/>
  <c r="L610" i="6"/>
  <c r="L609" i="6"/>
  <c r="L608" i="6"/>
  <c r="L607" i="6"/>
  <c r="L606" i="6"/>
  <c r="L605" i="6"/>
  <c r="L604" i="6"/>
  <c r="L603" i="6"/>
  <c r="L602" i="6"/>
  <c r="L601" i="6"/>
  <c r="L600" i="6"/>
  <c r="L599" i="6"/>
  <c r="L598" i="6"/>
  <c r="L597" i="6"/>
  <c r="L596" i="6"/>
  <c r="L595" i="6"/>
  <c r="L594" i="6"/>
  <c r="L593" i="6"/>
  <c r="L592" i="6"/>
  <c r="L591" i="6"/>
  <c r="L590" i="6"/>
  <c r="L589" i="6"/>
  <c r="L588" i="6"/>
  <c r="L587" i="6"/>
  <c r="L586" i="6"/>
  <c r="L585" i="6"/>
  <c r="L584" i="6"/>
  <c r="L583" i="6"/>
  <c r="L582" i="6"/>
  <c r="L581" i="6"/>
  <c r="L580" i="6"/>
  <c r="L579" i="6"/>
  <c r="L578" i="6"/>
  <c r="L577" i="6"/>
  <c r="L576" i="6"/>
  <c r="L575" i="6"/>
  <c r="L574" i="6"/>
  <c r="L573" i="6"/>
  <c r="L572" i="6"/>
  <c r="L571" i="6"/>
  <c r="L570" i="6"/>
  <c r="L569" i="6"/>
  <c r="L568" i="6"/>
  <c r="L567" i="6"/>
  <c r="L566" i="6"/>
  <c r="L565" i="6"/>
  <c r="L564" i="6"/>
  <c r="L563" i="6"/>
  <c r="L562" i="6"/>
  <c r="L561" i="6"/>
  <c r="L560" i="6"/>
  <c r="L559" i="6"/>
  <c r="L558" i="6"/>
  <c r="L557" i="6"/>
  <c r="L556" i="6"/>
  <c r="L555" i="6"/>
  <c r="L554" i="6"/>
  <c r="L553" i="6"/>
  <c r="L552" i="6"/>
  <c r="L551" i="6"/>
  <c r="L550" i="6"/>
  <c r="L549" i="6"/>
  <c r="L548" i="6"/>
  <c r="L547" i="6"/>
  <c r="L546" i="6"/>
  <c r="L545" i="6"/>
  <c r="L544" i="6"/>
  <c r="L543" i="6"/>
  <c r="L542" i="6"/>
  <c r="L541" i="6"/>
  <c r="L540" i="6"/>
  <c r="L539" i="6"/>
  <c r="L538" i="6"/>
  <c r="L537" i="6"/>
  <c r="L536" i="6"/>
  <c r="L535" i="6"/>
  <c r="L534" i="6"/>
  <c r="L533" i="6"/>
  <c r="L532" i="6"/>
  <c r="L531" i="6"/>
  <c r="L530" i="6"/>
  <c r="L529" i="6"/>
  <c r="L528" i="6"/>
  <c r="L527" i="6"/>
  <c r="L526" i="6"/>
  <c r="L525" i="6"/>
  <c r="L524" i="6"/>
  <c r="L523" i="6"/>
  <c r="L522" i="6"/>
  <c r="L521" i="6"/>
  <c r="L520" i="6"/>
  <c r="L519" i="6"/>
  <c r="L518" i="6"/>
  <c r="L517" i="6"/>
  <c r="L516" i="6"/>
  <c r="L515" i="6"/>
  <c r="L514" i="6"/>
  <c r="L513" i="6"/>
  <c r="L512" i="6"/>
  <c r="L511" i="6"/>
  <c r="L510" i="6"/>
  <c r="L509" i="6"/>
  <c r="L508" i="6"/>
  <c r="L507" i="6"/>
  <c r="L506" i="6"/>
  <c r="L505" i="6"/>
  <c r="L504" i="6"/>
  <c r="L503" i="6"/>
  <c r="L502" i="6"/>
  <c r="L501" i="6"/>
  <c r="L500" i="6"/>
  <c r="L499" i="6"/>
  <c r="L498" i="6"/>
  <c r="L497" i="6"/>
  <c r="L496" i="6"/>
  <c r="L495" i="6"/>
  <c r="L494" i="6"/>
  <c r="L493" i="6"/>
  <c r="L492" i="6"/>
  <c r="L491" i="6"/>
  <c r="L490" i="6"/>
  <c r="L489" i="6"/>
  <c r="L488" i="6"/>
  <c r="L487" i="6"/>
  <c r="L486" i="6"/>
  <c r="L485" i="6"/>
  <c r="L484" i="6"/>
  <c r="L483" i="6"/>
  <c r="L482" i="6"/>
  <c r="L481" i="6"/>
  <c r="L480" i="6"/>
  <c r="L479" i="6"/>
  <c r="L478" i="6"/>
  <c r="L477" i="6"/>
  <c r="L476" i="6"/>
  <c r="L475" i="6"/>
  <c r="L474" i="6"/>
  <c r="L473" i="6"/>
  <c r="L472" i="6"/>
  <c r="L471" i="6"/>
  <c r="L470" i="6"/>
  <c r="L469" i="6"/>
  <c r="L468" i="6"/>
  <c r="L467" i="6"/>
  <c r="L466" i="6"/>
  <c r="L465" i="6"/>
  <c r="L464" i="6"/>
  <c r="L463" i="6"/>
  <c r="L462" i="6"/>
  <c r="L461" i="6"/>
  <c r="L460" i="6"/>
  <c r="L459" i="6"/>
  <c r="L458" i="6"/>
  <c r="L457" i="6"/>
  <c r="L456" i="6"/>
  <c r="L455" i="6"/>
  <c r="L454" i="6"/>
  <c r="L453" i="6"/>
  <c r="L452" i="6"/>
  <c r="L451" i="6"/>
  <c r="L450" i="6"/>
  <c r="L449" i="6"/>
  <c r="L448" i="6"/>
  <c r="L447" i="6"/>
  <c r="L446" i="6"/>
  <c r="L445" i="6"/>
  <c r="L444" i="6"/>
  <c r="L443" i="6"/>
  <c r="L442" i="6"/>
  <c r="L441" i="6"/>
  <c r="L440" i="6"/>
  <c r="L439" i="6"/>
  <c r="L438" i="6"/>
  <c r="L437" i="6"/>
  <c r="L436" i="6"/>
  <c r="L435" i="6"/>
  <c r="L434" i="6"/>
  <c r="L433" i="6"/>
  <c r="L432" i="6"/>
  <c r="L431" i="6"/>
  <c r="L430" i="6"/>
  <c r="L429" i="6"/>
  <c r="L428" i="6"/>
  <c r="L427" i="6"/>
  <c r="L426" i="6"/>
  <c r="L425" i="6"/>
  <c r="L424" i="6"/>
  <c r="L423" i="6"/>
  <c r="L422" i="6"/>
  <c r="L421" i="6"/>
  <c r="L420" i="6"/>
  <c r="L419" i="6"/>
  <c r="L418" i="6"/>
  <c r="L417" i="6"/>
  <c r="L416" i="6"/>
  <c r="L415" i="6"/>
  <c r="L414" i="6"/>
  <c r="L413" i="6"/>
  <c r="L412" i="6"/>
  <c r="L411" i="6"/>
  <c r="L410" i="6"/>
  <c r="L409" i="6"/>
  <c r="L408" i="6"/>
  <c r="L407" i="6"/>
  <c r="L406" i="6"/>
  <c r="L405" i="6"/>
  <c r="L404" i="6"/>
  <c r="L403" i="6"/>
  <c r="L402" i="6"/>
  <c r="L401" i="6"/>
  <c r="L400" i="6"/>
  <c r="L399" i="6"/>
  <c r="L398" i="6"/>
  <c r="L397" i="6"/>
  <c r="L396" i="6"/>
  <c r="L395" i="6"/>
  <c r="L394" i="6"/>
  <c r="L393" i="6"/>
  <c r="L392" i="6"/>
  <c r="L391" i="6"/>
  <c r="L390" i="6"/>
  <c r="L389" i="6"/>
  <c r="L388" i="6"/>
  <c r="L387" i="6"/>
  <c r="L386" i="6"/>
  <c r="L385" i="6"/>
  <c r="L384" i="6"/>
  <c r="L383" i="6"/>
  <c r="L382" i="6"/>
  <c r="L381" i="6"/>
  <c r="L380" i="6"/>
  <c r="L379" i="6"/>
  <c r="L378" i="6"/>
  <c r="L377" i="6"/>
  <c r="L376" i="6"/>
  <c r="L375" i="6"/>
  <c r="L374" i="6"/>
  <c r="L373" i="6"/>
  <c r="L372" i="6"/>
  <c r="L371" i="6"/>
  <c r="L370" i="6"/>
  <c r="L369" i="6"/>
  <c r="L368" i="6"/>
  <c r="L367" i="6"/>
  <c r="L366" i="6"/>
  <c r="L365" i="6"/>
  <c r="L364" i="6"/>
  <c r="L363" i="6"/>
  <c r="L362" i="6"/>
  <c r="L361" i="6"/>
  <c r="L360" i="6"/>
  <c r="L359" i="6"/>
  <c r="L358" i="6"/>
  <c r="L357" i="6"/>
  <c r="L356" i="6"/>
  <c r="L355" i="6"/>
  <c r="L354" i="6"/>
  <c r="L353" i="6"/>
  <c r="L352" i="6"/>
  <c r="L351" i="6"/>
  <c r="L350" i="6"/>
  <c r="L349" i="6"/>
  <c r="L348" i="6"/>
  <c r="L347" i="6"/>
  <c r="L346" i="6"/>
  <c r="L345" i="6"/>
  <c r="L344" i="6"/>
  <c r="L343" i="6"/>
  <c r="L342" i="6"/>
  <c r="L341" i="6"/>
  <c r="L340" i="6"/>
  <c r="L339" i="6"/>
  <c r="L338" i="6"/>
  <c r="L337" i="6"/>
  <c r="L336" i="6"/>
  <c r="L335" i="6"/>
  <c r="L334" i="6"/>
  <c r="L333" i="6"/>
  <c r="L332" i="6"/>
  <c r="L331" i="6"/>
  <c r="L330" i="6"/>
  <c r="L329" i="6"/>
  <c r="L328" i="6"/>
  <c r="L327" i="6"/>
  <c r="L326" i="6"/>
  <c r="L325" i="6"/>
  <c r="L324" i="6"/>
  <c r="L323" i="6"/>
  <c r="L322" i="6"/>
  <c r="L321" i="6"/>
  <c r="L320" i="6"/>
  <c r="L319" i="6"/>
  <c r="L318" i="6"/>
  <c r="L317" i="6"/>
  <c r="L316" i="6"/>
  <c r="L315" i="6"/>
  <c r="L314" i="6"/>
  <c r="L313" i="6"/>
  <c r="L312" i="6"/>
  <c r="L311" i="6"/>
  <c r="L310" i="6"/>
  <c r="L309" i="6"/>
  <c r="L308" i="6"/>
  <c r="L307" i="6"/>
  <c r="L306" i="6"/>
  <c r="L305" i="6"/>
  <c r="L304" i="6"/>
  <c r="L303" i="6"/>
  <c r="L302" i="6"/>
  <c r="L301" i="6"/>
  <c r="L300" i="6"/>
  <c r="L299" i="6"/>
  <c r="L298" i="6"/>
  <c r="L297" i="6"/>
  <c r="L296" i="6"/>
  <c r="L295" i="6"/>
  <c r="L294" i="6"/>
  <c r="L293" i="6"/>
  <c r="L292" i="6"/>
  <c r="L291" i="6"/>
  <c r="L290" i="6"/>
  <c r="L289" i="6"/>
  <c r="L288" i="6"/>
  <c r="L287" i="6"/>
  <c r="L286" i="6"/>
  <c r="L285" i="6"/>
  <c r="L284" i="6"/>
  <c r="L283" i="6"/>
  <c r="L282" i="6"/>
  <c r="L281" i="6"/>
  <c r="L280" i="6"/>
  <c r="L279" i="6"/>
  <c r="L278" i="6"/>
  <c r="L277" i="6"/>
  <c r="L276" i="6"/>
  <c r="L275" i="6"/>
  <c r="L274" i="6"/>
  <c r="L273" i="6"/>
  <c r="L272" i="6"/>
  <c r="L271" i="6"/>
  <c r="L270" i="6"/>
  <c r="L269" i="6"/>
  <c r="L268" i="6"/>
  <c r="L267" i="6"/>
  <c r="L266" i="6"/>
  <c r="L265" i="6"/>
  <c r="L264" i="6"/>
  <c r="L263" i="6"/>
  <c r="L262" i="6"/>
  <c r="L261" i="6"/>
  <c r="L260" i="6"/>
  <c r="L259" i="6"/>
  <c r="L258" i="6"/>
  <c r="L257" i="6"/>
  <c r="L256" i="6"/>
  <c r="L255" i="6"/>
  <c r="L254" i="6"/>
  <c r="L253" i="6"/>
  <c r="L252" i="6"/>
  <c r="L251" i="6"/>
  <c r="L250" i="6"/>
  <c r="L249" i="6"/>
  <c r="L248" i="6"/>
  <c r="L247" i="6"/>
  <c r="L246" i="6"/>
  <c r="L245" i="6"/>
  <c r="L244" i="6"/>
  <c r="L243" i="6"/>
  <c r="L242" i="6"/>
  <c r="L241" i="6"/>
  <c r="L240" i="6"/>
  <c r="L239" i="6"/>
  <c r="L238" i="6"/>
  <c r="L237" i="6"/>
  <c r="L236" i="6"/>
  <c r="L235" i="6"/>
  <c r="L234" i="6"/>
  <c r="L233" i="6"/>
  <c r="L232" i="6"/>
  <c r="L231" i="6"/>
  <c r="L230" i="6"/>
  <c r="L229" i="6"/>
  <c r="L228" i="6"/>
  <c r="L227" i="6"/>
  <c r="L226" i="6"/>
  <c r="L225" i="6"/>
  <c r="L224" i="6"/>
  <c r="L223" i="6"/>
  <c r="L222" i="6"/>
  <c r="L221" i="6"/>
  <c r="L220" i="6"/>
  <c r="L219" i="6"/>
  <c r="L218" i="6"/>
  <c r="L217" i="6"/>
  <c r="L216" i="6"/>
  <c r="L215" i="6"/>
  <c r="L214" i="6"/>
  <c r="L213" i="6"/>
  <c r="L212" i="6"/>
  <c r="L211" i="6"/>
  <c r="L210" i="6"/>
  <c r="L209" i="6"/>
  <c r="L208" i="6"/>
  <c r="L207" i="6"/>
  <c r="L206" i="6"/>
  <c r="L205" i="6"/>
  <c r="L204" i="6"/>
  <c r="L203" i="6"/>
  <c r="L202" i="6"/>
  <c r="L201" i="6"/>
  <c r="L200" i="6"/>
  <c r="L199" i="6"/>
  <c r="L198" i="6"/>
  <c r="L197" i="6"/>
  <c r="L196" i="6"/>
  <c r="L195" i="6"/>
  <c r="L194" i="6"/>
  <c r="L193" i="6"/>
  <c r="L192" i="6"/>
  <c r="L191" i="6"/>
  <c r="L190" i="6"/>
  <c r="L189" i="6"/>
  <c r="L188" i="6"/>
  <c r="L187" i="6"/>
  <c r="L186" i="6"/>
  <c r="L185" i="6"/>
  <c r="L184" i="6"/>
  <c r="L183" i="6"/>
  <c r="L182" i="6"/>
  <c r="L181" i="6"/>
  <c r="L180" i="6"/>
  <c r="L179" i="6"/>
  <c r="L178" i="6"/>
  <c r="L177" i="6"/>
  <c r="L176" i="6"/>
  <c r="L175" i="6"/>
  <c r="L174" i="6"/>
  <c r="L173" i="6"/>
  <c r="L172" i="6"/>
  <c r="L171" i="6"/>
  <c r="L170" i="6"/>
  <c r="L169" i="6"/>
  <c r="L168" i="6"/>
  <c r="L167" i="6"/>
  <c r="L166" i="6"/>
  <c r="L165" i="6"/>
  <c r="L164" i="6"/>
  <c r="L163" i="6"/>
  <c r="L162" i="6"/>
  <c r="L161" i="6"/>
  <c r="L160" i="6"/>
  <c r="L159" i="6"/>
  <c r="L158" i="6"/>
  <c r="L157" i="6"/>
  <c r="L156" i="6"/>
  <c r="L155" i="6"/>
  <c r="L154" i="6"/>
  <c r="L153" i="6"/>
  <c r="L152" i="6"/>
  <c r="L151" i="6"/>
  <c r="L150" i="6"/>
  <c r="L149" i="6"/>
  <c r="L148" i="6"/>
  <c r="L147" i="6"/>
  <c r="L146" i="6"/>
  <c r="L145" i="6"/>
  <c r="L144" i="6"/>
  <c r="L143" i="6"/>
  <c r="L142" i="6"/>
  <c r="L141" i="6"/>
  <c r="L140" i="6"/>
  <c r="L139" i="6"/>
  <c r="L138" i="6"/>
  <c r="L137" i="6"/>
  <c r="L136" i="6"/>
  <c r="L135" i="6"/>
  <c r="L134" i="6"/>
  <c r="L133" i="6"/>
  <c r="L132" i="6"/>
  <c r="L131" i="6"/>
  <c r="L130" i="6"/>
  <c r="L129" i="6"/>
  <c r="L128" i="6"/>
  <c r="L127" i="6"/>
  <c r="L126" i="6"/>
  <c r="L125" i="6"/>
  <c r="L124" i="6"/>
  <c r="L123" i="6"/>
  <c r="L122" i="6"/>
  <c r="L121" i="6"/>
  <c r="L120" i="6"/>
  <c r="L119" i="6"/>
  <c r="L118" i="6"/>
  <c r="L117" i="6"/>
  <c r="L116" i="6"/>
  <c r="L115" i="6"/>
  <c r="L114" i="6"/>
  <c r="L113" i="6"/>
  <c r="L112" i="6"/>
  <c r="L111" i="6"/>
  <c r="L110" i="6"/>
  <c r="L109" i="6"/>
  <c r="L108" i="6"/>
  <c r="L107" i="6"/>
  <c r="L106" i="6"/>
  <c r="L105" i="6"/>
  <c r="L104" i="6"/>
  <c r="L103" i="6"/>
  <c r="L102" i="6"/>
  <c r="L101" i="6"/>
  <c r="L100" i="6"/>
  <c r="L99" i="6"/>
  <c r="L98" i="6"/>
  <c r="L97" i="6"/>
  <c r="L96" i="6"/>
  <c r="L95" i="6"/>
  <c r="L94" i="6"/>
  <c r="L93" i="6"/>
  <c r="L92" i="6"/>
  <c r="L91" i="6"/>
  <c r="L90" i="6"/>
  <c r="L89" i="6"/>
  <c r="L88" i="6"/>
  <c r="L87" i="6"/>
  <c r="L86" i="6"/>
  <c r="L85" i="6"/>
  <c r="L84" i="6"/>
  <c r="L83" i="6"/>
  <c r="L82" i="6"/>
  <c r="L81" i="6"/>
  <c r="L80" i="6"/>
  <c r="L79" i="6"/>
  <c r="L78" i="6"/>
  <c r="L77" i="6"/>
  <c r="L76" i="6"/>
  <c r="L75" i="6"/>
  <c r="L74" i="6"/>
  <c r="L73" i="6"/>
  <c r="L72" i="6"/>
  <c r="L71" i="6"/>
  <c r="L70" i="6"/>
  <c r="L69" i="6"/>
  <c r="L68" i="6"/>
  <c r="L67" i="6"/>
  <c r="L66" i="6"/>
  <c r="L65" i="6"/>
  <c r="L64" i="6"/>
  <c r="L63" i="6"/>
  <c r="L62" i="6"/>
  <c r="L61" i="6"/>
  <c r="L60" i="6"/>
  <c r="L59" i="6"/>
  <c r="L58" i="6"/>
  <c r="L57" i="6"/>
  <c r="L56" i="6"/>
  <c r="L55" i="6"/>
  <c r="L54" i="6"/>
  <c r="L53" i="6"/>
  <c r="L52" i="6"/>
  <c r="L51" i="6"/>
  <c r="L50" i="6"/>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9" i="6"/>
  <c r="K3" i="7" l="1"/>
  <c r="F5" i="16"/>
  <c r="J3" i="10"/>
  <c r="M144" i="10"/>
  <c r="M136" i="10"/>
  <c r="M112" i="10"/>
  <c r="M104" i="10"/>
  <c r="M80" i="10"/>
  <c r="M72" i="10"/>
  <c r="M48" i="10"/>
  <c r="M40" i="10"/>
  <c r="M22" i="10"/>
  <c r="M14" i="10"/>
  <c r="M26" i="10"/>
  <c r="M18" i="10"/>
  <c r="M164" i="10"/>
  <c r="M156" i="10"/>
  <c r="M148" i="10"/>
  <c r="M140" i="10"/>
  <c r="M132" i="10"/>
  <c r="M124" i="10"/>
  <c r="M116" i="10"/>
  <c r="M108" i="10"/>
  <c r="M100" i="10"/>
  <c r="M92" i="10"/>
  <c r="M84" i="10"/>
  <c r="M76" i="10"/>
  <c r="M68" i="10"/>
  <c r="M60" i="10"/>
  <c r="M52" i="10"/>
  <c r="M44" i="10"/>
  <c r="M36" i="10"/>
  <c r="M28" i="10"/>
  <c r="M21" i="10"/>
  <c r="M13" i="10"/>
  <c r="R30" i="3"/>
  <c r="R542" i="3"/>
  <c r="R502" i="3"/>
  <c r="R430" i="3"/>
  <c r="R22" i="3"/>
  <c r="R14" i="3"/>
  <c r="R534" i="3"/>
  <c r="R518" i="3"/>
  <c r="R494" i="3"/>
  <c r="R478" i="3"/>
  <c r="R462" i="3"/>
  <c r="R446" i="3"/>
  <c r="R422" i="3"/>
  <c r="R406" i="3"/>
  <c r="R375" i="3"/>
  <c r="R382" i="3"/>
  <c r="R366" i="3"/>
  <c r="R350" i="3"/>
  <c r="R334" i="3"/>
  <c r="R318" i="3"/>
  <c r="R302" i="3"/>
  <c r="R286" i="3"/>
  <c r="R270" i="3"/>
  <c r="R262" i="3"/>
  <c r="R246" i="3"/>
  <c r="R230" i="3"/>
  <c r="R214" i="3"/>
  <c r="R198" i="3"/>
  <c r="R182" i="3"/>
  <c r="R166" i="3"/>
  <c r="R158" i="3"/>
  <c r="R142" i="3"/>
  <c r="R126" i="3"/>
  <c r="R110" i="3"/>
  <c r="R94" i="3"/>
  <c r="R78" i="3"/>
  <c r="R54" i="3"/>
  <c r="R526" i="3"/>
  <c r="R510" i="3"/>
  <c r="R486" i="3"/>
  <c r="R470" i="3"/>
  <c r="R454" i="3"/>
  <c r="R438" i="3"/>
  <c r="R414" i="3"/>
  <c r="R390" i="3"/>
  <c r="R374" i="3"/>
  <c r="R358" i="3"/>
  <c r="R342" i="3"/>
  <c r="R326" i="3"/>
  <c r="R310" i="3"/>
  <c r="R294" i="3"/>
  <c r="R278" i="3"/>
  <c r="R254" i="3"/>
  <c r="R238" i="3"/>
  <c r="R222" i="3"/>
  <c r="R206" i="3"/>
  <c r="R190" i="3"/>
  <c r="R174" i="3"/>
  <c r="R150" i="3"/>
  <c r="R134" i="3"/>
  <c r="R118" i="3"/>
  <c r="R102" i="3"/>
  <c r="R86" i="3"/>
  <c r="R70" i="3"/>
  <c r="R62" i="3"/>
  <c r="R46" i="3"/>
  <c r="R38" i="3"/>
  <c r="R550" i="3"/>
  <c r="R530" i="3"/>
  <c r="R469" i="3"/>
  <c r="R552" i="3"/>
  <c r="R544" i="3"/>
  <c r="R536" i="3"/>
  <c r="R528" i="3"/>
  <c r="R520" i="3"/>
  <c r="R512" i="3"/>
  <c r="R504" i="3"/>
  <c r="R496" i="3"/>
  <c r="R8" i="3"/>
  <c r="R13" i="3"/>
  <c r="R549" i="3"/>
  <c r="R541" i="3"/>
  <c r="R533" i="3"/>
  <c r="R525" i="3"/>
  <c r="R517" i="3"/>
  <c r="R509" i="3"/>
  <c r="R493" i="3"/>
  <c r="R477" i="3"/>
  <c r="R461" i="3"/>
  <c r="R453" i="3"/>
  <c r="R445" i="3"/>
  <c r="R437" i="3"/>
  <c r="R429" i="3"/>
  <c r="R421" i="3"/>
  <c r="R413" i="3"/>
  <c r="R405" i="3"/>
  <c r="R397" i="3"/>
  <c r="R389" i="3"/>
  <c r="R381" i="3"/>
  <c r="R373" i="3"/>
  <c r="R365" i="3"/>
  <c r="R357" i="3"/>
  <c r="R349" i="3"/>
  <c r="R341" i="3"/>
  <c r="R333" i="3"/>
  <c r="R325" i="3"/>
  <c r="R317" i="3"/>
  <c r="R309" i="3"/>
  <c r="R301" i="3"/>
  <c r="R293" i="3"/>
  <c r="R285" i="3"/>
  <c r="R277" i="3"/>
  <c r="R269" i="3"/>
  <c r="R261" i="3"/>
  <c r="R253" i="3"/>
  <c r="R245" i="3"/>
  <c r="R237" i="3"/>
  <c r="R229" i="3"/>
  <c r="R221" i="3"/>
  <c r="R213" i="3"/>
  <c r="R205" i="3"/>
  <c r="R197" i="3"/>
  <c r="R189" i="3"/>
  <c r="R181" i="3"/>
  <c r="R173" i="3"/>
  <c r="R165" i="3"/>
  <c r="R157" i="3"/>
  <c r="R149" i="3"/>
  <c r="R141" i="3"/>
  <c r="R133" i="3"/>
  <c r="R125" i="3"/>
  <c r="R117" i="3"/>
  <c r="R109" i="3"/>
  <c r="R101" i="3"/>
  <c r="R93" i="3"/>
  <c r="R85" i="3"/>
  <c r="R77" i="3"/>
  <c r="R69" i="3"/>
  <c r="R61" i="3"/>
  <c r="R53" i="3"/>
  <c r="R45" i="3"/>
  <c r="R37" i="3"/>
  <c r="R29" i="3"/>
  <c r="R21" i="3"/>
  <c r="R501" i="3"/>
  <c r="R485" i="3"/>
  <c r="R540" i="3"/>
  <c r="R476" i="3"/>
  <c r="R412" i="3"/>
  <c r="R348" i="3"/>
  <c r="R284" i="3"/>
  <c r="R220" i="3"/>
  <c r="R156" i="3"/>
  <c r="R132" i="3"/>
  <c r="R100" i="3"/>
  <c r="R68" i="3"/>
  <c r="R36" i="3"/>
  <c r="R555" i="3"/>
  <c r="R547" i="3"/>
  <c r="R539" i="3"/>
  <c r="R523" i="3"/>
  <c r="R515" i="3"/>
  <c r="R507" i="3"/>
  <c r="R499" i="3"/>
  <c r="R491" i="3"/>
  <c r="R483" i="3"/>
  <c r="R475" i="3"/>
  <c r="R467" i="3"/>
  <c r="R459" i="3"/>
  <c r="R451" i="3"/>
  <c r="R219" i="3"/>
  <c r="R435" i="3"/>
  <c r="R427" i="3"/>
  <c r="R419" i="3"/>
  <c r="R411" i="3"/>
  <c r="R403" i="3"/>
  <c r="R395" i="3"/>
  <c r="R387" i="3"/>
  <c r="R199" i="3"/>
  <c r="R371" i="3"/>
  <c r="R355" i="3"/>
  <c r="R347" i="3"/>
  <c r="R339" i="3"/>
  <c r="R331" i="3"/>
  <c r="R323" i="3"/>
  <c r="R315" i="3"/>
  <c r="R307" i="3"/>
  <c r="R299" i="3"/>
  <c r="R291" i="3"/>
  <c r="R283" i="3"/>
  <c r="R275" i="3"/>
  <c r="R267" i="3"/>
  <c r="R259" i="3"/>
  <c r="R251" i="3"/>
  <c r="R243" i="3"/>
  <c r="R235" i="3"/>
  <c r="R227" i="3"/>
  <c r="R363" i="3"/>
  <c r="R211" i="3"/>
  <c r="R203" i="3"/>
  <c r="R195" i="3"/>
  <c r="R187" i="3"/>
  <c r="R179" i="3"/>
  <c r="R442" i="3"/>
  <c r="R163" i="3"/>
  <c r="R155" i="3"/>
  <c r="R147" i="3"/>
  <c r="R139" i="3"/>
  <c r="R131" i="3"/>
  <c r="R123" i="3"/>
  <c r="R115" i="3"/>
  <c r="R107" i="3"/>
  <c r="R99" i="3"/>
  <c r="R91" i="3"/>
  <c r="R83" i="3"/>
  <c r="R75" i="3"/>
  <c r="R67" i="3"/>
  <c r="R59" i="3"/>
  <c r="R51" i="3"/>
  <c r="R43" i="3"/>
  <c r="R35" i="3"/>
  <c r="R27" i="3"/>
  <c r="R19" i="3"/>
  <c r="R11" i="3"/>
  <c r="R522" i="3"/>
  <c r="R514" i="3"/>
  <c r="R506" i="3"/>
  <c r="R498" i="3"/>
  <c r="R490" i="3"/>
  <c r="R492" i="3"/>
  <c r="R474" i="3"/>
  <c r="R466" i="3"/>
  <c r="R458" i="3"/>
  <c r="R450" i="3"/>
  <c r="R194" i="3"/>
  <c r="R434" i="3"/>
  <c r="R426" i="3"/>
  <c r="R418" i="3"/>
  <c r="R410" i="3"/>
  <c r="R402" i="3"/>
  <c r="R394" i="3"/>
  <c r="R386" i="3"/>
  <c r="R482" i="3"/>
  <c r="R370" i="3"/>
  <c r="R362" i="3"/>
  <c r="R354" i="3"/>
  <c r="R346" i="3"/>
  <c r="R338" i="3"/>
  <c r="R330" i="3"/>
  <c r="R322" i="3"/>
  <c r="R314" i="3"/>
  <c r="R306" i="3"/>
  <c r="R298" i="3"/>
  <c r="R290" i="3"/>
  <c r="R282" i="3"/>
  <c r="R274" i="3"/>
  <c r="R266" i="3"/>
  <c r="R258" i="3"/>
  <c r="R250" i="3"/>
  <c r="R242" i="3"/>
  <c r="R234" i="3"/>
  <c r="R226" i="3"/>
  <c r="R218" i="3"/>
  <c r="R210" i="3"/>
  <c r="R202" i="3"/>
  <c r="R171" i="3"/>
  <c r="R186" i="3"/>
  <c r="R178" i="3"/>
  <c r="R170" i="3"/>
  <c r="R162" i="3"/>
  <c r="R154" i="3"/>
  <c r="R146" i="3"/>
  <c r="R138" i="3"/>
  <c r="R130" i="3"/>
  <c r="R122" i="3"/>
  <c r="R114" i="3"/>
  <c r="R106" i="3"/>
  <c r="R98" i="3"/>
  <c r="R90" i="3"/>
  <c r="R82" i="3"/>
  <c r="R74" i="3"/>
  <c r="R66" i="3"/>
  <c r="R58" i="3"/>
  <c r="R50" i="3"/>
  <c r="R42" i="3"/>
  <c r="R12" i="3"/>
  <c r="R26" i="3"/>
  <c r="R18" i="3"/>
  <c r="R10" i="3"/>
  <c r="R554" i="3"/>
  <c r="R553" i="3"/>
  <c r="R545" i="3"/>
  <c r="R537" i="3"/>
  <c r="R529" i="3"/>
  <c r="R521" i="3"/>
  <c r="R513" i="3"/>
  <c r="R505" i="3"/>
  <c r="R497" i="3"/>
  <c r="R489" i="3"/>
  <c r="R481" i="3"/>
  <c r="R473" i="3"/>
  <c r="R465" i="3"/>
  <c r="R457" i="3"/>
  <c r="R449" i="3"/>
  <c r="R441" i="3"/>
  <c r="R433" i="3"/>
  <c r="R425" i="3"/>
  <c r="R417" i="3"/>
  <c r="R409" i="3"/>
  <c r="R401" i="3"/>
  <c r="R393" i="3"/>
  <c r="R385" i="3"/>
  <c r="R377" i="3"/>
  <c r="R369" i="3"/>
  <c r="R361" i="3"/>
  <c r="R353" i="3"/>
  <c r="R345" i="3"/>
  <c r="R337" i="3"/>
  <c r="R329" i="3"/>
  <c r="R321" i="3"/>
  <c r="R313" i="3"/>
  <c r="R305" i="3"/>
  <c r="R297" i="3"/>
  <c r="R289" i="3"/>
  <c r="R281" i="3"/>
  <c r="R273" i="3"/>
  <c r="R265" i="3"/>
  <c r="R257" i="3"/>
  <c r="R249" i="3"/>
  <c r="R241" i="3"/>
  <c r="R233" i="3"/>
  <c r="R225" i="3"/>
  <c r="R217" i="3"/>
  <c r="R209" i="3"/>
  <c r="R201" i="3"/>
  <c r="R193" i="3"/>
  <c r="R185" i="3"/>
  <c r="R177" i="3"/>
  <c r="R169" i="3"/>
  <c r="R31" i="3"/>
  <c r="R153" i="3"/>
  <c r="R145" i="3"/>
  <c r="R137" i="3"/>
  <c r="R129" i="3"/>
  <c r="R121" i="3"/>
  <c r="R113" i="3"/>
  <c r="R105" i="3"/>
  <c r="R97" i="3"/>
  <c r="R89" i="3"/>
  <c r="R81" i="3"/>
  <c r="R73" i="3"/>
  <c r="R65" i="3"/>
  <c r="R57" i="3"/>
  <c r="R49" i="3"/>
  <c r="R41" i="3"/>
  <c r="R33" i="3"/>
  <c r="R25" i="3"/>
  <c r="R17" i="3"/>
  <c r="R9" i="3"/>
  <c r="R538" i="3"/>
  <c r="Q2" i="3"/>
  <c r="R546" i="3"/>
  <c r="R6" i="3"/>
  <c r="R556" i="3"/>
  <c r="R548" i="3"/>
  <c r="R532" i="3"/>
  <c r="R524" i="3"/>
  <c r="R516" i="3"/>
  <c r="R508" i="3"/>
  <c r="R500" i="3"/>
  <c r="R488" i="3"/>
  <c r="R480" i="3"/>
  <c r="R472" i="3"/>
  <c r="R464" i="3"/>
  <c r="R456" i="3"/>
  <c r="R448" i="3"/>
  <c r="R440" i="3"/>
  <c r="R432" i="3"/>
  <c r="R424" i="3"/>
  <c r="R416" i="3"/>
  <c r="R408" i="3"/>
  <c r="R400" i="3"/>
  <c r="R392" i="3"/>
  <c r="R384" i="3"/>
  <c r="R376" i="3"/>
  <c r="R368" i="3"/>
  <c r="R360" i="3"/>
  <c r="R352" i="3"/>
  <c r="R344" i="3"/>
  <c r="R336" i="3"/>
  <c r="R328" i="3"/>
  <c r="R320" i="3"/>
  <c r="R312" i="3"/>
  <c r="R304" i="3"/>
  <c r="R296" i="3"/>
  <c r="R288" i="3"/>
  <c r="R280" i="3"/>
  <c r="R272" i="3"/>
  <c r="R264" i="3"/>
  <c r="R256" i="3"/>
  <c r="R248" i="3"/>
  <c r="R240" i="3"/>
  <c r="R232" i="3"/>
  <c r="R224" i="3"/>
  <c r="R216" i="3"/>
  <c r="R208" i="3"/>
  <c r="R200" i="3"/>
  <c r="R192" i="3"/>
  <c r="R184" i="3"/>
  <c r="R176" i="3"/>
  <c r="R168" i="3"/>
  <c r="R160" i="3"/>
  <c r="R152" i="3"/>
  <c r="R144" i="3"/>
  <c r="R136" i="3"/>
  <c r="R128" i="3"/>
  <c r="R120" i="3"/>
  <c r="R112" i="3"/>
  <c r="R104" i="3"/>
  <c r="R96" i="3"/>
  <c r="R88" i="3"/>
  <c r="R80" i="3"/>
  <c r="R72" i="3"/>
  <c r="R64" i="3"/>
  <c r="R56" i="3"/>
  <c r="R48" i="3"/>
  <c r="R40" i="3"/>
  <c r="R32" i="3"/>
  <c r="R24" i="3"/>
  <c r="R16" i="3"/>
  <c r="R378" i="3"/>
  <c r="R484" i="3"/>
  <c r="R468" i="3"/>
  <c r="R460" i="3"/>
  <c r="R452" i="3"/>
  <c r="R444" i="3"/>
  <c r="R436" i="3"/>
  <c r="R428" i="3"/>
  <c r="R420" i="3"/>
  <c r="R398" i="3"/>
  <c r="R396" i="3"/>
  <c r="R388" i="3"/>
  <c r="R380" i="3"/>
  <c r="R372" i="3"/>
  <c r="R364" i="3"/>
  <c r="R356" i="3"/>
  <c r="R340" i="3"/>
  <c r="R332" i="3"/>
  <c r="R324" i="3"/>
  <c r="R316" i="3"/>
  <c r="R308" i="3"/>
  <c r="R300" i="3"/>
  <c r="R292" i="3"/>
  <c r="R276" i="3"/>
  <c r="R268" i="3"/>
  <c r="R260" i="3"/>
  <c r="R252" i="3"/>
  <c r="R244" i="3"/>
  <c r="R236" i="3"/>
  <c r="R228" i="3"/>
  <c r="R212" i="3"/>
  <c r="R204" i="3"/>
  <c r="R196" i="3"/>
  <c r="R188" i="3"/>
  <c r="R180" i="3"/>
  <c r="R172" i="3"/>
  <c r="R164" i="3"/>
  <c r="R148" i="3"/>
  <c r="R140" i="3"/>
  <c r="R124" i="3"/>
  <c r="R116" i="3"/>
  <c r="R108" i="3"/>
  <c r="R92" i="3"/>
  <c r="R84" i="3"/>
  <c r="R76" i="3"/>
  <c r="R60" i="3"/>
  <c r="R52" i="3"/>
  <c r="R44" i="3"/>
  <c r="R28" i="3"/>
  <c r="R20" i="3"/>
  <c r="R443" i="3"/>
  <c r="R551" i="3"/>
  <c r="R543" i="3"/>
  <c r="R535" i="3"/>
  <c r="R527" i="3"/>
  <c r="R519" i="3"/>
  <c r="R511" i="3"/>
  <c r="R503" i="3"/>
  <c r="R495" i="3"/>
  <c r="R487" i="3"/>
  <c r="R479" i="3"/>
  <c r="R471" i="3"/>
  <c r="R463" i="3"/>
  <c r="R455" i="3"/>
  <c r="R447" i="3"/>
  <c r="R439" i="3"/>
  <c r="R431" i="3"/>
  <c r="R423" i="3"/>
  <c r="R415" i="3"/>
  <c r="R407" i="3"/>
  <c r="R399" i="3"/>
  <c r="R391" i="3"/>
  <c r="R383" i="3"/>
  <c r="R34" i="3"/>
  <c r="R367" i="3"/>
  <c r="R359" i="3"/>
  <c r="R351" i="3"/>
  <c r="R343" i="3"/>
  <c r="R335" i="3"/>
  <c r="R327" i="3"/>
  <c r="R319" i="3"/>
  <c r="R311" i="3"/>
  <c r="R303" i="3"/>
  <c r="R295" i="3"/>
  <c r="R287" i="3"/>
  <c r="R279" i="3"/>
  <c r="R271" i="3"/>
  <c r="R263" i="3"/>
  <c r="R255" i="3"/>
  <c r="R247" i="3"/>
  <c r="R239" i="3"/>
  <c r="R231" i="3"/>
  <c r="R223" i="3"/>
  <c r="R215" i="3"/>
  <c r="R207" i="3"/>
  <c r="R79" i="3"/>
  <c r="R191" i="3"/>
  <c r="R183" i="3"/>
  <c r="R175" i="3"/>
  <c r="R167" i="3"/>
  <c r="R159" i="3"/>
  <c r="R151" i="3"/>
  <c r="R143" i="3"/>
  <c r="R135" i="3"/>
  <c r="R127" i="3"/>
  <c r="R119" i="3"/>
  <c r="R111" i="3"/>
  <c r="R103" i="3"/>
  <c r="R95" i="3"/>
  <c r="R87" i="3"/>
  <c r="R161" i="3"/>
  <c r="R71" i="3"/>
  <c r="R63" i="3"/>
  <c r="R55" i="3"/>
  <c r="R47" i="3"/>
  <c r="R39" i="3"/>
  <c r="R404" i="3"/>
  <c r="R23" i="3"/>
  <c r="R15" i="3"/>
  <c r="R7" i="3"/>
  <c r="O3" i="10"/>
  <c r="M7" i="10"/>
  <c r="M19" i="10"/>
  <c r="M11" i="10"/>
  <c r="M161" i="10"/>
  <c r="M153" i="10"/>
  <c r="M145" i="10"/>
  <c r="M137" i="10"/>
  <c r="M129" i="10"/>
  <c r="M121" i="10"/>
  <c r="M113" i="10"/>
  <c r="M105" i="10"/>
  <c r="M97" i="10"/>
  <c r="M89" i="10"/>
  <c r="M81" i="10"/>
  <c r="M73" i="10"/>
  <c r="M65" i="10"/>
  <c r="M57" i="10"/>
  <c r="M49" i="10"/>
  <c r="M41" i="10"/>
  <c r="M33" i="10"/>
  <c r="M10" i="10"/>
  <c r="K3" i="10"/>
  <c r="M24" i="10"/>
  <c r="M16" i="10"/>
  <c r="M8" i="10"/>
  <c r="J3" i="7"/>
  <c r="O3" i="7"/>
  <c r="N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C50CBA-1F2A-4AF4-B825-EE3F18084DBC}"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2" xr16:uid="{B4190111-C171-414E-AB86-37B55A20F9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8F2DD95-30AE-425F-97A0-B9A2480D6776}" name="WorksheetConnection_Baby_Care_sourceDA1.xlsx!BabycareRaw" type="102" refreshedVersion="8" minRefreshableVersion="5">
    <extLst>
      <ext xmlns:x15="http://schemas.microsoft.com/office/spreadsheetml/2010/11/main" uri="{DE250136-89BD-433C-8126-D09CA5730AF9}">
        <x15:connection id="BabycareRaw">
          <x15:rangePr sourceName="_xlcn.WorksheetConnection_Baby_Care_sourceDA1.xlsxBabycareRaw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2].[PACKAGE TYPE].[All]}"/>
    <s v="{[Table2].[PROTECTION / CARE].[All]}"/>
    <s v="{[Table1].[MANUFACTURER2].[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<sst xmlns="http://schemas.openxmlformats.org/spreadsheetml/2006/main" count="11911" uniqueCount="1228">
  <si>
    <t>Value (in 1000 $)</t>
  </si>
  <si>
    <t>Volume (in 1000)</t>
  </si>
  <si>
    <t>PACKAGE TYPE</t>
  </si>
  <si>
    <t>PROTECTION / CARE</t>
  </si>
  <si>
    <t>PACKAGE SIZE</t>
  </si>
  <si>
    <t>MANUFACTURER</t>
  </si>
  <si>
    <t>BRAND</t>
  </si>
  <si>
    <t>BABY2000 CAMOMILLA W 20 BAG ABA SRL</t>
  </si>
  <si>
    <t>ITEM</t>
  </si>
  <si>
    <t>BAGS</t>
  </si>
  <si>
    <t>WITHOUT EXTRA PROTECTCARE INDICATION</t>
  </si>
  <si>
    <t>20</t>
  </si>
  <si>
    <t>BAMBO NATURE W 10 BAG</t>
  </si>
  <si>
    <t>10</t>
  </si>
  <si>
    <t>BAMBO NATURE W 50 BAG</t>
  </si>
  <si>
    <t>50</t>
  </si>
  <si>
    <t>BAMBO NATURE 0%PERFUME W 80 BAG</t>
  </si>
  <si>
    <t>80</t>
  </si>
  <si>
    <t>BAMBO NATURE W 80 BAG KAPAK</t>
  </si>
  <si>
    <t>BABY CREMA PLAY TIME CAMOMILE W 100 PINK</t>
  </si>
  <si>
    <t>PH BALANCED</t>
  </si>
  <si>
    <t>100</t>
  </si>
  <si>
    <t>BABYCREMA PLAYTIME CAMOMILE W 100 ORANGE</t>
  </si>
  <si>
    <t>BABY CREMA CAMOMIL W 120 BAG KAPAK</t>
  </si>
  <si>
    <t>120</t>
  </si>
  <si>
    <t>BABY CREMA ALOE 15 BAG</t>
  </si>
  <si>
    <t>15</t>
  </si>
  <si>
    <t>BABY CREMA CAMOMIL W 15 BAG</t>
  </si>
  <si>
    <t>BABY CREMA PH5.5 W 3X15/1FR BAG &amp;&amp;&amp;</t>
  </si>
  <si>
    <t>BABY CREMA WATER 99% W 15 BAG</t>
  </si>
  <si>
    <t>ALCOHOL FREE</t>
  </si>
  <si>
    <t>BABY CREMA CAMOMIL W 40 BAG</t>
  </si>
  <si>
    <t>40</t>
  </si>
  <si>
    <t>BABY CREMA COTTON&amp;PANTENOL W 4X56 BAG</t>
  </si>
  <si>
    <t>56</t>
  </si>
  <si>
    <t>BABY CREMA COTTON&amp;PANTENOL W 56 BAG</t>
  </si>
  <si>
    <t>BABY CREMA ALOE 64 BAG</t>
  </si>
  <si>
    <t>64</t>
  </si>
  <si>
    <t>BABY CREMA CAMOMIL W 64 BAG</t>
  </si>
  <si>
    <t>BABY CREMA PLAY TIME CAMOMIL W 64 BAG</t>
  </si>
  <si>
    <t>BABYCREMA CAMOMIL W 4X64 BAG SUPERTSENA</t>
  </si>
  <si>
    <t>BABY CREMA ALOE&amp;ALMOND OIL W 72 BAG</t>
  </si>
  <si>
    <t>72</t>
  </si>
  <si>
    <t>BABY CREMA CAMOMIL&amp;ALMOND W 72 BAG</t>
  </si>
  <si>
    <t>BABY CREMA COTTON W 2X72BAG50%OT TS.VTOR</t>
  </si>
  <si>
    <t>BABY CREMA COTTON&amp;PANTENOL W 72 BAG</t>
  </si>
  <si>
    <t>BABY CREMA NEVEN PH5.5 W 72 BAG</t>
  </si>
  <si>
    <t>BABY CREMA SMRADLIKA PH5.5 W 72 BAG</t>
  </si>
  <si>
    <t>BABY CREMA WATER 99% W 72 BAG</t>
  </si>
  <si>
    <t>BABYCREMA CAMOMILE W 2X72BAG50%OTTS.VTOR</t>
  </si>
  <si>
    <t>BABYCREMA COTTON&amp;PANTENOL W 3X72/1FR BAG</t>
  </si>
  <si>
    <t>BABYCREMA PLAYTIME CAMOMIL W 72 BAG KAPA</t>
  </si>
  <si>
    <t>BABY CREMA ALOE W 80 BAG</t>
  </si>
  <si>
    <t>BABY CREMA CAMOMIL W 80 BAG</t>
  </si>
  <si>
    <t>LINDY VITAMIN E PH5.5 W 120 BAG</t>
  </si>
  <si>
    <t>LINDY ALOE VERA&amp;VIT E W 64 BAG</t>
  </si>
  <si>
    <t>LINDY ALOE VERA&amp;VIT E W 64 BAG KAPAK</t>
  </si>
  <si>
    <t>LINDY CAMOMILE W 64 BAG</t>
  </si>
  <si>
    <t>LINDY CAMOMILE W 64 BAG KAPAK</t>
  </si>
  <si>
    <t>LINDY CREAM W 64 BAG KAPAK</t>
  </si>
  <si>
    <t>LINDY CREAM&amp;VIT.E PH5.5 W 64 BAG</t>
  </si>
  <si>
    <t>LINDY OLIVE OIL EXTR. PH5.5 W 64 BAG</t>
  </si>
  <si>
    <t>LINDY OLIVE OIL EXTR. W 64 BAG KAPAK</t>
  </si>
  <si>
    <t>LINDY SENSITIVE COTTON PH5.5 W 64 BAG</t>
  </si>
  <si>
    <t>SENSITIVE</t>
  </si>
  <si>
    <t>LINDY SENSITIVE W 64 BAG KAPAK</t>
  </si>
  <si>
    <t>LINDY WHITE TEA&amp;VIT E W 64 BAG</t>
  </si>
  <si>
    <t>LINDY PREMIUM LAVENDER W 90 BAG KAPAK</t>
  </si>
  <si>
    <t>90</t>
  </si>
  <si>
    <t>HYPOALLERGENIC</t>
  </si>
  <si>
    <t>LUBA BABY B5&amp;VIT E PH5.5W 120 BAG</t>
  </si>
  <si>
    <t>LUBA BABY B5&amp;VIT E PH5.5 90 W BAG</t>
  </si>
  <si>
    <t>HUGGLO BABY PH5.5 W 120 BAG KAPAK</t>
  </si>
  <si>
    <t>PAPILION BABY ALOE VERA W 100 BAG KAPAK</t>
  </si>
  <si>
    <t>PAPILION BABY SENSITIVE W 100 BAG KAPAK</t>
  </si>
  <si>
    <t>PAPILION BABY WET CHAMOMILE W 100 BAG</t>
  </si>
  <si>
    <t>PAPILION BABY WET GREEN APPLE W 100 BAG</t>
  </si>
  <si>
    <t>PAPILION BABYWET CHARM.LAVENDER W 100BAG</t>
  </si>
  <si>
    <t>PAPILION BABYWET CHARMINGROSE W 100 BAG</t>
  </si>
  <si>
    <t>PAPILION BABYWET GRAPEFRUIT&amp;LIME W 100BA</t>
  </si>
  <si>
    <t>PAPILION JUMBO WET PH5.5 W 120 BAG KAPAK</t>
  </si>
  <si>
    <t>PAPILION BABY WET SENSITIVE W 72 BAG</t>
  </si>
  <si>
    <t>PAPILION YELLOW LILY W 90 BAG KAPAK</t>
  </si>
  <si>
    <t>HONEY BEBISH WITH CREAM W 102 BAG KAPAK</t>
  </si>
  <si>
    <t>102</t>
  </si>
  <si>
    <t>PINE ALOE VERA KREMALI W 120 BAG KAPAK</t>
  </si>
  <si>
    <t>PINE ALOE VERA KREMALI W 72 BAG KAPAK</t>
  </si>
  <si>
    <t>TROMPY 20 BAG</t>
  </si>
  <si>
    <t>25</t>
  </si>
  <si>
    <t>HAPPY FRESH BABY CREAM W 72 BAG</t>
  </si>
  <si>
    <t>HAPPY FRESH BABY W 72 BAG KAPAK</t>
  </si>
  <si>
    <t>ULTRA COMPACT ANGELS ALC.FREE W 120 BAG</t>
  </si>
  <si>
    <t>ULTRA COMPACT MOMO CREAMY W 120 BAG</t>
  </si>
  <si>
    <t>ULTRA COMPACT ANGELS ALC.FREE W 72 BAG</t>
  </si>
  <si>
    <t>ULTRACOMPACT BABY PH5.5 ALC.FREE W 72 BA</t>
  </si>
  <si>
    <t>KANZ NATURAL SENS.SKIN ALC.FREE W120 BAG</t>
  </si>
  <si>
    <t>KANZ EXTRA SOFT ALC.FREE W 50 BAG</t>
  </si>
  <si>
    <t>KANZ ULTRA SOFT ALC.FREE W 72 BAG</t>
  </si>
  <si>
    <t>CHICCO SALVIETTINE SENSITIVE W 60 BAG</t>
  </si>
  <si>
    <t>60</t>
  </si>
  <si>
    <t>CHICCO SALVIETTINE PARABENI W 72 BAG</t>
  </si>
  <si>
    <t>UNI COMFORT LOTION P H5.5 72 BAG</t>
  </si>
  <si>
    <t>30</t>
  </si>
  <si>
    <t>70</t>
  </si>
  <si>
    <t>EVENT BABY CALENDULA 140 BAG KAPAK</t>
  </si>
  <si>
    <t>140</t>
  </si>
  <si>
    <t>EVENT BABY CALENDULA 140 BAG KAPAK+WIP</t>
  </si>
  <si>
    <t>EVENT BABY MOIST.CHAMOMILE 20 W BAG</t>
  </si>
  <si>
    <t>EVENT BABY SENSIT. ALOE VERA 20 BAG</t>
  </si>
  <si>
    <t>EVENT BABY CALENDULA W 25 BAG</t>
  </si>
  <si>
    <t>EVENT BABY CALENDULA W 25 BAG+WIP 140</t>
  </si>
  <si>
    <t>EVENT BABY CALENDULA HYPOALL.W 30 BAG</t>
  </si>
  <si>
    <t>EVENT BABY HYPOAL.CALENDULA 64 W BAG</t>
  </si>
  <si>
    <t>EVENT BABY HYPOALL.CHAMOMILE 72 W BAG</t>
  </si>
  <si>
    <t>EVENT BABY MOIST.CHAMOMILE 72 W BAG</t>
  </si>
  <si>
    <t>EVENT BABY SENSIT. ALOE VERA 72 W BAG</t>
  </si>
  <si>
    <t>TEX BABY PH5.5 ALC.FREE W 100 BAG PURPLE</t>
  </si>
  <si>
    <t>TEX BABY PH5.5 ALC.FREE W 100 BAG YELLOW</t>
  </si>
  <si>
    <t>24</t>
  </si>
  <si>
    <t>66</t>
  </si>
  <si>
    <t>NIVEA BABY SOFT&amp;CREME 20 BAG</t>
  </si>
  <si>
    <t>NIVEA BABY TODDIES 2IN1 60 BAG</t>
  </si>
  <si>
    <t>NIVEA BABY FRESH&amp;PURE 63 BAG</t>
  </si>
  <si>
    <t>63</t>
  </si>
  <si>
    <t>NIVEA BABY PURE&amp;SENSITIVE 63 W BAG</t>
  </si>
  <si>
    <t>NIVEA BABY SOFT&amp;CREME 63 BAG</t>
  </si>
  <si>
    <t>SMILE (BIOSPHERE CORP.)</t>
  </si>
  <si>
    <t>SMILE ALOE&amp;CAMOMILE PH5.5 60 BAG</t>
  </si>
  <si>
    <t>SOFTLINE FRESHERCREAMVITE PH5.5 W 120BAG</t>
  </si>
  <si>
    <t>BABYCARE WITHCREAM W 80/8FREE BAG KAPAK</t>
  </si>
  <si>
    <t>BABY WISH VITE&amp;PROVITAMINB5 W 120 BAG</t>
  </si>
  <si>
    <t>COSMI</t>
  </si>
  <si>
    <t>COSMI BABY ARGAN W 20 BAG</t>
  </si>
  <si>
    <t>AQUELLA BABY AMUR WITH CREAM W 120 BAG</t>
  </si>
  <si>
    <t>AQUELLA BABY ULTRA SOFT CREAM W 120 BAG</t>
  </si>
  <si>
    <t>AQUELLA TROPIC ALC.FREE W 120 BAG</t>
  </si>
  <si>
    <t>AQUELLA KIDS BABY ALOEVERA&amp;CREAM W 60BAG</t>
  </si>
  <si>
    <t>AQUELLA BABY VIT E&amp;PRO B5 W 72 BAG</t>
  </si>
  <si>
    <t>AQUELLA KIDS BABY PH5.5 W 72 BAG</t>
  </si>
  <si>
    <t>AQUELLA BABY VIT E&amp;PRO B5 W 90 BAG KAPAK</t>
  </si>
  <si>
    <t>AURA ULTRA COMF. COTTON HYPOALL. W 100 B</t>
  </si>
  <si>
    <t>AURA ULTRA COMFORT COTTON W 63 BAG</t>
  </si>
  <si>
    <t>COTTON BABY UL.SOFT CREAM ALC.FREE W 120</t>
  </si>
  <si>
    <t>COTTON BABY PH5.5 AL.FREE W 90 BAG KAPAK</t>
  </si>
  <si>
    <t>MIMI NICE BABY PH5.5 W 15 BAG</t>
  </si>
  <si>
    <t>MY COMFORT BABY ANGEL PH5.5 W 120 BAG</t>
  </si>
  <si>
    <t>MY COMFORT BABY ARGAN ALK.FREE W 120 BAG</t>
  </si>
  <si>
    <t>NICEBABY PROVITB5&amp;VITE PH5.5 W 120 BAG</t>
  </si>
  <si>
    <t>WINEX BABY PH5.5 W 72 BAG</t>
  </si>
  <si>
    <t>WINEX BABY PROVITB5&amp;VIT.F PH5.5 W 72 BAG</t>
  </si>
  <si>
    <t>FOMEX PH5.5 ALC.FREE W 72 BAG KAPAK</t>
  </si>
  <si>
    <t>PADDLERS (ENKA HIJYUEN)</t>
  </si>
  <si>
    <t>PADDLERS SOFT&amp;CREAM PROVITB5&amp;VITE W 120</t>
  </si>
  <si>
    <t>PADDLERS SOFT&amp;CREAM PROVITB5&amp;VITE W 80</t>
  </si>
  <si>
    <t>PURE BABY JUMBO PH5.5 W 120 BAG</t>
  </si>
  <si>
    <t>SLEEPY BABY SENSITIVE 110 W BAG KAPAK</t>
  </si>
  <si>
    <t>110</t>
  </si>
  <si>
    <t>SLEEPY BABY APPLE AL.FREE W 120 BAG</t>
  </si>
  <si>
    <t>SLEEPY BABY LEMON AL.FREE W 120 BAG</t>
  </si>
  <si>
    <t>SLEEPY BABY ORANGE AL.FREE W 120 BAG</t>
  </si>
  <si>
    <t>SLEEPY BABY PH5.5 120 W BAG KAPAK</t>
  </si>
  <si>
    <t>SLEEPY STRAWBERRY BABY AL.FREE 120 W BAG</t>
  </si>
  <si>
    <t>SLEEPY BABY MIXED FRUIT PH5.5 15 W BAG</t>
  </si>
  <si>
    <t>SLEEPY BABY PH5.5 70 W BAG</t>
  </si>
  <si>
    <t>YESS BABY (ERUSLU)</t>
  </si>
  <si>
    <t>YESS BABY ALC.FREE W 120 BAG</t>
  </si>
  <si>
    <t>YESS BABY ALC.FREE W 15 BAG</t>
  </si>
  <si>
    <t>ELAN SENS.CREAM LOTION W 120 BAG ZELENI</t>
  </si>
  <si>
    <t>LAN SENS.CREAM LOTION 120 BAG LILAVI</t>
  </si>
  <si>
    <t>SETABLU OAT EXTRACT PH5.5 W 72 BAG KAPAK</t>
  </si>
  <si>
    <t>LIBERO (ESSITY)</t>
  </si>
  <si>
    <t>LIBERO ALOE ALC.FREE W 20 BAG</t>
  </si>
  <si>
    <t>LIBERO ALOE&amp;CHAMOMILE W 20 BAG</t>
  </si>
  <si>
    <t>LIBERO ALOE&amp;CHAMOMILE W 4X64 BAG</t>
  </si>
  <si>
    <t>LIBERO ALOE&amp;CHAMOMILE W 64 BAG</t>
  </si>
  <si>
    <t>EVY BABY SOFT CHAMOMILE ALC.FREE W50 BAG</t>
  </si>
  <si>
    <t>EVY BABY SOFT CHAMOMILE EXTRACT W 56 BAG</t>
  </si>
  <si>
    <t>EVY BABY CREAMY ALOE VERA MOIST W 60 BAG</t>
  </si>
  <si>
    <t>EVY BABY SOFT CHAMOMILE EXTRACT W 60 BAG</t>
  </si>
  <si>
    <t>FEMOLE (FEM COSMETIC)</t>
  </si>
  <si>
    <t>FEMOLE FRESH VITE PH5.5 W 72 BAG CHERVEN</t>
  </si>
  <si>
    <t>FEMOLE FRESHBABY VITE PH5.5 W 72 BAG SIN</t>
  </si>
  <si>
    <t>BERFINY (FULYA COSMETICS)</t>
  </si>
  <si>
    <t>BERFINY CLASSIC BABY W 72 BAG</t>
  </si>
  <si>
    <t>BERFINY EXTRA BABY W 72 BAG</t>
  </si>
  <si>
    <t>FRESH RUNY (FULYA COSMETICS)</t>
  </si>
  <si>
    <t>FRESH RUNY BABY PH5.5 ALC.FREE W 120 BAG</t>
  </si>
  <si>
    <t>FRESH RUNY BABY MILK&amp;HONEY W 64 BAG</t>
  </si>
  <si>
    <t>FRESH RUNY BABY W 64 BAG</t>
  </si>
  <si>
    <t>FRESHMAKER (FULYA COSMETICS)</t>
  </si>
  <si>
    <t>FRESH MAKER BABY CREAM FRUIT W 100 BAG</t>
  </si>
  <si>
    <t>FRESH MAKER BABY PH5.5 W 120 BAG JUMBO</t>
  </si>
  <si>
    <t>FRESH MAKER BABY CREAM W 120/48FREE BAG</t>
  </si>
  <si>
    <t>FRESH MAKER BABY CREAM W 72 BAG</t>
  </si>
  <si>
    <t>FRESH MAKER BABY CREAM W 72 BAG KAPAK</t>
  </si>
  <si>
    <t>FRESH MAKER BABY CREAM W 96/24FREE BAG</t>
  </si>
  <si>
    <t>FRESH MAKER BABY W 72 BAG</t>
  </si>
  <si>
    <t>FRESH MAKER BABY WITH CREAM W 72 BAG</t>
  </si>
  <si>
    <t>FRESH MAKER ALOE VERA PH5.5 W 90 BAG</t>
  </si>
  <si>
    <t>FRESH MAKER SENSITIVE ALC.FREE W 90 BAG</t>
  </si>
  <si>
    <t>HAPPY (FULYA COSMETICS)</t>
  </si>
  <si>
    <t>HAPPY ALOE VERA W 100 BAG KAPAK</t>
  </si>
  <si>
    <t>KIDS (FULYA KOZM.)</t>
  </si>
  <si>
    <t>KIDS BABY WET WIPES W 72 BAG KAPACHE</t>
  </si>
  <si>
    <t>LIO FRESH (FULYA COSMETICS)</t>
  </si>
  <si>
    <t>LIO FRESH BABY CREAM LOTION W 72 BAG</t>
  </si>
  <si>
    <t>LIOLA (FULYA COSMETICS)</t>
  </si>
  <si>
    <t>NEMDIL (FULYA COSMETICS)</t>
  </si>
  <si>
    <t>NEMDIL BABY ROSE W 120 BAG KAPAK</t>
  </si>
  <si>
    <t>NEMDIL BABY WITH CREAM W 120 BAG KAPAK</t>
  </si>
  <si>
    <t>NEMDIL BABY ALCOHOL FREE W 72 BAG</t>
  </si>
  <si>
    <t>NEMDIL BABY OLIVE OIL CAMOMILE W 72 BAG</t>
  </si>
  <si>
    <t>NEMDIL BABYDELUXEALOE&amp;MIK&amp;HONEY W 72KAPA</t>
  </si>
  <si>
    <t>PREMIUM (FULYA COSMETICS)</t>
  </si>
  <si>
    <t>PREMIUM QUALITY BABY W 72 BAG &amp;&amp;&amp;</t>
  </si>
  <si>
    <t>PURE (FULYA COSMETICS)</t>
  </si>
  <si>
    <t>PURE BABY LILIUM W 120 BAG KAPAK</t>
  </si>
  <si>
    <t>NAPEEZ BY GRACIA (GRACIA COMPANY)</t>
  </si>
  <si>
    <t>NAPEEZBYGRACIA BABY PH5.5 100 BAG KAPAK</t>
  </si>
  <si>
    <t>MIKE LINE (GRUPA POLUDNIE SP)</t>
  </si>
  <si>
    <t>MIKE LINE SENSIT.CREAM LOTION W 72 BAG</t>
  </si>
  <si>
    <t>PRIME (GRUPPO AVELLA SRL )</t>
  </si>
  <si>
    <t>PRIME OLIODIARGAN SENSITIVE 63 BAG KAPAK</t>
  </si>
  <si>
    <t>PRIME TALKO SENSITIVE 63 BAG KAPAK</t>
  </si>
  <si>
    <t>PRIME BABY ALC.FREE 72 BAG KAPAK</t>
  </si>
  <si>
    <t>PONKY (GULSAH KOZMETIK)</t>
  </si>
  <si>
    <t>PONKY BABY W 72 BAG +KAPACHE</t>
  </si>
  <si>
    <t>PONKY BABY WET TOWEL W 72 BAG ZHALTI</t>
  </si>
  <si>
    <t>POZZY (GULSAH KOZMETIK)</t>
  </si>
  <si>
    <t>POZZY EXTRA MILK&amp;HONEY PH5.5 W 72 BAG</t>
  </si>
  <si>
    <t>POZZY EXTRA OLIVE OIL ALC.FREE W 72 BAG</t>
  </si>
  <si>
    <t>CLEANIC (HARPER HYGIENICS)</t>
  </si>
  <si>
    <t>CLEANIC BABY ATOPICAL D-PANT. PH 50 BAG</t>
  </si>
  <si>
    <t>CLEANIC BABY PROBIOTICAL HYPOAL.50 BAG</t>
  </si>
  <si>
    <t>CLEANIC BABY VEGEMILK VIT&amp;MIN.50 BAG</t>
  </si>
  <si>
    <t>PETINO (HARPER HYGIENICS)</t>
  </si>
  <si>
    <t>PETINO DELICATO&amp;FRESH ALANTOIN 120 BAG</t>
  </si>
  <si>
    <t>PETINO DELICATO&amp;FRESH ALANTOIN 84/12FR</t>
  </si>
  <si>
    <t>MOLFIX (HAYAT KIMYA)</t>
  </si>
  <si>
    <t>MOLFIX SENSITIVE PH5.5 W 40 BAG</t>
  </si>
  <si>
    <t>MOLFIX BABY COTTON PH5.5 W 50 BAG HAYAT</t>
  </si>
  <si>
    <t>MOLFIX BABY IZOT.WATER PANT.&amp;LAN.W 60 BA</t>
  </si>
  <si>
    <t>MOLFIX BABY LOTION ISO.WATER W 3X60 BAG</t>
  </si>
  <si>
    <t>MOLFIX BABY LOTION PH5.5 W 60 BAG HAYAT</t>
  </si>
  <si>
    <t>MOLFIX BABY LOTION W 3X60 BAG HAYAT</t>
  </si>
  <si>
    <t>MOLFIX BABY LOTION W 3X63 BAG HAYAT</t>
  </si>
  <si>
    <t>MOLFIX BABY W 63 BAG HAYAT</t>
  </si>
  <si>
    <t>HIMALAYA (HIMALAYA DRUG)</t>
  </si>
  <si>
    <t>HIMALAYA ALOE VERA&amp;INDIANLOTUS W 20 BAG</t>
  </si>
  <si>
    <t>ALCOHOL FREE &amp; HYPOALLERGENIC</t>
  </si>
  <si>
    <t>HIMALAYA SOOTHING&amp;PROTECTINGBABY W 20BAG</t>
  </si>
  <si>
    <t>HIMALAYA ALOE VERA&amp;INDIANLOTUS W 56 BAG</t>
  </si>
  <si>
    <t>HIMALAYA SOOTHING&amp;PROTECTINGBABY W 56BAG</t>
  </si>
  <si>
    <t>HIPP (HIPP GMBH)</t>
  </si>
  <si>
    <t>HIPP BABY SANFT ALMOND PH5.5 W 10 BAG</t>
  </si>
  <si>
    <t>HIPP BABY ULTRASENSITIVE MANDEL W 52 BAG</t>
  </si>
  <si>
    <t>52</t>
  </si>
  <si>
    <t>HIPP BABY ALMOND W 56 BAG</t>
  </si>
  <si>
    <t>HIPP BABY GENTLE CARING W 56 BAG</t>
  </si>
  <si>
    <t>HIPP BABY SANFT FEUCHT TUCHER W 56 BAG</t>
  </si>
  <si>
    <t>HIPP BABYSANFT BIOMANDELEXT.W 2X56+POD.</t>
  </si>
  <si>
    <t>HIPP BABYSANFT BIOMANDELEXTR. W 2X56 BAG</t>
  </si>
  <si>
    <t>HIPP BABYSANFT BIOMANDELEXTRACT W 56 BAG</t>
  </si>
  <si>
    <t>BIONIKE (ICIM INTERNATIONAL)</t>
  </si>
  <si>
    <t>BIONIKE TRIDERM BABY CLEANSING 72 BAG</t>
  </si>
  <si>
    <t>WATER WIPES (IRISH BREEZE LTD)</t>
  </si>
  <si>
    <t>WATERWIPES FRUITEXTR.99.9%WATER W 10 BAG</t>
  </si>
  <si>
    <t>WATERWIPES FRUITEXTR.99.9%WATER W 240BAG</t>
  </si>
  <si>
    <t>240</t>
  </si>
  <si>
    <t>WATERWIPES FRUITEXTR.99.9%WATER W 28 BAG</t>
  </si>
  <si>
    <t>28</t>
  </si>
  <si>
    <t>WATERWIPES FRUITEXTR.99.9%WATER W 60 BAG</t>
  </si>
  <si>
    <t>WATERWIPES SOAPBERRY99.9%WATER W 60 BAG</t>
  </si>
  <si>
    <t>PAW PATROL (JELLYWORKS HEALTHCARE)</t>
  </si>
  <si>
    <t>PEPPA PIG (JELLYWORKS HEALTHCARE)</t>
  </si>
  <si>
    <t>PEPPA PIG BABY MUDDY PUDDLE 56 W BAG</t>
  </si>
  <si>
    <t>JOHNSONS (JOHNSON &amp; JOHNSON INT.)</t>
  </si>
  <si>
    <t>JOHNSONS BABY GENTLE ALL OVER W 20 BAG</t>
  </si>
  <si>
    <t>JOHNSONS BAB COT.TOU SEN.W56+BOD+SHG+IGR</t>
  </si>
  <si>
    <t>JOHNSONS BABY COTTON TOUCH SENS.W 56 BAG</t>
  </si>
  <si>
    <t>JOHNSONS BABY GENTLE ALL OVER W 3X56 BAG</t>
  </si>
  <si>
    <t>JOHNSONS BABY GENTLE ALL OVER W 56 BAG</t>
  </si>
  <si>
    <t>JOHNSONS BABY SILK EXTRACT W 56 BAG</t>
  </si>
  <si>
    <t>JOHNSONS BABY GENTLE ALL OVER W 72 BAG K</t>
  </si>
  <si>
    <t>JOHNSONS BABY SENSITIVE ALC.FREE W 72 BA</t>
  </si>
  <si>
    <t>MAIA (KALESAN)</t>
  </si>
  <si>
    <t>MAIA BABY PURE&amp;SENSITIVE PH5.5 W 72 BAG</t>
  </si>
  <si>
    <t>BEBECEN (KANTARA PRODUKSIYON DAGITIM)</t>
  </si>
  <si>
    <t>BEBECAN PH5.5 ALC.FREE W 72 BAG KANTARA</t>
  </si>
  <si>
    <t>KRISPA (KAPPUS)</t>
  </si>
  <si>
    <t>KRISPA BABY CAMOMILE W 15 BAG</t>
  </si>
  <si>
    <t>KRISPA BABY CAMOMILE P H5.5 W 80 BAG</t>
  </si>
  <si>
    <t>SOFT &amp; FRESH (KARDESLER UCANYAGLAR SAN A</t>
  </si>
  <si>
    <t>FRESH'N SOFT WATER&amp;COTTON W 3X40 BAG</t>
  </si>
  <si>
    <t>FRESH'N SOFT CLASSIC PH5.5 W 90 BAG</t>
  </si>
  <si>
    <t>RENKLY BABY (KARTOPU KOLONYA)</t>
  </si>
  <si>
    <t>RENKLY JUMBO CHAMOMILE 120 W BAG KAPAK</t>
  </si>
  <si>
    <t>RENKLY BABY ALC.FREE W 70 BAG</t>
  </si>
  <si>
    <t>RENKLY BABY ALOE VERA 70 W BAG</t>
  </si>
  <si>
    <t>RENKLI BABY ALC.FREE PH5.5 W 72 BAG KAPA</t>
  </si>
  <si>
    <t>RENKLY BABY 72 W BAG</t>
  </si>
  <si>
    <t>HUGGIES (KIMBERLEY CLARK)</t>
  </si>
  <si>
    <t>HUGGIES NATURAL CARE ALOE VERA W 56 BAG</t>
  </si>
  <si>
    <t>HUGGIES PURE COTTON WOOL&amp;WATER 56 W BAG</t>
  </si>
  <si>
    <t>HUGGIES SOFT SKIN VIT E 56 BAG</t>
  </si>
  <si>
    <t>HUGGIES SOFTTOUCH WITHLOTION&amp;VITE 56 BAG</t>
  </si>
  <si>
    <t>HUGGIES UNISTAR LINGETTES 56 W BAG</t>
  </si>
  <si>
    <t>HUGGIES ALOE+VIT E W 64 BAG</t>
  </si>
  <si>
    <t>HUGGIES BABY UNISTAR W 64 BAG</t>
  </si>
  <si>
    <t>HUGGIES PURE COTTON WOOL&amp;WATER 64 W BAG</t>
  </si>
  <si>
    <t>HUGGIES PURE 99% WATER 72 W BAG</t>
  </si>
  <si>
    <t>KOMILI (KOMILI S.A.)</t>
  </si>
  <si>
    <t>KOMILI BABY SOFT ALC.FREE W 70 BAG</t>
  </si>
  <si>
    <t>KOMILI BABY COTTON PH5.5 W 80 BAG</t>
  </si>
  <si>
    <t>TANGO (KOZMO KIMYA)</t>
  </si>
  <si>
    <t>TANGO BABY SOFT VIT E ALC.FREE 72BR BAG</t>
  </si>
  <si>
    <t>MUSTELA (LABORATORY EXPANSCIENCE)</t>
  </si>
  <si>
    <t>MUSTELA BEBE CLEANSING 25 W BAG</t>
  </si>
  <si>
    <t>MUSTELA BEBE CLEANSING 25 W NP KAPAK</t>
  </si>
  <si>
    <t>MUSTELA BEBE STELATOPIA W 50 BAG KAPAK</t>
  </si>
  <si>
    <t>MUSTELABEBE STELATOPIAW50KAP+BOD+BOD+BOD</t>
  </si>
  <si>
    <t>MUSTELA BEBE CLEANSING 60 W BAG</t>
  </si>
  <si>
    <t>MUSTELA BEBE CLEANSING AVOCADO 70 W BAG</t>
  </si>
  <si>
    <t>MUSTELA BEBE CLEANSING W 70 BAG KAPAK</t>
  </si>
  <si>
    <t>MUSTELA BEBE SOOTHING ALOE VERA 70 W BAG</t>
  </si>
  <si>
    <t>LANSINOH (LANSINOH LABORATORIE INC)</t>
  </si>
  <si>
    <t>LANSINOH BABY ALC.FREE W 80 BAG KAPAK</t>
  </si>
  <si>
    <t>LARA (LARA KOZMETIK)</t>
  </si>
  <si>
    <t>LARA BABY SOFT ALOE VERA W 100 BAG KAPAK</t>
  </si>
  <si>
    <t>LARA BABY SOFT CAMOMILE W 100 BAG KAPAK</t>
  </si>
  <si>
    <t>LARA BABY SOFT GERBERA DAISY W 100 BAG</t>
  </si>
  <si>
    <t>LARA BABY SOFT LAVENDER W 100 BAG KAPAK</t>
  </si>
  <si>
    <t>LARA BABY SOFT WILD ROSE W 100 BAG KAPAK</t>
  </si>
  <si>
    <t>LARA BABYSOFT LEMON&amp;GRAPEFRUIT W 100 BAG</t>
  </si>
  <si>
    <t>LARA BABY SOFT ALOE VERA W 120 BAG KAPAK</t>
  </si>
  <si>
    <t>LARA BABY SOFT CAMOMILE BREEZE W 120 BAG</t>
  </si>
  <si>
    <t>LARA BABY SOFT CAMOMILE W 120 BAG KAPAK</t>
  </si>
  <si>
    <t>LARA BABY SOFT GERBER W 120 BAG KAPAK</t>
  </si>
  <si>
    <t>LARA BABY SOFT LAVENDER W 120 BAG KAPAK</t>
  </si>
  <si>
    <t>LARA BABY SOFT WILD ROSE W 120 BAG KAPAK</t>
  </si>
  <si>
    <t>LARA BABYSOFT LEMON&amp;GRAPEFRUIT W 120 BAG</t>
  </si>
  <si>
    <t>LARA BABYSOFT PREMIUM ALC.FREE W 120 BAG</t>
  </si>
  <si>
    <t>LARA BABY SOFT&amp;FRESH PH5.5 W 20 BAG</t>
  </si>
  <si>
    <t>LARA BABY SOFT ALOE VERA W 40 BAG</t>
  </si>
  <si>
    <t>LARA BABY SOFT VIT E&amp;PRO VIT B5 W 40 BAG</t>
  </si>
  <si>
    <t>LARA CARE BABY 99%WATER PREBIOTIC W 60</t>
  </si>
  <si>
    <t>LARA BABY FRESH W 72 BAG/KAPACHE</t>
  </si>
  <si>
    <t>LARA BABY SENSITIVE PH5.5 W 72 BAG</t>
  </si>
  <si>
    <t>LARA BABY SOFT CAMOMILE W 72 BAG/KAPACHE</t>
  </si>
  <si>
    <t>LARA BABY SOFT PH5.5 W 72 BAG</t>
  </si>
  <si>
    <t>LARA BABY SOFT PH5.5 W 72 BAG KAPAK</t>
  </si>
  <si>
    <t>LARA BABY SOFT VIT E&amp;PRO VIT B5 W 72 BAG</t>
  </si>
  <si>
    <t>LARA BABY SOFT&amp;FRESH W 72 BAG</t>
  </si>
  <si>
    <t>LARA BABY SPECIAL FORMULA VIT E W 72 BAG</t>
  </si>
  <si>
    <t>LARA BABY SOFT ALOE VERA W 80 BAG KAPAK</t>
  </si>
  <si>
    <t>LARA BABY SOFT WILD ROSE W 80 BAG KAPAK</t>
  </si>
  <si>
    <t>LARA BABYSOFT CAMOMILEBREEZ.W 80 BAG KAP</t>
  </si>
  <si>
    <t>LARA BABY SOFT EXTRA W 96 BAG/KAPACHE</t>
  </si>
  <si>
    <t>96</t>
  </si>
  <si>
    <t>PUFY (LARA COSMETIC)</t>
  </si>
  <si>
    <t>PUFY FRESH GERBERA PH5.5 W 120 BAG</t>
  </si>
  <si>
    <t>TOP BLITZ (LARA KOSMETICK)</t>
  </si>
  <si>
    <t>TOP BLITZ CREAM VIT E W 72 BAG</t>
  </si>
  <si>
    <t>54</t>
  </si>
  <si>
    <t>CONFY (LIDERSAN SAGLIK VE GIDA)</t>
  </si>
  <si>
    <t>CONFY BABY PH5.5 W 40 BAG</t>
  </si>
  <si>
    <t>CONFY BABY SENSITIVE W 90 BAG</t>
  </si>
  <si>
    <t>CONFY BABY SENSITIVE W 90 BAG PINK</t>
  </si>
  <si>
    <t>MIMOSA (MAPA INTERNATIONAL)</t>
  </si>
  <si>
    <t>MIMOSA BABY ALOE VERA 64 BAG</t>
  </si>
  <si>
    <t>MIMOSA BABY CHAMOMILE 64 BAG</t>
  </si>
  <si>
    <t>MIMOSA BABY PH5.5 72 BAG KAPAK</t>
  </si>
  <si>
    <t>SENCE (MAXBRANDS MARKETING B.V.)</t>
  </si>
  <si>
    <t>SENCE BABY SENSITIVE PH5.5 W 60 BAG</t>
  </si>
  <si>
    <t>BABY CARE (MEGA)</t>
  </si>
  <si>
    <t>BABY CARE CHAMOMILE 4X12/2FR BAG</t>
  </si>
  <si>
    <t>12</t>
  </si>
  <si>
    <t>BABY CARE CHAMOMILE W 12 BAG</t>
  </si>
  <si>
    <t>BABY CARE CHAMOMILE W 3X12/1FR BAG</t>
  </si>
  <si>
    <t>BABY CARE TRAVEL CHAMOMILE 20 BAG</t>
  </si>
  <si>
    <t>BABY CARE CLAMING PURE WATER 63 BAG</t>
  </si>
  <si>
    <t>BABY CARE PURE COTTON EXTRACT 63 BAG</t>
  </si>
  <si>
    <t>BABY CARE SENSITIVE OLIVE EXTRACT 63 BAG</t>
  </si>
  <si>
    <t>BABY CARE TRAVEL CHAMOMILE 72 BAG RE</t>
  </si>
  <si>
    <t>BABYLINO (MEGA S.A.)</t>
  </si>
  <si>
    <t>BABYLINO SENSITIVE ARNIKA&amp;CHAM W10+WIPFI</t>
  </si>
  <si>
    <t>BABY LINO SENSITIVE CHAMOMILE W 3X54/1FR</t>
  </si>
  <si>
    <t>BABY LINO SENSITIVE CHAMOMILE W 54 BAG</t>
  </si>
  <si>
    <t>BABYLINO SENSITIVE ARNIKACHAMOMILE W 54</t>
  </si>
  <si>
    <t>BABYLINO SENSITIVE CHAMOMILE W 54+10 BAG</t>
  </si>
  <si>
    <t>BABYLINO SENSITIVE CHAMOMILE W 54+WIP 10</t>
  </si>
  <si>
    <t>HUGGLO (MIS SAGLIK SAN.)</t>
  </si>
  <si>
    <t>HUGGLO WET&amp;SOFT W 100 BAG KAPAK</t>
  </si>
  <si>
    <t>L'UNICO (MONTRASIO)</t>
  </si>
  <si>
    <t>L'UNICO BABY OLIO DI ARGAN HYPO.W 72 BAG</t>
  </si>
  <si>
    <t>BIG SOFT (MORAMEX GROUP / TOBI MG LTD)</t>
  </si>
  <si>
    <t>BIG SOFT SENSITIVE WITH CREAM 100 BAG</t>
  </si>
  <si>
    <t>BIGSOFT SENSITIVEWITHCREAM 100 BAG KAPAK</t>
  </si>
  <si>
    <t>BIG SOFT CREAM SENS.PH5.5 W 120 BAG</t>
  </si>
  <si>
    <t>BIG SOFT SENSITIVE OLIVE OIL ALOE 70 BAG</t>
  </si>
  <si>
    <t>HAPPY (MORAMEX GROUP / TOBI MG LTD)</t>
  </si>
  <si>
    <t>HAPPY FAMILY BABY PH5.5 W 70 BAG</t>
  </si>
  <si>
    <t>MORS (MORS COSMETICS)</t>
  </si>
  <si>
    <t>MORS CHAMOMILE PH5.5 W 120 BAG KAPAK</t>
  </si>
  <si>
    <t>WIPEST (MORS COSMETICS)</t>
  </si>
  <si>
    <t>WIPEST COMFORT ALC.FREE W 120 BAG KAPAK</t>
  </si>
  <si>
    <t>WIPEST COMFORT ALC.FREE W 72 BAG KAPAK</t>
  </si>
  <si>
    <t>NATY (NATY AB)</t>
  </si>
  <si>
    <t>NATY SENSITIVE ALOE VERA W 56 BAG</t>
  </si>
  <si>
    <t>NATY SENSITIVE W 56 BAG NATY AB</t>
  </si>
  <si>
    <t>FRESH BABY (NAVIGA TURKEY)</t>
  </si>
  <si>
    <t>FRESH BABY PREMIUM ALC.FREE W 100 BAG</t>
  </si>
  <si>
    <t>FRESH BABY PH5.5 W 15 BAG</t>
  </si>
  <si>
    <t>FRESH BABY WATER 99.9% W 60 BAG</t>
  </si>
  <si>
    <t>FRESH BABY P H5.5 W 72 BAG</t>
  </si>
  <si>
    <t>FRESH BABY PH5.5 W 72 BAG KAPAK</t>
  </si>
  <si>
    <t>GOLDEN (NAVIGA TURKEY)</t>
  </si>
  <si>
    <t>GOLDEN SENSITIVE W 120 BAG</t>
  </si>
  <si>
    <t>GOLDEN SENSITIVE W 72 BAG</t>
  </si>
  <si>
    <t>MY FIX (NAVIGA TURKEY)</t>
  </si>
  <si>
    <t>MY FIX BABY ROSE FRESH W 80 BAG KAPAK</t>
  </si>
  <si>
    <t>PUFFY (NAVIGA TURKEY)</t>
  </si>
  <si>
    <t>PUFFY BABY SENSITIVE PURE W 88 BAG KAPAK</t>
  </si>
  <si>
    <t>88</t>
  </si>
  <si>
    <t>TITO (NAVIGA TURKEY)</t>
  </si>
  <si>
    <t>TITO BABY SOFT COMFORT PH5.5 W 120 BAG</t>
  </si>
  <si>
    <t>TITO BABY PH5.5 ALC.FREE W 72 BAG KAPAK</t>
  </si>
  <si>
    <t>TITO BABY SOFT COMFORT PH5.5 W 72 BAG</t>
  </si>
  <si>
    <t>FRESH (NUR GIDA SAN)</t>
  </si>
  <si>
    <t>FRESH BABY PREM.QUALITY PH5.5 W 120 BAG</t>
  </si>
  <si>
    <t>FRESH SENSE (NUR GIDA SAN)</t>
  </si>
  <si>
    <t>FRESH SENSE CHAMOM.LOTION PH5.5 72 BAG</t>
  </si>
  <si>
    <t>PUFY (NUR GIDA SANAYI)</t>
  </si>
  <si>
    <t>PUFY BABY CHAMOMILE PH5.5 W 120 BAG</t>
  </si>
  <si>
    <t>SPEEDY CARE (O-PAC S.R.L.)</t>
  </si>
  <si>
    <t>SPEEDYCARE BABYLINECONCREMAMAXI 20 BAG</t>
  </si>
  <si>
    <t>CAN BEBE (ONTEX)</t>
  </si>
  <si>
    <t>CAN BEBE BASIC CARE ALK.FREE W 56 BAG</t>
  </si>
  <si>
    <t>BABS &amp; BABS (OZDAMARLAR GIDA A.S.)</t>
  </si>
  <si>
    <t>BABS&amp;BABS BABY PH5.5 120 W BAG KAPAK</t>
  </si>
  <si>
    <t>KOPRINA (OZYURT TEKSTIL SAN)</t>
  </si>
  <si>
    <t>BEBIKO (PAKSEL KIMYA)</t>
  </si>
  <si>
    <t>BEBIKO VIPBABY ACTIVE&amp;SOFT PH5.5 100 BAG</t>
  </si>
  <si>
    <t>BEBIKO VIP BABY ALOE VERA W 72 BAG KAPAK</t>
  </si>
  <si>
    <t>PAPATYA (PAPATYA PAMUK KOSMETIK)</t>
  </si>
  <si>
    <t>PAPATYA BABY B5&amp;VIT E PH5.5 90 W BAG</t>
  </si>
  <si>
    <t>PERFETTO (PERFETTO GROUP)</t>
  </si>
  <si>
    <t>PERFETTO PH5.5 ALC.FREE W 80 BAG</t>
  </si>
  <si>
    <t>BETTY (PHOENIX PHARMA DOO)</t>
  </si>
  <si>
    <t>BETTY BABY ALC.FREE W 24 BAG</t>
  </si>
  <si>
    <t>BETTY BABY ALC.FREE W 72 BAG</t>
  </si>
  <si>
    <t>KLORANE (PIERRE FABRE)</t>
  </si>
  <si>
    <t>KLORANE BEBE CALENDULA ALC.FREE W 25 BAG</t>
  </si>
  <si>
    <t>KLORANE BEBE CALENDULA CLEAN.LOTION W 70</t>
  </si>
  <si>
    <t>KLORANE BEBE CALENDULA THICKCL. W 70 BAG</t>
  </si>
  <si>
    <t>KLORANE BEBE CALENDULA W 70 SP.TS. BAG</t>
  </si>
  <si>
    <t>FRESH (PIRAMIDA 72 DOO)</t>
  </si>
  <si>
    <t>FRESH BABY ALOE&amp;CALEN. PH5.5 W 60 BAG</t>
  </si>
  <si>
    <t>FRESH BABY AQUA PURE PH5.5 W 60 BAG</t>
  </si>
  <si>
    <t>FRESH BABY CARE ALOE VERA W 60 BAG</t>
  </si>
  <si>
    <t>FRESH BABY SOFT CREAM W 60 BAG</t>
  </si>
  <si>
    <t>SLIPP (PREDO)</t>
  </si>
  <si>
    <t>SLIPP BEBE SENS.LOTION&amp;VITE&amp;B5 W 120 BAG</t>
  </si>
  <si>
    <t>MELANI (PROBEG 97)</t>
  </si>
  <si>
    <t>MELANI BABY ALOEVERA&amp;VITE W 64 BAG KAPAK</t>
  </si>
  <si>
    <t>PAMPERS (PROCTER &amp; GAMBLE)</t>
  </si>
  <si>
    <t>PAMPERS AQUA PURE ALC.FREE 12 BAG+DIA</t>
  </si>
  <si>
    <t>PAMPERS AQUA PURE ALC.FREE 12 BAG+DIA28</t>
  </si>
  <si>
    <t>PAMPERS AQUA PURE ALC.FREE 12 BAG+DIA50</t>
  </si>
  <si>
    <t>PAMPERS SENSITIVE ALC.FREE 12 BAG</t>
  </si>
  <si>
    <t>PAMPERS SENSITIVE PH5.5 12 BAG</t>
  </si>
  <si>
    <t>PAMPERS SENSITIVE PROTECT PH5.5 12 BAG</t>
  </si>
  <si>
    <t>PAMPERS BABY FRESH 24 BAG</t>
  </si>
  <si>
    <t>PAMPERS SOLE E LUNA CAMOMILLA 50/25%BAG</t>
  </si>
  <si>
    <t>37</t>
  </si>
  <si>
    <t>PAMPERS AQUA HARMONIE 99%WATER 3X48 BAG</t>
  </si>
  <si>
    <t>48</t>
  </si>
  <si>
    <t>PAMPERS AQUA HARMONIE 99%WATER AL.FR.48</t>
  </si>
  <si>
    <t>PAMPERS AQUA PURE ALC.FREE 3X48 BAG</t>
  </si>
  <si>
    <t>PAMPERS AQUA PURE ALC.FREE 48 BAG</t>
  </si>
  <si>
    <t>PAMPERS SENSITIVE 50 BAG</t>
  </si>
  <si>
    <t>PAMPERS BABY FRESH CLEAN W 2X52 BAG</t>
  </si>
  <si>
    <t>PAMPERS BABY FRESH CLEAN W 4X52 BAG</t>
  </si>
  <si>
    <t>PAMPERS BABY FRESH CLEAN W 52 BAG</t>
  </si>
  <si>
    <t>PAMPERS BABY FRESH CLEAN W 52 BAG+DIA 38</t>
  </si>
  <si>
    <t>PAMPERS BABY FRESH CLEAN W 52 BAG+DIA 40</t>
  </si>
  <si>
    <t>PAMPERS BABY FRESH CLEAN W 52 BAG+DIA 42</t>
  </si>
  <si>
    <t>PAMPERS BABY FRESH CLEAN W 52 BAG+DIA 44</t>
  </si>
  <si>
    <t>PAMPERS BABY FRESH CLEAN W 52 BAG+DIA 51</t>
  </si>
  <si>
    <t>PAMPERS BABY FRESH CLEAN W 52 BAG+DIA 52</t>
  </si>
  <si>
    <t>PAMPERS BABY FRESH CLEAN W 52 BAG+DIA 53</t>
  </si>
  <si>
    <t>PAMPERS BABY FRESH CLEAN W 52 BAG+DIA 54</t>
  </si>
  <si>
    <t>PAMPERS BABY FRESH CLEAN W 52 BAG+DIA 58</t>
  </si>
  <si>
    <t>PAMPERS BABY FRESH CLEAN W 52 BAG+DIA 60</t>
  </si>
  <si>
    <t>PAMPERS BABY FRESH CLEAN W 52 BAG+DIA 66</t>
  </si>
  <si>
    <t>PAMPERS BABY FRESH CLEAN W 52 BAG+DIA 68</t>
  </si>
  <si>
    <t>PAMPERS BABY FRESH CLEAN W 52 BAG+DIA 76</t>
  </si>
  <si>
    <t>PAMPERS BABY FRESH CLEAN W 52 BAG+DIA 78</t>
  </si>
  <si>
    <t>PAMPERS BABY FRESH CLEAN W 52 BAG+DIA 90</t>
  </si>
  <si>
    <t>PAMPERS BABY FRESH CLEAN W 52 BAG+DIA104</t>
  </si>
  <si>
    <t>PAMPERS BABY FRESH CLEAN W 52 BAG+DIA50</t>
  </si>
  <si>
    <t>PAMPERS BABY FRESH CLEAN W 52+DIA PANT38</t>
  </si>
  <si>
    <t>PAMPERS BABY FRESH CLEAN W 6X52 BAG</t>
  </si>
  <si>
    <t>PAMPERS BABY FRESH CLEAN W52+DIA ACT6 44</t>
  </si>
  <si>
    <t>PAMPERS BABY FRESH CLEAN W52+DIA PANTS60</t>
  </si>
  <si>
    <t>PAMPERS SENSITIVE PH5.5 2X52 BAG</t>
  </si>
  <si>
    <t>PAMPERS SENSITIVE PH5.5 4X52 BAG</t>
  </si>
  <si>
    <t>PAMPERS SENSITIVE PH5.5 52 BAG</t>
  </si>
  <si>
    <t>PAMPERS SENSITIVE PH5.5 6X52 BAG</t>
  </si>
  <si>
    <t>PAMPERS SENSITIVE 54 BAG KAPAK</t>
  </si>
  <si>
    <t>PAMPERS SENSITIVE 2X56 BAG</t>
  </si>
  <si>
    <t>PAMPERS SENSITIVE 4X56 BAG</t>
  </si>
  <si>
    <t>PAMPERS SENSITIVE 56 BAG</t>
  </si>
  <si>
    <t>PAMPERS SENSITIVE 56 BAG KAPAK</t>
  </si>
  <si>
    <t>PAMPERS SENSITIVE 56 BAG+DIA PANTS3 60</t>
  </si>
  <si>
    <t>PAMPERS SENSITIVE 56 BAG+DIA PANTS4 52</t>
  </si>
  <si>
    <t>PAMPERS SENSITIVE 56 BAG+DIA PANTS5 48</t>
  </si>
  <si>
    <t>PAMPERS SENSITIVE 56 BAG+DIA PANTS5 48 1</t>
  </si>
  <si>
    <t>PAMPERS SENSITIVE 56 BAG+DIA PANTS5 52</t>
  </si>
  <si>
    <t>PAMPERS SENSITIVE 56 BAG+DIA PR CARE54</t>
  </si>
  <si>
    <t>PAMPERS SENSITIVE 56 BAG+DIAPREMCARE3 60</t>
  </si>
  <si>
    <t>PAMPERS SENSITIVE 56 BAG+DIAPREMCARE5 44</t>
  </si>
  <si>
    <t>PAMPERS SENSITIVE 56BAG+DIA PANTS6 44</t>
  </si>
  <si>
    <t>PAMPERS SENSITIVE 6X56/2BR FREE BAG</t>
  </si>
  <si>
    <t>PAMPERS SENSITIVE CAMOMILE&amp;ALOE 56 BAG</t>
  </si>
  <si>
    <t>PAMPERS SENSITIVE SOFTLIKECOTTON 56 BAG</t>
  </si>
  <si>
    <t>PAMPERS SENSITIVE W 6X56/336 BAG</t>
  </si>
  <si>
    <t>PAMPERS SENSITIVE XXL W 6X56/2BR FR BAG</t>
  </si>
  <si>
    <t>PAMPERS BABY FRESH ALOE W 64 BAG</t>
  </si>
  <si>
    <t>PAMPERS BABY FRESH CLEAN W 4X64 BAG</t>
  </si>
  <si>
    <t>PAMPERS BABY FRESH CLEAN W 64 BAG</t>
  </si>
  <si>
    <t>PAMPERS BABY FRESH CLEAN W 64 BAG+DIA 42</t>
  </si>
  <si>
    <t>PAMPERS BABY FRESH CLEAN W 64 BAG+DIA 76</t>
  </si>
  <si>
    <t>PAMPERS BABY FRESH CLEAN W 64 BAG+DIA68</t>
  </si>
  <si>
    <t>PAMPERS BABY FRESH CLEAN W 6X64/384 BAG</t>
  </si>
  <si>
    <t>PAMPERS BABY FRESH ECONOMY W 2X64 BAG</t>
  </si>
  <si>
    <t>PAMPERS BABYFRESHCLEAN ALOE W 6X64/2BRFR</t>
  </si>
  <si>
    <t>PAMPERS BABYFRESHCLEAN W 3X64/1FREE BAG</t>
  </si>
  <si>
    <t>PAMPERS BABYFRESHCLEAN W 6X64/2BRFR BAG</t>
  </si>
  <si>
    <t>PAMPERS CLEAN&amp;PLAY 64 BAG</t>
  </si>
  <si>
    <t>PAMPERS NATURAL CLEAN W 64 BAG KAPAK</t>
  </si>
  <si>
    <t>PAMPERS NATURALCLEAN FRAGR.FREE W 64 BAG</t>
  </si>
  <si>
    <t>PAMPERS NATURALLY CLEAN W 4X64 BAG</t>
  </si>
  <si>
    <t>PAMPERS NATURALLY CLEAN+CHAMOMILE W 2X64</t>
  </si>
  <si>
    <t>PAMPERS NATURALLYCLEAN+CHAMOMILE W64 BAG</t>
  </si>
  <si>
    <t>PAMPERS NATURALLYCLEAN+CHAMOMILE4X64/1FR</t>
  </si>
  <si>
    <t>PAMPERS BABY FRESH CLEAN XXL W 80 BAG</t>
  </si>
  <si>
    <t>PAMPERS SENSITIVE PH5.5 XXL 80 BAG</t>
  </si>
  <si>
    <t>PAMPERS HARMONIE COCO AL.FREE 3X42 BAG</t>
  </si>
  <si>
    <t>42.0000</t>
  </si>
  <si>
    <t>PAMPERS HARMONIE COCO AL.FREE 42 BAG</t>
  </si>
  <si>
    <t>PAMPERS PURE COCONUT AL.FREE 3X42 BAG</t>
  </si>
  <si>
    <t>PAMPERS PURE COCONUT AL.FREE 42 BAG</t>
  </si>
  <si>
    <t>PAMPERS 72 R BAG</t>
  </si>
  <si>
    <t>PAMPERS SENSITIVE 56 BOX</t>
  </si>
  <si>
    <t>BOX</t>
  </si>
  <si>
    <t>PRIMA (PROCTER &amp; GAMBLE)</t>
  </si>
  <si>
    <t>PRIMA HASSAS CILTLER W 56 BAG</t>
  </si>
  <si>
    <t>URIAGE (PUIG)</t>
  </si>
  <si>
    <t>URIAGE BEBE HYPOALERGENIC W 2X70/1FR BAG</t>
  </si>
  <si>
    <t>URIAGE BEBE HYPOALERGENIC W 70 BAG</t>
  </si>
  <si>
    <t>BEBECAN (RAMER KOZMETIK)</t>
  </si>
  <si>
    <t>BEBECAN EXTRASOFT PH5.5 ALC.FREE W 72BAG</t>
  </si>
  <si>
    <t>BIMBO &amp; BIMBA (REGINA TRADING LTD)</t>
  </si>
  <si>
    <t>BIMBO&amp;BIMBA CHAMOMILE&amp;ALOE W 80 BAG</t>
  </si>
  <si>
    <t>BIMBO&amp;BIMBA CHAMOMILE&amp;CALENDULA W 80 BAG</t>
  </si>
  <si>
    <t>BIMBO&amp;BIMBA CHAMOMILE&amp;LAVENDER W 80 BAG</t>
  </si>
  <si>
    <t>BIMBO&amp;BIMBA CHAMOMILE&amp;SMRADLIKA W 80 BAG</t>
  </si>
  <si>
    <t>VIBELLE (REGINA TRADING LTD)</t>
  </si>
  <si>
    <t>VIBELLE BABY RASPBERRY VIT E PH5.5 W 144</t>
  </si>
  <si>
    <t>144</t>
  </si>
  <si>
    <t>VIBELLE BABY ULTRA SENS.ROSE PH5.5 W 144</t>
  </si>
  <si>
    <t>BELUX (RENKSAN)</t>
  </si>
  <si>
    <t>BELUX BABY SENS.CREAM LOTION W 120 BAG</t>
  </si>
  <si>
    <t>BELUX ULTRA SENSITIVE W 120/48GRATIS BAG</t>
  </si>
  <si>
    <t>SECKIN (RENKSAN)</t>
  </si>
  <si>
    <t>SECKIN PROVITB5 PH5.5 ALC.FREE W 102 BAG</t>
  </si>
  <si>
    <t>SOFT CARE (SANO LTD)</t>
  </si>
  <si>
    <t>SOFT CARE COTTON VIT ECHAMOMILE W 72 BAG</t>
  </si>
  <si>
    <t>HOPS (SAPRO TEMIZLIK)</t>
  </si>
  <si>
    <t>HOPS P H5.5 W 90/18BONUS ORANJEVI BAG</t>
  </si>
  <si>
    <t>MAXIMENS (SARIHAN TEMIZLIK)</t>
  </si>
  <si>
    <t>MAXIMENS VIT E&amp;PRO VIT B5 W 72 BAG</t>
  </si>
  <si>
    <t>DOCTOR (SC EUROPACK MEDIA SRL)</t>
  </si>
  <si>
    <t>DOCTOR WIPES BABY GRAPES W 60 BAG KAPAK</t>
  </si>
  <si>
    <t>DOCTOR WIPES BABY W 72 BAG &amp;&amp;&amp;</t>
  </si>
  <si>
    <t>MEDPROFFESIONAL (SC EUROPACK MEDIA SRL)</t>
  </si>
  <si>
    <t>MEDPROFESSIONAL BABYPOWDERARGANOIL W 24</t>
  </si>
  <si>
    <t>MED PROFESSIONAL BABY ALOE VERA W 60 BAG</t>
  </si>
  <si>
    <t>MEDPROFESSIONAL BABYGRAPESEEDOIL W 60BAG</t>
  </si>
  <si>
    <t>SPRING LINE (SC EUROPACK MEDIA SRL)</t>
  </si>
  <si>
    <t>SPRINGLINE BABY COMPLEX5VITAMINS W 72BAG</t>
  </si>
  <si>
    <t>GIAN (SCK ZETA COMPANY)</t>
  </si>
  <si>
    <t>GIAN BABY CREAM PH5.5 W 120 BAG</t>
  </si>
  <si>
    <t>GIAN BABY CREAM PH5.5 W 72 BAG</t>
  </si>
  <si>
    <t>SEBAMED (SEBAPHARMA)</t>
  </si>
  <si>
    <t>SEBAMED BABYCLEANSING EXTRASOFT W 72 BAG</t>
  </si>
  <si>
    <t>SEBAMED BABY OIL WIPES W 70 BOX</t>
  </si>
  <si>
    <t>MAMMI (SEMA TREYD ODD)</t>
  </si>
  <si>
    <t>MAMMI PH5.5 ALC.FREE W 72 BAG SINI</t>
  </si>
  <si>
    <t>MAMMI PH5.5 ALC.FREE W 72 BAG ZELENI</t>
  </si>
  <si>
    <t>ASALI (SEPA MENSUCAT)</t>
  </si>
  <si>
    <t>ASALI BABY ULTRA SOFT VIT.E W 120 BAG</t>
  </si>
  <si>
    <t>COTTON SOFT (SEPA MENSUCAT)</t>
  </si>
  <si>
    <t>COTTON SOFT CHAMOMILE ALC.FREE W 100 BAG</t>
  </si>
  <si>
    <t>COTTON SOFT PH5.5 W 120 BAG KAPAK</t>
  </si>
  <si>
    <t>COTTON SOFT PH5.5 W 72 BAG KAPAK</t>
  </si>
  <si>
    <t>COTTON SOFT W 72 BAG</t>
  </si>
  <si>
    <t>ELVIM (SEPA MENSUCAT)</t>
  </si>
  <si>
    <t>ELVIM BABY JUMBO SENSITIVE W 120 BAG</t>
  </si>
  <si>
    <t>ELVIM ULTRA SENSITIVE VIT E&amp;B5 W 70 BAG</t>
  </si>
  <si>
    <t>ELVIM BABY PH5.5 ALC.FREE W 72 BAG</t>
  </si>
  <si>
    <t>ELVIM BABY ULTRASENSITIVE LOTION&amp;VITE 72</t>
  </si>
  <si>
    <t>ELVIM BABY ULTRASENSITIVE LOTION&amp;VITE 90</t>
  </si>
  <si>
    <t>FLAMINGO (SEPA MENSUCAT)</t>
  </si>
  <si>
    <t>FLAMINGO BABY ULTRASENS.LOTION&amp;VITE 70 B</t>
  </si>
  <si>
    <t>INCI (SEPA MENSUCAT)</t>
  </si>
  <si>
    <t>INCI FRESH VITE&amp;PROVITB5 ALC.FREE W 100</t>
  </si>
  <si>
    <t>INCI FRESH VITE&amp;PROVITB5 PH5.5 W 120 BAG</t>
  </si>
  <si>
    <t>INCI FRESH ULTRASOFT VITE&amp;PROVITB5 W 144</t>
  </si>
  <si>
    <t>INCI FRESH VITE&amp;PROVITB5 PH5.5 W 60 BAG</t>
  </si>
  <si>
    <t>INCI FRESH VITE&amp;PROVITB5 PH5.5 W 72 BAG</t>
  </si>
  <si>
    <t>INCI FRESH VITE&amp;PROVITB5 PH5.5 W 90/18FR</t>
  </si>
  <si>
    <t>SEPTONA (SEPTONA SA)</t>
  </si>
  <si>
    <t>SEPTONA CALM NCARE CHAMOM BABY 12 W BAG</t>
  </si>
  <si>
    <t>SEPTONA ALOE VERA BABY ALC.FREE 20 BAG</t>
  </si>
  <si>
    <t>SEPTONA CHAMOMILE BABY 20 W BAG</t>
  </si>
  <si>
    <t>SEPTONA SENSITIVE ALMOND&amp;MILK W 20 BAG</t>
  </si>
  <si>
    <t>SEPTONA SENSITIVE CALMN CARE W 54 BAG</t>
  </si>
  <si>
    <t>SEPTONA CALM NCARE PANTENOL W 57 BAG</t>
  </si>
  <si>
    <t>57</t>
  </si>
  <si>
    <t>SEPTONA ALOE VERA BABY 64 BAG</t>
  </si>
  <si>
    <t>SEPTONA CHAMOMILE BABY 3X64/1GR W BAG</t>
  </si>
  <si>
    <t>SEPTONA CHAMOMILE BABY 64 W BAG</t>
  </si>
  <si>
    <t>SEPTONA CHAMOMILE BABY 64 W BAG KAPAK</t>
  </si>
  <si>
    <t>SEPTONA SENSITIVE ALMOND&amp;MILK W 3X64/1FR</t>
  </si>
  <si>
    <t>SEPTONA SENSITIVE ALMOND&amp;MILK W 64 BAG</t>
  </si>
  <si>
    <t>SEPTONA SENSITIVE CALMN CARE W 64 BAG</t>
  </si>
  <si>
    <t>SEPTONA MILD FRAGANCE ALC.FREE W 72 BAG</t>
  </si>
  <si>
    <t>SEPTONA CALM NCARE PANTENOL W 75 BAG</t>
  </si>
  <si>
    <t>75</t>
  </si>
  <si>
    <t>SEPTONA CALMN CARE ALOE VERA W 80 BAG</t>
  </si>
  <si>
    <t>IASSMIN (SEVIMLER)</t>
  </si>
  <si>
    <t>IASSMIN BABY CREAM PH5.5 W 72 BAG</t>
  </si>
  <si>
    <t>JUNIOR &amp; TOMMY (SEVIMLER)</t>
  </si>
  <si>
    <t>JUNIOR&amp;TOMMY SENSITIVE W 120 BAG KAPAK</t>
  </si>
  <si>
    <t>JUNIOR&amp;TOMMY SENSITIVE W 72 BAG</t>
  </si>
  <si>
    <t>JUNIOR&amp;TOMMY SENSITIVE W 72 BAG KAPAK</t>
  </si>
  <si>
    <t>LADY FRESH (SEVIMLER)</t>
  </si>
  <si>
    <t>LADY FRESH BABY ALC.FREE W 105/5FREE</t>
  </si>
  <si>
    <t>NIK &amp; SI (SEVIMLER)</t>
  </si>
  <si>
    <t>NIK&amp;SI BABY PH5.5 W 72 BAG KAPAK</t>
  </si>
  <si>
    <t>NIKI (SEVIMLER )</t>
  </si>
  <si>
    <t>NIKI BABY ALC.FREE W 130/10FR BAG KAPAK</t>
  </si>
  <si>
    <t>PEPINO (SEVIMLER)</t>
  </si>
  <si>
    <t>PEPINO BABY P H5.5 W 120/20FREE BAG</t>
  </si>
  <si>
    <t>PEPINO BABY P H5.5 W 130/10FREE BAG</t>
  </si>
  <si>
    <t>PEPINO BABY SOFT&amp;LUX P H5.5 W 70 BAG</t>
  </si>
  <si>
    <t>RENKLI (SEVIMLER)</t>
  </si>
  <si>
    <t>RENKLI MAGIC P H5.5 W 120 BAG KAPAK</t>
  </si>
  <si>
    <t>RENKLI PREMIUM BABY ALC.FREE W 130 BAG</t>
  </si>
  <si>
    <t>130</t>
  </si>
  <si>
    <t>RENKLI BABY KIDS P H5.5 W 72 BAG</t>
  </si>
  <si>
    <t>RENKLI BABY KIDS P H5.5 W 72 BAG KAPAK</t>
  </si>
  <si>
    <t>RENKLI ZOO ANTIBACTERIAL W 72 BAG KAPAK</t>
  </si>
  <si>
    <t>RENKLI BABY LUX PH5.5 W 2X80 BAG</t>
  </si>
  <si>
    <t>RENKLI BABY LUX W 80 BAG KAPACHE</t>
  </si>
  <si>
    <t>SEMI (SEVIMLER)</t>
  </si>
  <si>
    <t>SEMI LOVESOFT BABY P.H5.5 W 72 KAPAK BAG</t>
  </si>
  <si>
    <t>SWEET (SEVIMLER)</t>
  </si>
  <si>
    <t>SWEET BABY ALOEVERA PH5.5 W 72 BAG KAPAK</t>
  </si>
  <si>
    <t>FARMACOTONE (SISMA S.P.A.)</t>
  </si>
  <si>
    <t>FARMACOTONE BEBE CALENDULA SENS. 60 BAG</t>
  </si>
  <si>
    <t>FARMACOTONE BIO ALOE&amp;ALMOND PH5.5 72 BAG</t>
  </si>
  <si>
    <t>VOI (SMILE COSMETICS)</t>
  </si>
  <si>
    <t>VOI MULTI VITAMINS PH5.5 W 100 BAG SINI</t>
  </si>
  <si>
    <t>VOI MULTIVITAMINS PH5.5 W 100 BAG PURPLE</t>
  </si>
  <si>
    <t>VOI CREAM LOTION PH5.5 W 120 BAG KAPAK</t>
  </si>
  <si>
    <t>VOI CHAMOMILE PH5.5 W 72 BAG KAPAK</t>
  </si>
  <si>
    <t>VOI CREAM LOTION PH5.5 W 72 BAG KAPAK</t>
  </si>
  <si>
    <t>NATURAVERDE (SO.DI.CO - SOCIETA DISTRIBU</t>
  </si>
  <si>
    <t>NATURAVERDE BIO AVENACAMMOMILA W 20 BAG</t>
  </si>
  <si>
    <t>NATURAVERDE BIO AVENACAMMOMILA W 72 BAG</t>
  </si>
  <si>
    <t>TOVA (STANQUEEN INVESTMENT)</t>
  </si>
  <si>
    <t>ALVESTA (SWORDSON LTD)</t>
  </si>
  <si>
    <t>ALVESTA BABY PH5.5 W 120 BAG KAPAK</t>
  </si>
  <si>
    <t>ALVESTA BABY PH5.5 W 72 BAG KAPAK</t>
  </si>
  <si>
    <t>MIS MAK (SWORDSON LTD)</t>
  </si>
  <si>
    <t>MIS MAK CLEANSE&amp;REFRESH PH5.5 W 72 BAG</t>
  </si>
  <si>
    <t>BIVY (TAHA KIMYA KOZMETIK)</t>
  </si>
  <si>
    <t>BIVY BABY NEWBORN W 60 BAG KAPAK</t>
  </si>
  <si>
    <t>BIVY SOFT&amp;FRESH PROVITB5&amp;VITE W 72 BAG</t>
  </si>
  <si>
    <t>DAISY (TEKSAN)</t>
  </si>
  <si>
    <t>DAISY BABY WET WIPES W 120 BAG</t>
  </si>
  <si>
    <t>BEBECAN (TNCR GIDA)</t>
  </si>
  <si>
    <t>BEBECAN PH5.5 W 72 BAG TNCR GIDA KAPAK</t>
  </si>
  <si>
    <t>HUGO BABY (TRUVA KOZMETIK)</t>
  </si>
  <si>
    <t>HUGO BABY ALC.FREE W 120 BAG</t>
  </si>
  <si>
    <t>PROSOFT (TRUVA KOZMETIK TIC)</t>
  </si>
  <si>
    <t>PROSOFT VITE&amp;PROVITB5 W 72 BAG CHERVENI</t>
  </si>
  <si>
    <t>PROSOFT VITE&amp;PROVITB5 W 72 BAG ZELENI</t>
  </si>
  <si>
    <t>BAMBINO (ULTRA COSMETICS)</t>
  </si>
  <si>
    <t>BAMBINO SENS.ALOE&amp;OLIVE ALC.FREE W100BAG</t>
  </si>
  <si>
    <t>UNAC (UNAC GROUP KOZMETIK SAN.)</t>
  </si>
  <si>
    <t>UNAC BABY LOTION&amp;VIT.E AL.FREE W 120 BAG</t>
  </si>
  <si>
    <t>DOVE (UNILEVER)</t>
  </si>
  <si>
    <t>DOVE BABY RICHMOISTURE ALC.FREE W 50 BAG</t>
  </si>
  <si>
    <t>DOVE BABY SENSITIVE MOISTURE W 50 BAG</t>
  </si>
  <si>
    <t>BEBECAN (YESIL ILGAZ)</t>
  </si>
  <si>
    <t>BEBECAN BABY PH5.5 W 72 BAG YESIL</t>
  </si>
  <si>
    <t>YTD 24</t>
  </si>
  <si>
    <t xml:space="preserve"> FreshClean</t>
  </si>
  <si>
    <t xml:space="preserve"> Nova Garbagnate</t>
  </si>
  <si>
    <t xml:space="preserve"> BeneCare</t>
  </si>
  <si>
    <t xml:space="preserve"> VigaLife</t>
  </si>
  <si>
    <t xml:space="preserve"> Intelligent Initiative</t>
  </si>
  <si>
    <t xml:space="preserve"> BroadLeaf Group</t>
  </si>
  <si>
    <t xml:space="preserve"> ArborChemistry</t>
  </si>
  <si>
    <t xml:space="preserve"> ArkPapers</t>
  </si>
  <si>
    <t xml:space="preserve"> Arkana PaperCraft</t>
  </si>
  <si>
    <t xml:space="preserve"> Fragrantium S.A.</t>
  </si>
  <si>
    <t xml:space="preserve"> ArsenicChem</t>
  </si>
  <si>
    <t xml:space="preserve"> Creativa Worldwide</t>
  </si>
  <si>
    <t xml:space="preserve"> CultureSana</t>
  </si>
  <si>
    <t xml:space="preserve"> Ataman Industries</t>
  </si>
  <si>
    <t xml:space="preserve"> AxisOn Group</t>
  </si>
  <si>
    <t xml:space="preserve"> PureAim Cleaners</t>
  </si>
  <si>
    <t xml:space="preserve"> AlpineMeadow</t>
  </si>
  <si>
    <t xml:space="preserve"> BioRealm Corp</t>
  </si>
  <si>
    <t xml:space="preserve"> BurdenCo</t>
  </si>
  <si>
    <t xml:space="preserve"> TradeKing Cengiz</t>
  </si>
  <si>
    <t xml:space="preserve"> ClearSight</t>
  </si>
  <si>
    <t xml:space="preserve"> CodeInt B.V.</t>
  </si>
  <si>
    <t xml:space="preserve"> ChillClean</t>
  </si>
  <si>
    <t xml:space="preserve"> Cosmopolitan Italy</t>
  </si>
  <si>
    <t xml:space="preserve"> CottonUnion</t>
  </si>
  <si>
    <t xml:space="preserve"> EastChem</t>
  </si>
  <si>
    <t xml:space="preserve"> EnkaHygiene</t>
  </si>
  <si>
    <t xml:space="preserve"> ErusHealth Products</t>
  </si>
  <si>
    <t xml:space="preserve"> Esburg Health</t>
  </si>
  <si>
    <t xml:space="preserve"> SCProducts</t>
  </si>
  <si>
    <t xml:space="preserve"> EssentialsCo</t>
  </si>
  <si>
    <t xml:space="preserve"> EveCraft</t>
  </si>
  <si>
    <t xml:space="preserve"> FemmeBeauty</t>
  </si>
  <si>
    <t xml:space="preserve"> Fulya Beauty</t>
  </si>
  <si>
    <t xml:space="preserve"> Grace Corp</t>
  </si>
  <si>
    <t xml:space="preserve"> SouthernGroup SP</t>
  </si>
  <si>
    <t xml:space="preserve"> AvellinoGroup SRL</t>
  </si>
  <si>
    <t xml:space="preserve"> RoseBeauty</t>
  </si>
  <si>
    <t xml:space="preserve"> CleanHarper</t>
  </si>
  <si>
    <t xml:space="preserve"> LifeChem</t>
  </si>
  <si>
    <t xml:space="preserve"> MountainMedicine</t>
  </si>
  <si>
    <t xml:space="preserve"> Swift GMBH</t>
  </si>
  <si>
    <t xml:space="preserve"> InsideGlobal</t>
  </si>
  <si>
    <t xml:space="preserve"> CelticWind Ltd</t>
  </si>
  <si>
    <t xml:space="preserve"> JellyHealth</t>
  </si>
  <si>
    <t xml:space="preserve"> Thomson &amp; Thomson</t>
  </si>
  <si>
    <t xml:space="preserve"> KalesCo</t>
  </si>
  <si>
    <t xml:space="preserve"> Kantara Productions Distribution</t>
  </si>
  <si>
    <t xml:space="preserve"> CapPlus</t>
  </si>
  <si>
    <t xml:space="preserve"> BrothersFlyProducts SAN A.S.</t>
  </si>
  <si>
    <t xml:space="preserve"> Snowball Cologne</t>
  </si>
  <si>
    <t xml:space="preserve"> Kimberly Stone</t>
  </si>
  <si>
    <t xml:space="preserve"> OliveTree S.A.</t>
  </si>
  <si>
    <t xml:space="preserve"> CosmicChem</t>
  </si>
  <si>
    <t xml:space="preserve"> LabExpand</t>
  </si>
  <si>
    <t xml:space="preserve"> LansinLab Inc</t>
  </si>
  <si>
    <t xml:space="preserve"> Lara Beauty</t>
  </si>
  <si>
    <t xml:space="preserve"> LeaderHealthFood</t>
  </si>
  <si>
    <t xml:space="preserve"> GlobalMap</t>
  </si>
  <si>
    <t xml:space="preserve"> PrimeBrands Marketing B.V.</t>
  </si>
  <si>
    <t xml:space="preserve"> Giga S.A.</t>
  </si>
  <si>
    <t xml:space="preserve"> Miss Health Co.</t>
  </si>
  <si>
    <t xml:space="preserve"> MontraWorld</t>
  </si>
  <si>
    <t xml:space="preserve"> Moratex Group / Tobi MegaGroup LTD</t>
  </si>
  <si>
    <t xml:space="preserve"> MoreBeauty</t>
  </si>
  <si>
    <t xml:space="preserve"> NaturalCo AB</t>
  </si>
  <si>
    <t xml:space="preserve"> Voyage Turkey</t>
  </si>
  <si>
    <t xml:space="preserve"> Nur Food Industry</t>
  </si>
  <si>
    <t xml:space="preserve"> O-Package S.R.L.</t>
  </si>
  <si>
    <t xml:space="preserve"> OnTop</t>
  </si>
  <si>
    <t xml:space="preserve"> OzFoodMakers A.S.</t>
  </si>
  <si>
    <t xml:space="preserve"> CrescentTextile SAN</t>
  </si>
  <si>
    <t xml:space="preserve"> PakChem</t>
  </si>
  <si>
    <t xml:space="preserve"> Daisy Cotton Cosmetics</t>
  </si>
  <si>
    <t xml:space="preserve"> IdealGroup</t>
  </si>
  <si>
    <t xml:space="preserve"> PhoenixMedicine DOO</t>
  </si>
  <si>
    <t xml:space="preserve"> FabreStone</t>
  </si>
  <si>
    <t xml:space="preserve"> Pyramid72 DOO</t>
  </si>
  <si>
    <t xml:space="preserve"> PreDone</t>
  </si>
  <si>
    <t xml:space="preserve"> ProStart 97</t>
  </si>
  <si>
    <t xml:space="preserve"> Proctor &amp; Wager</t>
  </si>
  <si>
    <t xml:space="preserve"> PuigPeak</t>
  </si>
  <si>
    <t xml:space="preserve"> RameBeauty</t>
  </si>
  <si>
    <t xml:space="preserve"> QueenTrade LTD</t>
  </si>
  <si>
    <t xml:space="preserve"> ColorSan</t>
  </si>
  <si>
    <t xml:space="preserve"> SanHealth LTD</t>
  </si>
  <si>
    <t xml:space="preserve"> SaproClean</t>
  </si>
  <si>
    <t xml:space="preserve"> YellowHand Cleaners</t>
  </si>
  <si>
    <t xml:space="preserve"> EuroPack Communications SRL</t>
  </si>
  <si>
    <t xml:space="preserve"> SigmaKappaZeta Co.</t>
  </si>
  <si>
    <t xml:space="preserve"> SebaMedicines</t>
  </si>
  <si>
    <t xml:space="preserve"> SignalTrade</t>
  </si>
  <si>
    <t xml:space="preserve"> SepaTextiles</t>
  </si>
  <si>
    <t xml:space="preserve"> SeptOn SA</t>
  </si>
  <si>
    <t xml:space="preserve"> LovelyCo</t>
  </si>
  <si>
    <t xml:space="preserve"> Quake S.P.A.</t>
  </si>
  <si>
    <t xml:space="preserve"> HappyBeauty A.S.</t>
  </si>
  <si>
    <t xml:space="preserve"> So.Di.Co - Cosmetics Distribution Society</t>
  </si>
  <si>
    <t xml:space="preserve"> QueenStand Investment</t>
  </si>
  <si>
    <t xml:space="preserve"> BladeSon LTD</t>
  </si>
  <si>
    <t xml:space="preserve"> TahaChem Cosmetics</t>
  </si>
  <si>
    <t xml:space="preserve"> TextileSan</t>
  </si>
  <si>
    <t xml:space="preserve"> FoodTNCR</t>
  </si>
  <si>
    <t xml:space="preserve"> TroyBeauty Trade</t>
  </si>
  <si>
    <t xml:space="preserve"> MegaBeauty</t>
  </si>
  <si>
    <t xml:space="preserve"> Unac Beauty Makers SAN.</t>
  </si>
  <si>
    <t xml:space="preserve"> UniHandle</t>
  </si>
  <si>
    <t xml:space="preserve"> GreenIlgaz Group</t>
  </si>
  <si>
    <t>OKIDOKI  FreshClean CAMOMILLA 60 BAG</t>
  </si>
  <si>
    <t>SLEEPY  FreshClean 90 W BAG KAPAK</t>
  </si>
  <si>
    <t>LIOLA  FreshClean ALC.FREE W 72 BAG</t>
  </si>
  <si>
    <t>PAW PATROL  FreshClean 56 W BAG</t>
  </si>
  <si>
    <t>HUGGIES  FreshClean CUCUMBER W 24 BAG</t>
  </si>
  <si>
    <t>KOPRINA  FreshClean 72 W BAG KAPAK</t>
  </si>
  <si>
    <t>PRIMA  FreshClean ALOE W 64 BAG</t>
  </si>
  <si>
    <t>SPRING LINE  FreshClean W 120 BAG &amp;&amp;&amp;</t>
  </si>
  <si>
    <t>TOVA  FreshClean PH5.5 W 120 BAG</t>
  </si>
  <si>
    <t>BABY 2000 (Nova Garbagnate)</t>
  </si>
  <si>
    <t>BAMBO (BeneCare)</t>
  </si>
  <si>
    <t>BABY CREMA (VigaLife)</t>
  </si>
  <si>
    <t>LINDY (Intelligent Initiative)</t>
  </si>
  <si>
    <t>LUBA (BroadLeaf Group)</t>
  </si>
  <si>
    <t>NIVEA (AlpineMeadow)</t>
  </si>
  <si>
    <t>HUGGLO (ArborChemistry)</t>
  </si>
  <si>
    <t>PAPILION (ArkPapers)</t>
  </si>
  <si>
    <t>HONEY BEBISH (Arkana PaperCraft)</t>
  </si>
  <si>
    <t>PINE (Arkana PaperCraft)</t>
  </si>
  <si>
    <t>TROMPY (Fragrantium S.A.)</t>
  </si>
  <si>
    <t>HAPPY FRESH (ArsenicChem)</t>
  </si>
  <si>
    <t>ULTRA COMPACT (ArsenicChem)</t>
  </si>
  <si>
    <t>KANZ ( Creativa Worldwide)</t>
  </si>
  <si>
    <t>CHICCO (CultureSana)</t>
  </si>
  <si>
    <t>UNI (Ataman Industries)</t>
  </si>
  <si>
    <t>EVENT (AxisOn Group)</t>
  </si>
  <si>
    <t>TEX (PureAim Cleaners)</t>
  </si>
  <si>
    <t>SOFTLINE (BurdenCo)</t>
  </si>
  <si>
    <t>BABY CARE (TradeKing Cengiz)</t>
  </si>
  <si>
    <t>ClearSight (ClearSight)</t>
  </si>
  <si>
    <t>ClearSight BABY ALOE VERA PH5.5 W 25 BAG</t>
  </si>
  <si>
    <t>ClearSight BABY CALENDULA PH5.5 W 25 BAG</t>
  </si>
  <si>
    <t>ClearSight BABY CHAMOMILE PH5.5 W 25 BAG</t>
  </si>
  <si>
    <t>ClearSight BABY CHAMOMILE PH5.5 W 66 BAG</t>
  </si>
  <si>
    <t>ClearSight BABY ALOE VERA PH5.5 W 80 BAG</t>
  </si>
  <si>
    <t>ClearSight BABY CALENDULA PH5.5 W 80 BAG</t>
  </si>
  <si>
    <t>ClearSight BABY CHAMOMILE PH5.5 W 80 BAG</t>
  </si>
  <si>
    <t>OKIDOKI (CodeInt B.V.)</t>
  </si>
  <si>
    <t>BABY WISH (ChillClean)</t>
  </si>
  <si>
    <t>AQUELLA ( CottonUnion)</t>
  </si>
  <si>
    <t>AURA ( CottonUnion)</t>
  </si>
  <si>
    <t>COTTON BABY ( CottonUnion)</t>
  </si>
  <si>
    <t>MIMI ( CottonUnion)</t>
  </si>
  <si>
    <t>MY COMFORT ( CottonUnion)</t>
  </si>
  <si>
    <t>NICE BABY ( CottonUnion)</t>
  </si>
  <si>
    <t>WINEX ( CottonUnion)</t>
  </si>
  <si>
    <t>FOMEX (EastChem)</t>
  </si>
  <si>
    <t>PURE ( ErusHealth Products)</t>
  </si>
  <si>
    <t>SLEEPY ( ErusHealth Products)</t>
  </si>
  <si>
    <t>ELAN (Esburg Health)</t>
  </si>
  <si>
    <t>SETABLU (SCProducts)</t>
  </si>
  <si>
    <t>EVY BABY (EveCraft)</t>
  </si>
  <si>
    <t>BABY CARE PRODUCT ANALYSIS (using Excel)</t>
  </si>
  <si>
    <t>Manufacturer</t>
  </si>
  <si>
    <t>Nova Garbagnate</t>
  </si>
  <si>
    <t>Brand</t>
  </si>
  <si>
    <t>Package Type</t>
  </si>
  <si>
    <t>Protection/Care</t>
  </si>
  <si>
    <t>Package Size</t>
  </si>
  <si>
    <t>MANUFACTURER2</t>
  </si>
  <si>
    <t xml:space="preserve">BABY 2000 </t>
  </si>
  <si>
    <t xml:space="preserve">BAMBO </t>
  </si>
  <si>
    <t xml:space="preserve">BABY CREMA </t>
  </si>
  <si>
    <t xml:space="preserve">LINDY </t>
  </si>
  <si>
    <t xml:space="preserve">LUBA </t>
  </si>
  <si>
    <t xml:space="preserve">HUGGLO </t>
  </si>
  <si>
    <t xml:space="preserve">PAPILION </t>
  </si>
  <si>
    <t xml:space="preserve">HONEY BEBISH </t>
  </si>
  <si>
    <t xml:space="preserve">PINE </t>
  </si>
  <si>
    <t xml:space="preserve">TROMPY </t>
  </si>
  <si>
    <t xml:space="preserve">HAPPY FRESH </t>
  </si>
  <si>
    <t xml:space="preserve">ULTRA COMPACT </t>
  </si>
  <si>
    <t xml:space="preserve">KANZ </t>
  </si>
  <si>
    <t xml:space="preserve">CHICCO </t>
  </si>
  <si>
    <t xml:space="preserve">UNI </t>
  </si>
  <si>
    <t xml:space="preserve">EVENT </t>
  </si>
  <si>
    <t xml:space="preserve">TEX </t>
  </si>
  <si>
    <t xml:space="preserve">NIVEA </t>
  </si>
  <si>
    <t xml:space="preserve">SMILE </t>
  </si>
  <si>
    <t xml:space="preserve">SOFTLINE </t>
  </si>
  <si>
    <t xml:space="preserve">BABY CARE </t>
  </si>
  <si>
    <t xml:space="preserve">ClearSight </t>
  </si>
  <si>
    <t xml:space="preserve">OKIDOKI </t>
  </si>
  <si>
    <t xml:space="preserve">BABY WISH </t>
  </si>
  <si>
    <t xml:space="preserve">AQUELLA </t>
  </si>
  <si>
    <t xml:space="preserve">AURA </t>
  </si>
  <si>
    <t xml:space="preserve">COTTON BABY </t>
  </si>
  <si>
    <t xml:space="preserve">MIMI </t>
  </si>
  <si>
    <t xml:space="preserve">MY COMFORT </t>
  </si>
  <si>
    <t xml:space="preserve">NICE BABY </t>
  </si>
  <si>
    <t xml:space="preserve">WINEX </t>
  </si>
  <si>
    <t xml:space="preserve">FOMEX </t>
  </si>
  <si>
    <t xml:space="preserve">PADDLERS </t>
  </si>
  <si>
    <t xml:space="preserve">PURE </t>
  </si>
  <si>
    <t xml:space="preserve">SLEEPY </t>
  </si>
  <si>
    <t xml:space="preserve">YESS BABY </t>
  </si>
  <si>
    <t xml:space="preserve">ELAN </t>
  </si>
  <si>
    <t xml:space="preserve">SETABLU </t>
  </si>
  <si>
    <t xml:space="preserve">LIBERO </t>
  </si>
  <si>
    <t xml:space="preserve">EVY BABY </t>
  </si>
  <si>
    <t xml:space="preserve">FEMOLE </t>
  </si>
  <si>
    <t xml:space="preserve">BERFINY </t>
  </si>
  <si>
    <t xml:space="preserve">FRESH RUNY </t>
  </si>
  <si>
    <t xml:space="preserve">FRESHMAKER </t>
  </si>
  <si>
    <t xml:space="preserve">HAPPY </t>
  </si>
  <si>
    <t xml:space="preserve">KIDS </t>
  </si>
  <si>
    <t xml:space="preserve">LIO FRESH </t>
  </si>
  <si>
    <t xml:space="preserve">LIOLA </t>
  </si>
  <si>
    <t xml:space="preserve">NEMDIL </t>
  </si>
  <si>
    <t xml:space="preserve">PREMIUM </t>
  </si>
  <si>
    <t xml:space="preserve">NAPEEZ BY GRACIA </t>
  </si>
  <si>
    <t xml:space="preserve">MIKE LINE </t>
  </si>
  <si>
    <t xml:space="preserve">PRIME </t>
  </si>
  <si>
    <t xml:space="preserve">PONKY </t>
  </si>
  <si>
    <t xml:space="preserve">POZZY </t>
  </si>
  <si>
    <t xml:space="preserve">CLEANIC </t>
  </si>
  <si>
    <t xml:space="preserve">PETINO </t>
  </si>
  <si>
    <t xml:space="preserve">MOLFIX </t>
  </si>
  <si>
    <t xml:space="preserve">HIMALAYA </t>
  </si>
  <si>
    <t xml:space="preserve">HIPP </t>
  </si>
  <si>
    <t xml:space="preserve">BIONIKE </t>
  </si>
  <si>
    <t xml:space="preserve">WATER WIPES </t>
  </si>
  <si>
    <t xml:space="preserve">PAW PATROL </t>
  </si>
  <si>
    <t xml:space="preserve">PEPPA PIG </t>
  </si>
  <si>
    <t xml:space="preserve">JOHNSONS </t>
  </si>
  <si>
    <t xml:space="preserve">MAIA </t>
  </si>
  <si>
    <t xml:space="preserve">BEBECEN </t>
  </si>
  <si>
    <t xml:space="preserve">KRISPA </t>
  </si>
  <si>
    <t xml:space="preserve">SOFT &amp; FRESH </t>
  </si>
  <si>
    <t>KARDESLER UCANYAGLAR SAN A</t>
  </si>
  <si>
    <t xml:space="preserve">RENKLY BABY </t>
  </si>
  <si>
    <t xml:space="preserve">HUGGIES </t>
  </si>
  <si>
    <t xml:space="preserve">KOMILI </t>
  </si>
  <si>
    <t xml:space="preserve">TANGO </t>
  </si>
  <si>
    <t xml:space="preserve">MUSTELA </t>
  </si>
  <si>
    <t xml:space="preserve">LANSINOH </t>
  </si>
  <si>
    <t xml:space="preserve">LARA </t>
  </si>
  <si>
    <t xml:space="preserve">PUFY </t>
  </si>
  <si>
    <t xml:space="preserve">TOP BLITZ </t>
  </si>
  <si>
    <t xml:space="preserve">CONFY </t>
  </si>
  <si>
    <t xml:space="preserve">MIMOSA </t>
  </si>
  <si>
    <t xml:space="preserve">SENCE </t>
  </si>
  <si>
    <t xml:space="preserve">BABYLINO </t>
  </si>
  <si>
    <t xml:space="preserve">L'UNICO </t>
  </si>
  <si>
    <t xml:space="preserve">BIG SOFT </t>
  </si>
  <si>
    <t xml:space="preserve">MORS </t>
  </si>
  <si>
    <t xml:space="preserve">WIPEST </t>
  </si>
  <si>
    <t xml:space="preserve">NATY </t>
  </si>
  <si>
    <t xml:space="preserve">FRESH BABY </t>
  </si>
  <si>
    <t xml:space="preserve">GOLDEN </t>
  </si>
  <si>
    <t xml:space="preserve">MY FIX </t>
  </si>
  <si>
    <t xml:space="preserve">PUFFY </t>
  </si>
  <si>
    <t xml:space="preserve">TITO </t>
  </si>
  <si>
    <t xml:space="preserve">FRESH </t>
  </si>
  <si>
    <t xml:space="preserve">FRESH SENSE </t>
  </si>
  <si>
    <t xml:space="preserve">SPEEDY CARE </t>
  </si>
  <si>
    <t xml:space="preserve">CAN BEBE </t>
  </si>
  <si>
    <t xml:space="preserve">BABS &amp; BABS </t>
  </si>
  <si>
    <t xml:space="preserve">KOPRINA </t>
  </si>
  <si>
    <t xml:space="preserve">BEBIKO </t>
  </si>
  <si>
    <t xml:space="preserve">PAPATYA </t>
  </si>
  <si>
    <t xml:space="preserve">PERFETTO </t>
  </si>
  <si>
    <t xml:space="preserve">BETTY </t>
  </si>
  <si>
    <t xml:space="preserve">KLORANE </t>
  </si>
  <si>
    <t xml:space="preserve">SLIPP </t>
  </si>
  <si>
    <t xml:space="preserve">MELANI </t>
  </si>
  <si>
    <t xml:space="preserve">PAMPERS </t>
  </si>
  <si>
    <t xml:space="preserve">PRIMA </t>
  </si>
  <si>
    <t xml:space="preserve">URIAGE </t>
  </si>
  <si>
    <t xml:space="preserve">BEBECAN </t>
  </si>
  <si>
    <t xml:space="preserve">BIMBO &amp; BIMBA </t>
  </si>
  <si>
    <t xml:space="preserve">VIBELLE </t>
  </si>
  <si>
    <t xml:space="preserve">BELUX </t>
  </si>
  <si>
    <t xml:space="preserve">SECKIN </t>
  </si>
  <si>
    <t xml:space="preserve">SOFT CARE </t>
  </si>
  <si>
    <t xml:space="preserve">HOPS </t>
  </si>
  <si>
    <t xml:space="preserve">MAXIMENS </t>
  </si>
  <si>
    <t xml:space="preserve">DOCTOR </t>
  </si>
  <si>
    <t xml:space="preserve">MEDPROFFESIONAL </t>
  </si>
  <si>
    <t xml:space="preserve">SPRING LINE </t>
  </si>
  <si>
    <t xml:space="preserve">GIAN </t>
  </si>
  <si>
    <t xml:space="preserve">SEBAMED </t>
  </si>
  <si>
    <t xml:space="preserve">MAMMI </t>
  </si>
  <si>
    <t xml:space="preserve">ASALI </t>
  </si>
  <si>
    <t xml:space="preserve">COTTON SOFT </t>
  </si>
  <si>
    <t xml:space="preserve">ELVIM </t>
  </si>
  <si>
    <t xml:space="preserve">FLAMINGO </t>
  </si>
  <si>
    <t xml:space="preserve">INCI </t>
  </si>
  <si>
    <t xml:space="preserve">SEPTONA </t>
  </si>
  <si>
    <t xml:space="preserve">IASSMIN </t>
  </si>
  <si>
    <t xml:space="preserve">JUNIOR &amp; TOMMY </t>
  </si>
  <si>
    <t xml:space="preserve">LADY FRESH </t>
  </si>
  <si>
    <t xml:space="preserve">NIK &amp; SI </t>
  </si>
  <si>
    <t xml:space="preserve">NIKI </t>
  </si>
  <si>
    <t xml:space="preserve">PEPINO </t>
  </si>
  <si>
    <t xml:space="preserve">RENKLI </t>
  </si>
  <si>
    <t xml:space="preserve">SEMI </t>
  </si>
  <si>
    <t xml:space="preserve">SWEET </t>
  </si>
  <si>
    <t xml:space="preserve">FARMACOTONE </t>
  </si>
  <si>
    <t xml:space="preserve">VOI </t>
  </si>
  <si>
    <t xml:space="preserve">NATURAVERDE </t>
  </si>
  <si>
    <t>SO.DI.CO - SOCIETA DISTRIBU</t>
  </si>
  <si>
    <t xml:space="preserve">TOVA </t>
  </si>
  <si>
    <t xml:space="preserve">ALVESTA </t>
  </si>
  <si>
    <t xml:space="preserve">MIS MAK </t>
  </si>
  <si>
    <t xml:space="preserve">BIVY </t>
  </si>
  <si>
    <t xml:space="preserve">DAISY </t>
  </si>
  <si>
    <t xml:space="preserve">HUGO BABY </t>
  </si>
  <si>
    <t xml:space="preserve">PROSOFT </t>
  </si>
  <si>
    <t xml:space="preserve">BAMBINO </t>
  </si>
  <si>
    <t xml:space="preserve">UNAC </t>
  </si>
  <si>
    <t xml:space="preserve">DOVE </t>
  </si>
  <si>
    <t>BABY 2258</t>
  </si>
  <si>
    <t>Company</t>
  </si>
  <si>
    <t>BeneCare</t>
  </si>
  <si>
    <t>VigaLife</t>
  </si>
  <si>
    <t>Intelligent Initiative</t>
  </si>
  <si>
    <t>BroadLeaf Group</t>
  </si>
  <si>
    <t>ArborChemistry</t>
  </si>
  <si>
    <t>ArkPapers</t>
  </si>
  <si>
    <t>Arkana PaperCraft</t>
  </si>
  <si>
    <t>Fragrantium S.A.</t>
  </si>
  <si>
    <t>ArsenicChem</t>
  </si>
  <si>
    <t>CultureSana</t>
  </si>
  <si>
    <t>Ataman Industries</t>
  </si>
  <si>
    <t>AxisOn Group</t>
  </si>
  <si>
    <t>PureAim Cleaners</t>
  </si>
  <si>
    <t>AlpineMeadow</t>
  </si>
  <si>
    <t>BIOSPHERE CORP.</t>
  </si>
  <si>
    <t>BurdenCo</t>
  </si>
  <si>
    <t>TradeKing Cengiz</t>
  </si>
  <si>
    <t>ClearSight</t>
  </si>
  <si>
    <t>CodeInt B.V.</t>
  </si>
  <si>
    <t>ChillClean</t>
  </si>
  <si>
    <t>EastChem</t>
  </si>
  <si>
    <t>ENKA HIJYUEN</t>
  </si>
  <si>
    <t>ERUSLU</t>
  </si>
  <si>
    <t>Esburg Health</t>
  </si>
  <si>
    <t>SCProducts</t>
  </si>
  <si>
    <t>ESSITY</t>
  </si>
  <si>
    <t>EveCraft</t>
  </si>
  <si>
    <t>FEM COSMETIC</t>
  </si>
  <si>
    <t>FULYA COSMETICS</t>
  </si>
  <si>
    <t>FULYA KOZM.</t>
  </si>
  <si>
    <t>GRACIA COMPANY</t>
  </si>
  <si>
    <t>GRUPA POLUDNIE SP</t>
  </si>
  <si>
    <t xml:space="preserve">GRUPPO AVELLA SRL </t>
  </si>
  <si>
    <t>GULSAH KOZMETIK</t>
  </si>
  <si>
    <t>HARPER HYGIENICS</t>
  </si>
  <si>
    <t>HAYAT KIMYA</t>
  </si>
  <si>
    <t>HIMALAYA DRUG</t>
  </si>
  <si>
    <t>HIPP GMBH</t>
  </si>
  <si>
    <t>ICIM INTERNATIONAL</t>
  </si>
  <si>
    <t>IRISH BREEZE LTD</t>
  </si>
  <si>
    <t>JELLYWORKS HEALTHCARE</t>
  </si>
  <si>
    <t>JOHNSON &amp; JOHNSON INT.</t>
  </si>
  <si>
    <t>KALESAN</t>
  </si>
  <si>
    <t>KANTARA PRODUKSIYON DAGITIM</t>
  </si>
  <si>
    <t>KAPPUS</t>
  </si>
  <si>
    <t>KARTOPU KOLONYA</t>
  </si>
  <si>
    <t>KIMBERLEY CLARK</t>
  </si>
  <si>
    <t>KOMILI S.A.</t>
  </si>
  <si>
    <t>KOZMO KIMYA</t>
  </si>
  <si>
    <t>LABORATORY EXPANSCIENCE</t>
  </si>
  <si>
    <t>LANSINOH LABORATORIE INC</t>
  </si>
  <si>
    <t>LARA KOZMETIK</t>
  </si>
  <si>
    <t>LARA COSMETIC</t>
  </si>
  <si>
    <t>LARA KOSMETICK</t>
  </si>
  <si>
    <t>LIDERSAN SAGLIK VE GIDA</t>
  </si>
  <si>
    <t>MAPA INTERNATIONAL</t>
  </si>
  <si>
    <t>MAXBRANDS MARKETING B.V.</t>
  </si>
  <si>
    <t>MEGA</t>
  </si>
  <si>
    <t>MEGA S.A.</t>
  </si>
  <si>
    <t>MIS SAGLIK SAN.</t>
  </si>
  <si>
    <t>MONTRASIO</t>
  </si>
  <si>
    <t>MORAMEX GROUP / TOBI MG LTD</t>
  </si>
  <si>
    <t>MORS COSMETICS</t>
  </si>
  <si>
    <t>NATY AB</t>
  </si>
  <si>
    <t>NAVIGA TURKEY</t>
  </si>
  <si>
    <t>NUR GIDA SAN</t>
  </si>
  <si>
    <t>NUR GIDA SANAYI</t>
  </si>
  <si>
    <t>O-PAC S.R.L.</t>
  </si>
  <si>
    <t>ONTEX</t>
  </si>
  <si>
    <t>OZDAMARLAR GIDA A.S.</t>
  </si>
  <si>
    <t>OZYURT TEKSTIL SAN</t>
  </si>
  <si>
    <t>PAKSEL KIMYA</t>
  </si>
  <si>
    <t>PAPATYA PAMUK KOSMETIK</t>
  </si>
  <si>
    <t>PERFETTO GROUP</t>
  </si>
  <si>
    <t>PHOENIX PHARMA DOO</t>
  </si>
  <si>
    <t>PIERRE FABRE</t>
  </si>
  <si>
    <t>PIRAMIDA 72 DOO</t>
  </si>
  <si>
    <t>PREDO</t>
  </si>
  <si>
    <t>PROBEG 97</t>
  </si>
  <si>
    <t>PROCTER &amp; GAMBLE</t>
  </si>
  <si>
    <t>PUIG</t>
  </si>
  <si>
    <t>RAMER KOZMETIK</t>
  </si>
  <si>
    <t>REGINA TRADING LTD</t>
  </si>
  <si>
    <t>RENKSAN</t>
  </si>
  <si>
    <t>SANO LTD</t>
  </si>
  <si>
    <t>SAPRO TEMIZLIK</t>
  </si>
  <si>
    <t>SARIHAN TEMIZLIK</t>
  </si>
  <si>
    <t>SC EUROPACK MEDIA SRL</t>
  </si>
  <si>
    <t>SCK ZETA COMPANY</t>
  </si>
  <si>
    <t>SEBAPHARMA</t>
  </si>
  <si>
    <t>SEMA TREYD ODD</t>
  </si>
  <si>
    <t>SEPA MENSUCAT</t>
  </si>
  <si>
    <t>SEPTONA SA</t>
  </si>
  <si>
    <t>SEVIMLER</t>
  </si>
  <si>
    <t xml:space="preserve">SEVIMLER </t>
  </si>
  <si>
    <t>SISMA S.P.A.</t>
  </si>
  <si>
    <t>SMILE COSMETICS</t>
  </si>
  <si>
    <t>STANQUEEN INVESTMENT</t>
  </si>
  <si>
    <t>SWORDSON LTD</t>
  </si>
  <si>
    <t>TAHA KIMYA KOZMETIK</t>
  </si>
  <si>
    <t>TEKSAN</t>
  </si>
  <si>
    <t>TNCR GIDA</t>
  </si>
  <si>
    <t>TRUVA KOZMETIK</t>
  </si>
  <si>
    <t>TRUVA KOZMETIK TIC</t>
  </si>
  <si>
    <t>ULTRA COSMETICS</t>
  </si>
  <si>
    <t>UNAC GROUP KOZMETIK SAN.</t>
  </si>
  <si>
    <t>UNILEVER</t>
  </si>
  <si>
    <t>YESIL ILGAZ</t>
  </si>
  <si>
    <t>N.A</t>
  </si>
  <si>
    <t>2022</t>
  </si>
  <si>
    <t>2023</t>
  </si>
  <si>
    <t>Volume 2022</t>
  </si>
  <si>
    <t>Volume 2023</t>
  </si>
  <si>
    <t>Details</t>
  </si>
  <si>
    <t>Items</t>
  </si>
  <si>
    <t>Total Count</t>
  </si>
  <si>
    <t xml:space="preserve">      Items</t>
  </si>
  <si>
    <t>BABY CARE PRODUCT ANALYSIS (By Excel)</t>
  </si>
  <si>
    <t>YTD 2024</t>
  </si>
  <si>
    <t>Volume YTD 2024</t>
  </si>
  <si>
    <t>Total Value</t>
  </si>
  <si>
    <t>Volume 2024</t>
  </si>
  <si>
    <t>PRODUCT</t>
  </si>
  <si>
    <t>Row Labels</t>
  </si>
  <si>
    <t>Sum of Total Value</t>
  </si>
  <si>
    <t>Grand Total</t>
  </si>
  <si>
    <t>Sum of 2022</t>
  </si>
  <si>
    <t>Sum of 2023</t>
  </si>
  <si>
    <t>Sum of YTD 2024</t>
  </si>
  <si>
    <t>Sum of Volume 2022</t>
  </si>
  <si>
    <t>Performance Report BY Manufacturer</t>
  </si>
  <si>
    <t>Sum of Value 2022</t>
  </si>
  <si>
    <t>Sum of Value 2023</t>
  </si>
  <si>
    <t>Sum of Value YTD 2024</t>
  </si>
  <si>
    <t>Performance report by Brand</t>
  </si>
  <si>
    <t>in 000s</t>
  </si>
  <si>
    <t>Performance report (Protection/Care)</t>
  </si>
  <si>
    <t xml:space="preserve">  </t>
  </si>
  <si>
    <t>Average Price</t>
  </si>
  <si>
    <t>Sum of Volume 2023</t>
  </si>
  <si>
    <t>Sum of Volume 2024</t>
  </si>
  <si>
    <t>Sum of Average Volume</t>
  </si>
  <si>
    <t>Total Volume</t>
  </si>
  <si>
    <t>Sum of Volume YTD 2024</t>
  </si>
  <si>
    <t>Sum of Total Volume</t>
  </si>
  <si>
    <t>Count of Volume 2022</t>
  </si>
  <si>
    <t>All</t>
  </si>
  <si>
    <t>BABY CARE</t>
  </si>
  <si>
    <t>BABY CREMA</t>
  </si>
  <si>
    <t>COTTON SOFT</t>
  </si>
  <si>
    <t>EVENT</t>
  </si>
  <si>
    <t>FRESHMAKER</t>
  </si>
  <si>
    <t>LARA</t>
  </si>
  <si>
    <t>LINDY</t>
  </si>
  <si>
    <t>MOLFIX</t>
  </si>
  <si>
    <t>PAMPERS</t>
  </si>
  <si>
    <t>RENKLI</t>
  </si>
  <si>
    <t>Category Performance Matrix</t>
  </si>
  <si>
    <t>Top Product by package size</t>
  </si>
  <si>
    <t>Sales Performance by Manufacturer/ Brand/ Product</t>
  </si>
  <si>
    <t>Sales Performance report (Manufacturer)</t>
  </si>
  <si>
    <t>Sales performance report (Brand)</t>
  </si>
  <si>
    <t>42</t>
  </si>
  <si>
    <t>Sales of 2022</t>
  </si>
  <si>
    <t>By Value</t>
  </si>
  <si>
    <t>BY volume</t>
  </si>
  <si>
    <t>Freshclean (official data)</t>
  </si>
  <si>
    <t>YoY Growth</t>
  </si>
  <si>
    <t>Volume YoY</t>
  </si>
  <si>
    <t>Price Impact</t>
  </si>
  <si>
    <t>Value growth - Volume growth</t>
  </si>
  <si>
    <t>Price Impact =</t>
  </si>
  <si>
    <t>Derived Calculation</t>
  </si>
  <si>
    <t>Price Validation</t>
  </si>
  <si>
    <t>Value ( in $1000)</t>
  </si>
  <si>
    <t>Growth Metrics</t>
  </si>
  <si>
    <t>Voume growth</t>
  </si>
  <si>
    <t>YoY growth</t>
  </si>
  <si>
    <t>Volume growth</t>
  </si>
  <si>
    <t>price growth</t>
  </si>
  <si>
    <t>Performance report (By Product)</t>
  </si>
  <si>
    <t>Price Growth</t>
  </si>
  <si>
    <t>mini value trend line</t>
  </si>
  <si>
    <t>mini trend line</t>
  </si>
  <si>
    <t>trend line</t>
  </si>
  <si>
    <t>Product</t>
  </si>
  <si>
    <t>Baby Care Product Analysis Dashboard</t>
  </si>
  <si>
    <t>Total volume 2023</t>
  </si>
  <si>
    <t>Avg price per unit</t>
  </si>
  <si>
    <t>Top Protection type</t>
  </si>
  <si>
    <t>⭐Top Brand</t>
  </si>
  <si>
    <t>📈 YoY Growth</t>
  </si>
  <si>
    <t>💰 Total Sales 2023</t>
  </si>
  <si>
    <t>📦 Best Package size</t>
  </si>
  <si>
    <t>🏆 Top Manufacturer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</si>
</sst>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0_ ;\-0.00\ "/>
    <numFmt numFmtId="166" formatCode="0.000"/>
    <numFmt numFmtId="167" formatCode="_-[$$-409]* #,##0.00_ ;_-[$$-409]* \-#,##0.00\ ;_-[$$-409]* &quot;-&quot;??_ ;_-@_ "/>
  </numFmts>
  <fonts count="33" x14ac:knownFonts="1">
    <font>
      <sz val="11"/>
      <color theme="1"/>
      <name val="Calibri"/>
      <family val="2"/>
      <scheme val="minor"/>
    </font>
    <font>
      <sz val="11"/>
      <color theme="0"/>
      <name val="Calibri"/>
      <family val="2"/>
      <scheme val="minor"/>
    </font>
    <font>
      <b/>
      <sz val="10"/>
      <color theme="0"/>
      <name val="Arial"/>
      <family val="2"/>
    </font>
    <font>
      <b/>
      <sz val="10"/>
      <color rgb="FF000000"/>
      <name val="Arial"/>
      <family val="2"/>
      <charset val="204"/>
    </font>
    <font>
      <sz val="10"/>
      <color theme="0"/>
      <name val="Arial"/>
      <family val="2"/>
    </font>
    <font>
      <b/>
      <sz val="10"/>
      <color rgb="FF000000"/>
      <name val="Arial"/>
      <family val="2"/>
    </font>
    <font>
      <sz val="10"/>
      <color rgb="FF000000"/>
      <name val="Arial"/>
      <family val="2"/>
    </font>
    <font>
      <i/>
      <sz val="10"/>
      <color rgb="FF000000"/>
      <name val="Arial"/>
      <family val="2"/>
    </font>
    <font>
      <b/>
      <sz val="12"/>
      <name val="Arial"/>
      <family val="2"/>
    </font>
    <font>
      <sz val="9"/>
      <color theme="1"/>
      <name val="Calibri"/>
      <family val="2"/>
      <scheme val="minor"/>
    </font>
    <font>
      <b/>
      <sz val="9"/>
      <color rgb="FF000000"/>
      <name val="Calibri"/>
      <family val="2"/>
      <scheme val="minor"/>
    </font>
    <font>
      <sz val="9"/>
      <color theme="0"/>
      <name val="Calibri"/>
      <family val="2"/>
      <scheme val="minor"/>
    </font>
    <font>
      <sz val="9"/>
      <color rgb="FF000000"/>
      <name val="Calibri"/>
      <family val="2"/>
      <scheme val="minor"/>
    </font>
    <font>
      <b/>
      <sz val="9"/>
      <color theme="0"/>
      <name val="Calibri"/>
      <family val="2"/>
      <scheme val="minor"/>
    </font>
    <font>
      <b/>
      <sz val="12"/>
      <color theme="1"/>
      <name val="Calibri"/>
      <family val="2"/>
    </font>
    <font>
      <sz val="9"/>
      <name val="Calibri"/>
      <family val="2"/>
      <scheme val="minor"/>
    </font>
    <font>
      <sz val="8"/>
      <name val="Calibri"/>
      <family val="2"/>
      <scheme val="minor"/>
    </font>
    <font>
      <sz val="11"/>
      <name val="Calibri"/>
      <family val="2"/>
      <scheme val="minor"/>
    </font>
    <font>
      <b/>
      <sz val="9"/>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b/>
      <sz val="12"/>
      <name val="Calibri"/>
      <family val="2"/>
    </font>
    <font>
      <b/>
      <sz val="11"/>
      <color rgb="FFFA7D00"/>
      <name val="Calibri"/>
      <family val="2"/>
      <scheme val="minor"/>
    </font>
    <font>
      <b/>
      <sz val="9"/>
      <color rgb="FFFA7D00"/>
      <name val="Calibri"/>
      <family val="2"/>
      <scheme val="minor"/>
    </font>
    <font>
      <b/>
      <sz val="12"/>
      <color theme="1"/>
      <name val="Calibri"/>
      <family val="2"/>
      <scheme val="minor"/>
    </font>
    <font>
      <b/>
      <sz val="18"/>
      <color theme="1"/>
      <name val="Calibri"/>
      <family val="2"/>
    </font>
    <font>
      <b/>
      <sz val="9"/>
      <name val="Calibri"/>
      <family val="2"/>
      <scheme val="minor"/>
    </font>
    <font>
      <sz val="11"/>
      <color rgb="FF006100"/>
      <name val="Calibri"/>
      <family val="2"/>
      <scheme val="minor"/>
    </font>
    <font>
      <sz val="12"/>
      <name val="Calibri"/>
      <family val="2"/>
      <scheme val="minor"/>
    </font>
    <font>
      <sz val="11"/>
      <color rgb="FF9C0006"/>
      <name val="Calibri"/>
      <family val="2"/>
      <scheme val="minor"/>
    </font>
    <font>
      <b/>
      <sz val="11"/>
      <color rgb="FF006100"/>
      <name val="Calibri"/>
      <family val="2"/>
      <scheme val="minor"/>
    </font>
    <font>
      <b/>
      <sz val="11"/>
      <color rgb="FF9C0006"/>
      <name val="Calibri"/>
      <family val="2"/>
      <scheme val="minor"/>
    </font>
  </fonts>
  <fills count="22">
    <fill>
      <patternFill patternType="none"/>
    </fill>
    <fill>
      <patternFill patternType="gray125"/>
    </fill>
    <fill>
      <patternFill patternType="solid">
        <fgColor rgb="FFFFFFFF"/>
        <bgColor indexed="64"/>
      </patternFill>
    </fill>
    <fill>
      <patternFill patternType="solid">
        <fgColor theme="8"/>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2F2F2"/>
      </patternFill>
    </fill>
    <fill>
      <patternFill patternType="solid">
        <fgColor theme="4" tint="0.79998168889431442"/>
        <bgColor indexed="65"/>
      </patternFill>
    </fill>
    <fill>
      <patternFill patternType="solid">
        <fgColor theme="6" tint="0.59999389629810485"/>
        <bgColor indexed="65"/>
      </patternFill>
    </fill>
    <fill>
      <patternFill patternType="solid">
        <fgColor theme="8" tint="0.59999389629810485"/>
        <bgColor indexed="65"/>
      </patternFill>
    </fill>
    <fill>
      <patternFill patternType="solid">
        <fgColor rgb="FFFFC000"/>
        <bgColor indexed="64"/>
      </patternFill>
    </fill>
    <fill>
      <patternFill patternType="solid">
        <fgColor rgb="FFC6EFCE"/>
      </patternFill>
    </fill>
    <fill>
      <patternFill patternType="solid">
        <fgColor theme="4" tint="0.59999389629810485"/>
        <bgColor indexed="65"/>
      </patternFill>
    </fill>
    <fill>
      <patternFill patternType="solid">
        <fgColor rgb="FFFFC7CE"/>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9" tint="0.79998168889431442"/>
        <bgColor indexed="65"/>
      </patternFill>
    </fill>
  </fills>
  <borders count="59">
    <border>
      <left/>
      <right/>
      <top/>
      <bottom/>
      <diagonal/>
    </border>
    <border>
      <left style="thin">
        <color theme="0"/>
      </left>
      <right/>
      <top/>
      <bottom/>
      <diagonal/>
    </border>
    <border>
      <left style="thin">
        <color theme="0"/>
      </left>
      <right/>
      <top/>
      <bottom style="thin">
        <color rgb="FFDCDCDC"/>
      </bottom>
      <diagonal/>
    </border>
    <border>
      <left/>
      <right/>
      <top/>
      <bottom style="thin">
        <color rgb="FFDCDCDC"/>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DCDCDC"/>
      </left>
      <right style="thin">
        <color rgb="FFDCDCDC"/>
      </right>
      <top style="thin">
        <color rgb="FFDCDCDC"/>
      </top>
      <bottom style="thin">
        <color rgb="FFDCDCDC"/>
      </bottom>
      <diagonal/>
    </border>
    <border>
      <left style="thin">
        <color rgb="FFDCDCDC"/>
      </left>
      <right/>
      <top style="thin">
        <color rgb="FFDCDCDC"/>
      </top>
      <bottom style="thin">
        <color rgb="FFDCDCDC"/>
      </bottom>
      <diagonal/>
    </border>
    <border>
      <left style="medium">
        <color indexed="64"/>
      </left>
      <right style="thin">
        <color rgb="FFDCDCDC"/>
      </right>
      <top/>
      <bottom style="thin">
        <color rgb="FFDCDCDC"/>
      </bottom>
      <diagonal/>
    </border>
    <border>
      <left/>
      <right style="thin">
        <color rgb="FFDCDCDC"/>
      </right>
      <top/>
      <bottom style="thin">
        <color rgb="FFDCDCDC"/>
      </bottom>
      <diagonal/>
    </border>
    <border>
      <left style="thin">
        <color rgb="FFDCDCDC"/>
      </left>
      <right style="thin">
        <color rgb="FFDCDCDC"/>
      </right>
      <top/>
      <bottom style="thin">
        <color rgb="FFDCDCDC"/>
      </bottom>
      <diagonal/>
    </border>
    <border>
      <left style="thin">
        <color indexed="64"/>
      </left>
      <right style="thin">
        <color rgb="FFDCDCDC"/>
      </right>
      <top/>
      <bottom style="thin">
        <color rgb="FFDCDCDC"/>
      </bottom>
      <diagonal/>
    </border>
    <border>
      <left style="medium">
        <color indexed="64"/>
      </left>
      <right style="thin">
        <color rgb="FFDCDCDC"/>
      </right>
      <top style="thin">
        <color rgb="FFDCDCDC"/>
      </top>
      <bottom style="thin">
        <color rgb="FFDCDCDC"/>
      </bottom>
      <diagonal/>
    </border>
    <border>
      <left/>
      <right style="thin">
        <color rgb="FFDCDCDC"/>
      </right>
      <top style="thin">
        <color rgb="FFDCDCDC"/>
      </top>
      <bottom style="thin">
        <color rgb="FFDCDCDC"/>
      </bottom>
      <diagonal/>
    </border>
    <border>
      <left style="thin">
        <color indexed="64"/>
      </left>
      <right style="thin">
        <color rgb="FFDCDCDC"/>
      </right>
      <top style="thin">
        <color rgb="FFDCDCDC"/>
      </top>
      <bottom style="thin">
        <color rgb="FFDCDCDC"/>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bottom style="thin">
        <color rgb="FFDCDCDC"/>
      </bottom>
      <diagonal/>
    </border>
    <border>
      <left/>
      <right style="thin">
        <color rgb="FFDCDCDC"/>
      </right>
      <top style="thin">
        <color rgb="FFDCDCDC"/>
      </top>
      <bottom/>
      <diagonal/>
    </border>
    <border>
      <left style="thin">
        <color rgb="FFDCDCDC"/>
      </left>
      <right style="thin">
        <color rgb="FFDCDCDC"/>
      </right>
      <top style="thin">
        <color rgb="FFDCDCDC"/>
      </top>
      <bottom/>
      <diagonal/>
    </border>
    <border>
      <left style="thin">
        <color rgb="FFDCDCDC"/>
      </left>
      <right/>
      <top style="thin">
        <color rgb="FFDCDCDC"/>
      </top>
      <bottom/>
      <diagonal/>
    </border>
    <border>
      <left style="thin">
        <color rgb="FFDCDCDC"/>
      </left>
      <right style="medium">
        <color indexed="64"/>
      </right>
      <top style="thin">
        <color rgb="FFDCDCDC"/>
      </top>
      <bottom style="thin">
        <color rgb="FFDCDCDC"/>
      </bottom>
      <diagonal/>
    </border>
    <border>
      <left style="thin">
        <color rgb="FFDCDCDC"/>
      </left>
      <right style="thin">
        <color theme="0" tint="-4.9989318521683403E-2"/>
      </right>
      <top style="thin">
        <color rgb="FFDCDCDC"/>
      </top>
      <bottom style="thin">
        <color rgb="FFDCDCDC"/>
      </bottom>
      <diagonal/>
    </border>
    <border>
      <left style="medium">
        <color indexed="64"/>
      </left>
      <right style="thin">
        <color rgb="FFDCDCDC"/>
      </right>
      <top style="thin">
        <color rgb="FFDCDCDC"/>
      </top>
      <bottom/>
      <diagonal/>
    </border>
    <border>
      <left style="thin">
        <color indexed="64"/>
      </left>
      <right style="thin">
        <color rgb="FFDCDCDC"/>
      </right>
      <top style="thin">
        <color rgb="FFDCDCDC"/>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theme="4"/>
      </bottom>
      <diagonal/>
    </border>
    <border>
      <left style="thin">
        <color indexed="64"/>
      </left>
      <right style="medium">
        <color indexed="64"/>
      </right>
      <top style="thin">
        <color indexed="64"/>
      </top>
      <bottom style="thin">
        <color indexed="64"/>
      </bottom>
      <diagonal/>
    </border>
    <border>
      <left style="medium">
        <color indexed="64"/>
      </left>
      <right/>
      <top style="thin">
        <color theme="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rgb="FFDCDCDC"/>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rgb="FFDCDCDC"/>
      </top>
      <bottom style="thin">
        <color rgb="FFDCDCDC"/>
      </bottom>
      <diagonal/>
    </border>
    <border>
      <left/>
      <right style="thin">
        <color indexed="64"/>
      </right>
      <top/>
      <bottom/>
      <diagonal/>
    </border>
    <border>
      <left style="thin">
        <color indexed="64"/>
      </left>
      <right style="thin">
        <color rgb="FFDCDCDC"/>
      </right>
      <top style="thin">
        <color rgb="FFDCDCDC"/>
      </top>
      <bottom style="thin">
        <color indexed="64"/>
      </bottom>
      <diagonal/>
    </border>
    <border>
      <left style="medium">
        <color indexed="64"/>
      </left>
      <right style="thin">
        <color rgb="FFDCDCDC"/>
      </right>
      <top style="thin">
        <color rgb="FFDCDCDC"/>
      </top>
      <bottom style="thin">
        <color indexed="64"/>
      </bottom>
      <diagonal/>
    </border>
    <border>
      <left/>
      <right style="thin">
        <color rgb="FFDCDCDC"/>
      </right>
      <top style="thin">
        <color rgb="FFDCDCDC"/>
      </top>
      <bottom style="thin">
        <color indexed="64"/>
      </bottom>
      <diagonal/>
    </border>
    <border>
      <left style="thin">
        <color rgb="FFDCDCDC"/>
      </left>
      <right style="thin">
        <color rgb="FFDCDCDC"/>
      </right>
      <top style="thin">
        <color rgb="FFDCDCDC"/>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DCDCDC"/>
      </left>
      <right/>
      <top/>
      <bottom/>
      <diagonal/>
    </border>
    <border>
      <left style="thin">
        <color indexed="64"/>
      </left>
      <right/>
      <top/>
      <bottom/>
      <diagonal/>
    </border>
    <border>
      <left style="thin">
        <color indexed="64"/>
      </left>
      <right/>
      <top/>
      <bottom style="thin">
        <color indexed="64"/>
      </bottom>
      <diagonal/>
    </border>
  </borders>
  <cellStyleXfs count="11">
    <xf numFmtId="0" fontId="0" fillId="0" borderId="0"/>
    <xf numFmtId="9" fontId="19" fillId="0" borderId="0" applyFont="0" applyFill="0" applyBorder="0" applyAlignment="0" applyProtection="0"/>
    <xf numFmtId="0" fontId="23" fillId="10" borderId="28" applyNumberFormat="0" applyAlignment="0" applyProtection="0"/>
    <xf numFmtId="0" fontId="19" fillId="12" borderId="0" applyNumberFormat="0" applyBorder="0" applyAlignment="0" applyProtection="0"/>
    <xf numFmtId="0" fontId="19" fillId="11" borderId="0" applyNumberFormat="0" applyBorder="0" applyAlignment="0" applyProtection="0"/>
    <xf numFmtId="0" fontId="19" fillId="13" borderId="0" applyNumberFormat="0" applyBorder="0" applyAlignment="0" applyProtection="0"/>
    <xf numFmtId="0" fontId="28" fillId="15" borderId="0" applyNumberFormat="0" applyBorder="0" applyAlignment="0" applyProtection="0"/>
    <xf numFmtId="0" fontId="19" fillId="16" borderId="0" applyNumberFormat="0" applyBorder="0" applyAlignment="0" applyProtection="0"/>
    <xf numFmtId="0" fontId="30" fillId="17" borderId="0" applyNumberFormat="0" applyBorder="0" applyAlignment="0" applyProtection="0"/>
    <xf numFmtId="0" fontId="20" fillId="0" borderId="29" applyNumberFormat="0" applyFill="0" applyAlignment="0" applyProtection="0"/>
    <xf numFmtId="0" fontId="19" fillId="21" borderId="0" applyNumberFormat="0" applyBorder="0" applyAlignment="0" applyProtection="0"/>
  </cellStyleXfs>
  <cellXfs count="268">
    <xf numFmtId="0" fontId="0" fillId="0" borderId="0" xfId="0"/>
    <xf numFmtId="0" fontId="1" fillId="0" borderId="0" xfId="0" applyFont="1"/>
    <xf numFmtId="164" fontId="3" fillId="2" borderId="4" xfId="0" applyNumberFormat="1" applyFont="1" applyFill="1" applyBorder="1" applyAlignment="1">
      <alignment horizontal="center" wrapText="1"/>
    </xf>
    <xf numFmtId="164" fontId="3" fillId="2" borderId="5" xfId="0" applyNumberFormat="1" applyFont="1" applyFill="1" applyBorder="1" applyAlignment="1">
      <alignment horizontal="center" wrapText="1"/>
    </xf>
    <xf numFmtId="49" fontId="2" fillId="3" borderId="6" xfId="0" applyNumberFormat="1" applyFont="1" applyFill="1" applyBorder="1" applyAlignment="1">
      <alignment horizontal="left" wrapText="1"/>
    </xf>
    <xf numFmtId="49" fontId="2" fillId="3" borderId="7" xfId="0" applyNumberFormat="1" applyFont="1" applyFill="1" applyBorder="1" applyAlignment="1">
      <alignment horizontal="left" wrapText="1"/>
    </xf>
    <xf numFmtId="39" fontId="4" fillId="3" borderId="8" xfId="0" applyNumberFormat="1" applyFont="1" applyFill="1" applyBorder="1" applyAlignment="1">
      <alignment horizontal="right" wrapText="1"/>
    </xf>
    <xf numFmtId="39" fontId="4" fillId="3" borderId="9" xfId="0" applyNumberFormat="1" applyFont="1" applyFill="1" applyBorder="1" applyAlignment="1">
      <alignment horizontal="right" wrapText="1"/>
    </xf>
    <xf numFmtId="39" fontId="4" fillId="3" borderId="10" xfId="0" applyNumberFormat="1" applyFont="1" applyFill="1" applyBorder="1" applyAlignment="1">
      <alignment horizontal="right" wrapText="1"/>
    </xf>
    <xf numFmtId="39" fontId="4" fillId="3" borderId="11" xfId="0" applyNumberFormat="1" applyFont="1" applyFill="1" applyBorder="1" applyAlignment="1">
      <alignment horizontal="right" wrapText="1"/>
    </xf>
    <xf numFmtId="39" fontId="4" fillId="3" borderId="12" xfId="0" applyNumberFormat="1" applyFont="1" applyFill="1" applyBorder="1" applyAlignment="1">
      <alignment horizontal="right" wrapText="1"/>
    </xf>
    <xf numFmtId="39" fontId="4" fillId="3" borderId="13" xfId="0" applyNumberFormat="1" applyFont="1" applyFill="1" applyBorder="1" applyAlignment="1">
      <alignment horizontal="right" wrapText="1"/>
    </xf>
    <xf numFmtId="39" fontId="4" fillId="3" borderId="6" xfId="0" applyNumberFormat="1" applyFont="1" applyFill="1" applyBorder="1" applyAlignment="1">
      <alignment horizontal="right" wrapText="1"/>
    </xf>
    <xf numFmtId="39" fontId="4" fillId="3" borderId="14" xfId="0" applyNumberFormat="1" applyFont="1" applyFill="1" applyBorder="1" applyAlignment="1">
      <alignment horizontal="right" wrapText="1"/>
    </xf>
    <xf numFmtId="49" fontId="5" fillId="2" borderId="6" xfId="0" applyNumberFormat="1" applyFont="1" applyFill="1" applyBorder="1" applyAlignment="1">
      <alignment horizontal="left" wrapText="1" indent="1"/>
    </xf>
    <xf numFmtId="49" fontId="5" fillId="2" borderId="6" xfId="0" applyNumberFormat="1" applyFont="1" applyFill="1" applyBorder="1" applyAlignment="1">
      <alignment horizontal="left" wrapText="1"/>
    </xf>
    <xf numFmtId="49" fontId="6" fillId="2" borderId="6" xfId="0" applyNumberFormat="1" applyFont="1" applyFill="1" applyBorder="1" applyAlignment="1">
      <alignment horizontal="left" wrapText="1"/>
    </xf>
    <xf numFmtId="49" fontId="6" fillId="2" borderId="7" xfId="0" applyNumberFormat="1" applyFont="1" applyFill="1" applyBorder="1" applyAlignment="1">
      <alignment horizontal="left" wrapText="1"/>
    </xf>
    <xf numFmtId="39" fontId="6" fillId="2" borderId="12" xfId="0" applyNumberFormat="1" applyFont="1" applyFill="1" applyBorder="1" applyAlignment="1">
      <alignment horizontal="right" wrapText="1"/>
    </xf>
    <xf numFmtId="39" fontId="6" fillId="2" borderId="13" xfId="0" applyNumberFormat="1" applyFont="1" applyFill="1" applyBorder="1" applyAlignment="1">
      <alignment horizontal="right" wrapText="1"/>
    </xf>
    <xf numFmtId="39" fontId="6" fillId="2" borderId="6" xfId="0" applyNumberFormat="1" applyFont="1" applyFill="1" applyBorder="1" applyAlignment="1">
      <alignment horizontal="right" wrapText="1"/>
    </xf>
    <xf numFmtId="39" fontId="6" fillId="2" borderId="14" xfId="0" applyNumberFormat="1" applyFont="1" applyFill="1" applyBorder="1" applyAlignment="1">
      <alignment horizontal="right" wrapText="1"/>
    </xf>
    <xf numFmtId="49" fontId="7" fillId="2" borderId="6" xfId="0" applyNumberFormat="1" applyFont="1" applyFill="1" applyBorder="1" applyAlignment="1">
      <alignment horizontal="left" wrapText="1" indent="2"/>
    </xf>
    <xf numFmtId="49" fontId="7" fillId="2" borderId="6" xfId="0" applyNumberFormat="1" applyFont="1" applyFill="1" applyBorder="1" applyAlignment="1">
      <alignment horizontal="left" wrapText="1"/>
    </xf>
    <xf numFmtId="49" fontId="7" fillId="2" borderId="7" xfId="0" applyNumberFormat="1" applyFont="1" applyFill="1" applyBorder="1" applyAlignment="1">
      <alignment horizontal="left" wrapText="1"/>
    </xf>
    <xf numFmtId="0" fontId="2" fillId="3" borderId="6" xfId="0" applyFont="1" applyFill="1" applyBorder="1" applyAlignment="1">
      <alignment horizontal="left" wrapText="1"/>
    </xf>
    <xf numFmtId="0" fontId="9" fillId="0" borderId="0" xfId="0" applyFont="1"/>
    <xf numFmtId="0" fontId="13" fillId="3" borderId="13" xfId="0" applyFont="1" applyFill="1" applyBorder="1" applyAlignment="1">
      <alignment horizontal="left" wrapText="1"/>
    </xf>
    <xf numFmtId="49" fontId="13" fillId="3" borderId="6" xfId="0" applyNumberFormat="1" applyFont="1" applyFill="1" applyBorder="1" applyAlignment="1">
      <alignment horizontal="left" wrapText="1"/>
    </xf>
    <xf numFmtId="49" fontId="13" fillId="3" borderId="7" xfId="0" applyNumberFormat="1" applyFont="1" applyFill="1" applyBorder="1" applyAlignment="1">
      <alignment horizontal="left" wrapText="1"/>
    </xf>
    <xf numFmtId="49" fontId="10" fillId="2" borderId="13" xfId="0" applyNumberFormat="1" applyFont="1" applyFill="1" applyBorder="1" applyAlignment="1">
      <alignment horizontal="left" wrapText="1" indent="1"/>
    </xf>
    <xf numFmtId="49" fontId="10" fillId="2" borderId="6" xfId="0" applyNumberFormat="1" applyFont="1" applyFill="1" applyBorder="1" applyAlignment="1">
      <alignment horizontal="left" wrapText="1"/>
    </xf>
    <xf numFmtId="49" fontId="12" fillId="2" borderId="6" xfId="0" applyNumberFormat="1" applyFont="1" applyFill="1" applyBorder="1" applyAlignment="1">
      <alignment horizontal="left" wrapText="1"/>
    </xf>
    <xf numFmtId="49" fontId="12" fillId="2" borderId="7" xfId="0" applyNumberFormat="1" applyFont="1" applyFill="1" applyBorder="1" applyAlignment="1">
      <alignment horizontal="left" wrapText="1"/>
    </xf>
    <xf numFmtId="49" fontId="12" fillId="2" borderId="13" xfId="0" applyNumberFormat="1" applyFont="1" applyFill="1" applyBorder="1" applyAlignment="1">
      <alignment horizontal="left" wrapText="1" indent="2"/>
    </xf>
    <xf numFmtId="49" fontId="12" fillId="2" borderId="20" xfId="0" applyNumberFormat="1" applyFont="1" applyFill="1" applyBorder="1" applyAlignment="1">
      <alignment horizontal="left" wrapText="1" indent="2"/>
    </xf>
    <xf numFmtId="49" fontId="12" fillId="2" borderId="21" xfId="0" applyNumberFormat="1" applyFont="1" applyFill="1" applyBorder="1" applyAlignment="1">
      <alignment horizontal="left" wrapText="1"/>
    </xf>
    <xf numFmtId="49" fontId="12" fillId="2" borderId="22" xfId="0" applyNumberFormat="1" applyFont="1" applyFill="1" applyBorder="1" applyAlignment="1">
      <alignment horizontal="left" wrapText="1"/>
    </xf>
    <xf numFmtId="49" fontId="15" fillId="4" borderId="7" xfId="0" applyNumberFormat="1" applyFont="1" applyFill="1" applyBorder="1" applyAlignment="1">
      <alignment horizontal="left" wrapText="1"/>
    </xf>
    <xf numFmtId="0" fontId="15" fillId="4" borderId="6" xfId="0" applyFont="1" applyFill="1" applyBorder="1" applyAlignment="1">
      <alignment horizontal="left" wrapText="1"/>
    </xf>
    <xf numFmtId="0" fontId="9" fillId="0" borderId="0" xfId="0" applyFont="1" applyAlignment="1">
      <alignment horizontal="left"/>
    </xf>
    <xf numFmtId="49" fontId="15" fillId="4" borderId="6" xfId="0" applyNumberFormat="1" applyFont="1" applyFill="1" applyBorder="1" applyAlignment="1">
      <alignment horizontal="left" wrapText="1" indent="1"/>
    </xf>
    <xf numFmtId="49" fontId="12" fillId="4" borderId="6" xfId="0" applyNumberFormat="1" applyFont="1" applyFill="1" applyBorder="1" applyAlignment="1">
      <alignment horizontal="left" wrapText="1" indent="2"/>
    </xf>
    <xf numFmtId="49" fontId="12" fillId="4" borderId="6" xfId="0" applyNumberFormat="1" applyFont="1" applyFill="1" applyBorder="1" applyAlignment="1">
      <alignment horizontal="left" wrapText="1"/>
    </xf>
    <xf numFmtId="49" fontId="15" fillId="5" borderId="6" xfId="0" applyNumberFormat="1" applyFont="1" applyFill="1" applyBorder="1" applyAlignment="1">
      <alignment horizontal="left" wrapText="1" indent="1"/>
    </xf>
    <xf numFmtId="0" fontId="0" fillId="4" borderId="0" xfId="0" applyFill="1" applyAlignment="1">
      <alignment horizontal="left"/>
    </xf>
    <xf numFmtId="0" fontId="0" fillId="4" borderId="0" xfId="0" applyFill="1"/>
    <xf numFmtId="0" fontId="17" fillId="4" borderId="0" xfId="0" applyFont="1" applyFill="1"/>
    <xf numFmtId="0" fontId="18" fillId="0" borderId="0" xfId="0" applyFont="1"/>
    <xf numFmtId="0" fontId="18" fillId="5" borderId="0" xfId="0" applyFont="1" applyFill="1"/>
    <xf numFmtId="0" fontId="18" fillId="7" borderId="0" xfId="0" applyFont="1" applyFill="1"/>
    <xf numFmtId="0" fontId="15" fillId="7" borderId="6" xfId="0" applyFont="1" applyFill="1" applyBorder="1" applyAlignment="1">
      <alignment horizontal="left" wrapText="1"/>
    </xf>
    <xf numFmtId="39" fontId="11" fillId="3" borderId="12" xfId="0" applyNumberFormat="1" applyFont="1" applyFill="1" applyBorder="1" applyAlignment="1">
      <alignment horizontal="right" wrapText="1"/>
    </xf>
    <xf numFmtId="39" fontId="11" fillId="3" borderId="13" xfId="0" applyNumberFormat="1" applyFont="1" applyFill="1" applyBorder="1" applyAlignment="1">
      <alignment horizontal="right" wrapText="1"/>
    </xf>
    <xf numFmtId="39" fontId="11" fillId="3" borderId="6" xfId="0" applyNumberFormat="1" applyFont="1" applyFill="1" applyBorder="1" applyAlignment="1">
      <alignment horizontal="right" wrapText="1"/>
    </xf>
    <xf numFmtId="39" fontId="11" fillId="3" borderId="14" xfId="0" applyNumberFormat="1" applyFont="1" applyFill="1" applyBorder="1" applyAlignment="1">
      <alignment horizontal="right" wrapText="1"/>
    </xf>
    <xf numFmtId="39" fontId="12" fillId="2" borderId="12" xfId="0" applyNumberFormat="1" applyFont="1" applyFill="1" applyBorder="1" applyAlignment="1">
      <alignment horizontal="right" wrapText="1"/>
    </xf>
    <xf numFmtId="39" fontId="12" fillId="2" borderId="13" xfId="0" applyNumberFormat="1" applyFont="1" applyFill="1" applyBorder="1" applyAlignment="1">
      <alignment horizontal="right" wrapText="1"/>
    </xf>
    <xf numFmtId="39" fontId="12" fillId="2" borderId="6" xfId="0" applyNumberFormat="1" applyFont="1" applyFill="1" applyBorder="1" applyAlignment="1">
      <alignment horizontal="right" wrapText="1"/>
    </xf>
    <xf numFmtId="39" fontId="12" fillId="2" borderId="14" xfId="0" applyNumberFormat="1" applyFont="1" applyFill="1" applyBorder="1" applyAlignment="1">
      <alignment horizontal="right" wrapText="1"/>
    </xf>
    <xf numFmtId="39" fontId="11" fillId="3" borderId="8" xfId="0" applyNumberFormat="1" applyFont="1" applyFill="1" applyBorder="1" applyAlignment="1">
      <alignment horizontal="right" wrapText="1"/>
    </xf>
    <xf numFmtId="39" fontId="11" fillId="3" borderId="9" xfId="0" applyNumberFormat="1" applyFont="1" applyFill="1" applyBorder="1" applyAlignment="1">
      <alignment horizontal="right" wrapText="1"/>
    </xf>
    <xf numFmtId="39" fontId="11" fillId="3" borderId="10" xfId="0" applyNumberFormat="1" applyFont="1" applyFill="1" applyBorder="1" applyAlignment="1">
      <alignment horizontal="right" wrapText="1"/>
    </xf>
    <xf numFmtId="39" fontId="11" fillId="3" borderId="11" xfId="0" applyNumberFormat="1" applyFont="1" applyFill="1" applyBorder="1" applyAlignment="1">
      <alignment horizontal="right" wrapText="1"/>
    </xf>
    <xf numFmtId="0" fontId="11" fillId="0" borderId="0" xfId="0" applyFont="1"/>
    <xf numFmtId="49" fontId="13" fillId="8" borderId="6" xfId="0" applyNumberFormat="1" applyFont="1" applyFill="1" applyBorder="1" applyAlignment="1">
      <alignment horizontal="left" wrapText="1"/>
    </xf>
    <xf numFmtId="49" fontId="13" fillId="8" borderId="7" xfId="0" applyNumberFormat="1" applyFont="1" applyFill="1" applyBorder="1" applyAlignment="1">
      <alignment horizontal="left" wrapText="1"/>
    </xf>
    <xf numFmtId="49" fontId="13" fillId="3" borderId="13" xfId="0" applyNumberFormat="1" applyFont="1" applyFill="1" applyBorder="1" applyAlignment="1">
      <alignment horizontal="left" wrapText="1"/>
    </xf>
    <xf numFmtId="49" fontId="13" fillId="3" borderId="7" xfId="0" applyNumberFormat="1" applyFont="1" applyFill="1" applyBorder="1" applyAlignment="1">
      <alignment horizontal="center" wrapText="1"/>
    </xf>
    <xf numFmtId="49" fontId="13" fillId="8" borderId="7" xfId="0" applyNumberFormat="1" applyFont="1" applyFill="1" applyBorder="1" applyAlignment="1">
      <alignment horizontal="center" wrapText="1"/>
    </xf>
    <xf numFmtId="49" fontId="12" fillId="2" borderId="7" xfId="0" applyNumberFormat="1" applyFont="1" applyFill="1" applyBorder="1" applyAlignment="1">
      <alignment horizontal="center" wrapText="1"/>
    </xf>
    <xf numFmtId="49" fontId="12" fillId="2" borderId="22" xfId="0" applyNumberFormat="1" applyFont="1" applyFill="1" applyBorder="1" applyAlignment="1">
      <alignment horizontal="center" wrapText="1"/>
    </xf>
    <xf numFmtId="0" fontId="9" fillId="0" borderId="0" xfId="0" applyFont="1" applyAlignment="1">
      <alignment horizontal="center"/>
    </xf>
    <xf numFmtId="0" fontId="20" fillId="0" borderId="0" xfId="0" applyFont="1"/>
    <xf numFmtId="0" fontId="21" fillId="4" borderId="0" xfId="0" applyFont="1" applyFill="1"/>
    <xf numFmtId="0" fontId="0" fillId="9" borderId="0" xfId="0" applyFill="1"/>
    <xf numFmtId="49" fontId="12" fillId="9" borderId="6" xfId="0" applyNumberFormat="1" applyFont="1" applyFill="1" applyBorder="1" applyAlignment="1">
      <alignment horizontal="left" wrapText="1" indent="2"/>
    </xf>
    <xf numFmtId="0" fontId="13" fillId="6" borderId="0" xfId="0" applyFont="1" applyFill="1"/>
    <xf numFmtId="49" fontId="13" fillId="6" borderId="13" xfId="0" applyNumberFormat="1" applyFont="1" applyFill="1" applyBorder="1" applyAlignment="1">
      <alignment horizontal="left" wrapText="1" indent="1"/>
    </xf>
    <xf numFmtId="49" fontId="15" fillId="4" borderId="23" xfId="0" applyNumberFormat="1" applyFont="1" applyFill="1" applyBorder="1" applyAlignment="1">
      <alignment horizontal="center" wrapText="1"/>
    </xf>
    <xf numFmtId="49" fontId="15" fillId="4" borderId="24" xfId="0" applyNumberFormat="1" applyFont="1" applyFill="1" applyBorder="1" applyAlignment="1">
      <alignment horizontal="center" wrapText="1"/>
    </xf>
    <xf numFmtId="49" fontId="15" fillId="4" borderId="7" xfId="0" applyNumberFormat="1" applyFont="1" applyFill="1" applyBorder="1" applyAlignment="1">
      <alignment horizontal="center" wrapText="1"/>
    </xf>
    <xf numFmtId="0" fontId="22" fillId="8" borderId="13" xfId="0" applyFont="1" applyFill="1" applyBorder="1" applyAlignment="1">
      <alignment horizontal="center" vertical="center" wrapText="1"/>
    </xf>
    <xf numFmtId="2" fontId="12" fillId="4" borderId="12" xfId="0" applyNumberFormat="1" applyFont="1" applyFill="1" applyBorder="1" applyAlignment="1">
      <alignment horizontal="right" wrapText="1"/>
    </xf>
    <xf numFmtId="2" fontId="12" fillId="4" borderId="13" xfId="0" applyNumberFormat="1" applyFont="1" applyFill="1" applyBorder="1" applyAlignment="1">
      <alignment horizontal="right" wrapText="1"/>
    </xf>
    <xf numFmtId="2" fontId="12" fillId="4" borderId="6" xfId="0" applyNumberFormat="1" applyFont="1" applyFill="1" applyBorder="1" applyAlignment="1">
      <alignment horizontal="right" wrapText="1"/>
    </xf>
    <xf numFmtId="2" fontId="12" fillId="4" borderId="14" xfId="0" applyNumberFormat="1" applyFont="1" applyFill="1" applyBorder="1" applyAlignment="1">
      <alignment horizontal="right" wrapText="1"/>
    </xf>
    <xf numFmtId="2" fontId="12" fillId="2" borderId="12" xfId="0" applyNumberFormat="1" applyFont="1" applyFill="1" applyBorder="1" applyAlignment="1">
      <alignment horizontal="right" wrapText="1"/>
    </xf>
    <xf numFmtId="2" fontId="12" fillId="2" borderId="13" xfId="0" applyNumberFormat="1" applyFont="1" applyFill="1" applyBorder="1" applyAlignment="1">
      <alignment horizontal="right" wrapText="1"/>
    </xf>
    <xf numFmtId="2" fontId="12" fillId="2" borderId="6" xfId="0" applyNumberFormat="1" applyFont="1" applyFill="1" applyBorder="1" applyAlignment="1">
      <alignment horizontal="right" wrapText="1"/>
    </xf>
    <xf numFmtId="2" fontId="12" fillId="2" borderId="14" xfId="0" applyNumberFormat="1" applyFont="1" applyFill="1" applyBorder="1" applyAlignment="1">
      <alignment horizontal="right" wrapText="1"/>
    </xf>
    <xf numFmtId="2" fontId="12" fillId="2" borderId="25" xfId="0" applyNumberFormat="1" applyFont="1" applyFill="1" applyBorder="1" applyAlignment="1">
      <alignment horizontal="right" wrapText="1"/>
    </xf>
    <xf numFmtId="2" fontId="12" fillId="2" borderId="20" xfId="0" applyNumberFormat="1" applyFont="1" applyFill="1" applyBorder="1" applyAlignment="1">
      <alignment horizontal="right" wrapText="1"/>
    </xf>
    <xf numFmtId="2" fontId="12" fillId="2" borderId="21" xfId="0" applyNumberFormat="1" applyFont="1" applyFill="1" applyBorder="1" applyAlignment="1">
      <alignment horizontal="right" wrapText="1"/>
    </xf>
    <xf numFmtId="2" fontId="12" fillId="2" borderId="26" xfId="0" applyNumberFormat="1" applyFont="1" applyFill="1" applyBorder="1" applyAlignment="1">
      <alignment horizontal="right" wrapText="1"/>
    </xf>
    <xf numFmtId="1" fontId="10" fillId="2" borderId="5" xfId="0" applyNumberFormat="1" applyFont="1" applyFill="1" applyBorder="1" applyAlignment="1">
      <alignment horizontal="center" wrapText="1"/>
    </xf>
    <xf numFmtId="0" fontId="10" fillId="2" borderId="4" xfId="0" applyFont="1" applyFill="1" applyBorder="1" applyAlignment="1">
      <alignment horizontal="center" wrapText="1"/>
    </xf>
    <xf numFmtId="165" fontId="12" fillId="2" borderId="12" xfId="0" applyNumberFormat="1" applyFont="1" applyFill="1" applyBorder="1" applyAlignment="1">
      <alignment horizontal="right" wrapText="1"/>
    </xf>
    <xf numFmtId="165" fontId="12" fillId="2" borderId="13" xfId="0" applyNumberFormat="1" applyFont="1" applyFill="1" applyBorder="1" applyAlignment="1">
      <alignment horizontal="right" wrapText="1"/>
    </xf>
    <xf numFmtId="165" fontId="12" fillId="2" borderId="6" xfId="0" applyNumberFormat="1" applyFont="1" applyFill="1" applyBorder="1" applyAlignment="1">
      <alignment horizontal="right" wrapText="1"/>
    </xf>
    <xf numFmtId="165" fontId="12" fillId="2" borderId="14" xfId="0" applyNumberFormat="1" applyFont="1" applyFill="1" applyBorder="1" applyAlignment="1">
      <alignment horizontal="right" wrapText="1"/>
    </xf>
    <xf numFmtId="165" fontId="11" fillId="3" borderId="12" xfId="0" applyNumberFormat="1" applyFont="1" applyFill="1" applyBorder="1" applyAlignment="1">
      <alignment horizontal="right" wrapText="1"/>
    </xf>
    <xf numFmtId="165" fontId="11" fillId="3" borderId="13" xfId="0" applyNumberFormat="1" applyFont="1" applyFill="1" applyBorder="1" applyAlignment="1">
      <alignment horizontal="right" wrapText="1"/>
    </xf>
    <xf numFmtId="165" fontId="11" fillId="3" borderId="6" xfId="0" applyNumberFormat="1" applyFont="1" applyFill="1" applyBorder="1" applyAlignment="1">
      <alignment horizontal="right" wrapText="1"/>
    </xf>
    <xf numFmtId="165" fontId="11" fillId="3" borderId="14" xfId="0" applyNumberFormat="1" applyFont="1" applyFill="1" applyBorder="1" applyAlignment="1">
      <alignment horizontal="right" wrapText="1"/>
    </xf>
    <xf numFmtId="165" fontId="12" fillId="2" borderId="25" xfId="0" applyNumberFormat="1" applyFont="1" applyFill="1" applyBorder="1" applyAlignment="1">
      <alignment horizontal="right" wrapText="1"/>
    </xf>
    <xf numFmtId="165" fontId="12" fillId="2" borderId="20" xfId="0" applyNumberFormat="1" applyFont="1" applyFill="1" applyBorder="1" applyAlignment="1">
      <alignment horizontal="right" wrapText="1"/>
    </xf>
    <xf numFmtId="165" fontId="12" fillId="2" borderId="21" xfId="0" applyNumberFormat="1" applyFont="1" applyFill="1" applyBorder="1" applyAlignment="1">
      <alignment horizontal="right" wrapText="1"/>
    </xf>
    <xf numFmtId="165" fontId="12" fillId="2" borderId="26" xfId="0" applyNumberFormat="1" applyFont="1" applyFill="1" applyBorder="1" applyAlignment="1">
      <alignment horizontal="right" wrapText="1"/>
    </xf>
    <xf numFmtId="2" fontId="24" fillId="10" borderId="28" xfId="2" applyNumberFormat="1" applyFont="1"/>
    <xf numFmtId="0" fontId="22" fillId="4" borderId="0" xfId="0" applyFont="1" applyFill="1"/>
    <xf numFmtId="165" fontId="15" fillId="4" borderId="12" xfId="0" applyNumberFormat="1" applyFont="1" applyFill="1" applyBorder="1" applyAlignment="1">
      <alignment horizontal="right" wrapText="1"/>
    </xf>
    <xf numFmtId="165" fontId="15" fillId="4" borderId="13" xfId="0" applyNumberFormat="1" applyFont="1" applyFill="1" applyBorder="1" applyAlignment="1">
      <alignment horizontal="right" wrapText="1"/>
    </xf>
    <xf numFmtId="165" fontId="15" fillId="4" borderId="6" xfId="0" applyNumberFormat="1" applyFont="1" applyFill="1" applyBorder="1" applyAlignment="1">
      <alignment horizontal="right" wrapText="1"/>
    </xf>
    <xf numFmtId="165" fontId="15" fillId="4" borderId="14" xfId="0" applyNumberFormat="1" applyFont="1" applyFill="1" applyBorder="1" applyAlignment="1">
      <alignment horizontal="right" wrapText="1"/>
    </xf>
    <xf numFmtId="39" fontId="15" fillId="4" borderId="6" xfId="0" applyNumberFormat="1" applyFont="1" applyFill="1" applyBorder="1" applyAlignment="1">
      <alignment horizontal="right" wrapText="1"/>
    </xf>
    <xf numFmtId="165" fontId="15" fillId="4" borderId="25" xfId="0" applyNumberFormat="1" applyFont="1" applyFill="1" applyBorder="1" applyAlignment="1">
      <alignment horizontal="right" wrapText="1"/>
    </xf>
    <xf numFmtId="165" fontId="15" fillId="4" borderId="20" xfId="0" applyNumberFormat="1" applyFont="1" applyFill="1" applyBorder="1" applyAlignment="1">
      <alignment horizontal="right" wrapText="1"/>
    </xf>
    <xf numFmtId="165" fontId="15" fillId="4" borderId="21" xfId="0" applyNumberFormat="1" applyFont="1" applyFill="1" applyBorder="1" applyAlignment="1">
      <alignment horizontal="right" wrapText="1"/>
    </xf>
    <xf numFmtId="165" fontId="15" fillId="4" borderId="26" xfId="0" applyNumberFormat="1" applyFont="1" applyFill="1" applyBorder="1" applyAlignment="1">
      <alignment horizontal="right" wrapText="1"/>
    </xf>
    <xf numFmtId="165" fontId="9" fillId="12" borderId="6" xfId="3" applyNumberFormat="1" applyFont="1" applyBorder="1" applyAlignment="1">
      <alignment horizontal="right" wrapText="1"/>
    </xf>
    <xf numFmtId="49" fontId="15" fillId="4" borderId="20" xfId="0" applyNumberFormat="1" applyFont="1" applyFill="1" applyBorder="1" applyAlignment="1">
      <alignment horizontal="left" wrapText="1"/>
    </xf>
    <xf numFmtId="39" fontId="9" fillId="12" borderId="6" xfId="3" applyNumberFormat="1" applyFont="1" applyBorder="1" applyAlignment="1">
      <alignment horizontal="right" wrapText="1"/>
    </xf>
    <xf numFmtId="0" fontId="0" fillId="0" borderId="0" xfId="0" pivotButton="1"/>
    <xf numFmtId="0" fontId="0" fillId="0" borderId="0" xfId="0" applyAlignment="1">
      <alignment horizontal="left"/>
    </xf>
    <xf numFmtId="0" fontId="14" fillId="4" borderId="0" xfId="0" applyFont="1" applyFill="1"/>
    <xf numFmtId="0" fontId="9" fillId="4" borderId="0" xfId="0" applyFont="1" applyFill="1"/>
    <xf numFmtId="49" fontId="15" fillId="4" borderId="21" xfId="0" applyNumberFormat="1" applyFont="1" applyFill="1" applyBorder="1" applyAlignment="1">
      <alignment horizontal="left" wrapText="1" indent="1"/>
    </xf>
    <xf numFmtId="39" fontId="15" fillId="4" borderId="12" xfId="0" applyNumberFormat="1" applyFont="1" applyFill="1" applyBorder="1" applyAlignment="1">
      <alignment horizontal="right" wrapText="1"/>
    </xf>
    <xf numFmtId="39" fontId="15" fillId="4" borderId="13" xfId="0" applyNumberFormat="1" applyFont="1" applyFill="1" applyBorder="1" applyAlignment="1">
      <alignment horizontal="right" wrapText="1"/>
    </xf>
    <xf numFmtId="39" fontId="15" fillId="4" borderId="14" xfId="0" applyNumberFormat="1" applyFont="1" applyFill="1" applyBorder="1" applyAlignment="1">
      <alignment horizontal="right" wrapText="1"/>
    </xf>
    <xf numFmtId="0" fontId="15" fillId="3" borderId="0" xfId="0" applyFont="1" applyFill="1"/>
    <xf numFmtId="0" fontId="17" fillId="3" borderId="0" xfId="0" applyFont="1" applyFill="1"/>
    <xf numFmtId="0" fontId="25" fillId="4" borderId="0" xfId="0" applyFont="1" applyFill="1"/>
    <xf numFmtId="0" fontId="26" fillId="4" borderId="0" xfId="0" applyFont="1" applyFill="1"/>
    <xf numFmtId="165" fontId="27" fillId="4" borderId="6" xfId="0" applyNumberFormat="1" applyFont="1" applyFill="1" applyBorder="1" applyAlignment="1">
      <alignment horizontal="right" wrapText="1"/>
    </xf>
    <xf numFmtId="0" fontId="19" fillId="11" borderId="0" xfId="4"/>
    <xf numFmtId="39" fontId="19" fillId="11" borderId="6" xfId="4" applyNumberFormat="1" applyBorder="1" applyAlignment="1">
      <alignment horizontal="right" wrapText="1"/>
    </xf>
    <xf numFmtId="165" fontId="19" fillId="11" borderId="6" xfId="4" applyNumberFormat="1" applyBorder="1" applyAlignment="1">
      <alignment horizontal="right" wrapText="1"/>
    </xf>
    <xf numFmtId="165" fontId="19" fillId="11" borderId="21" xfId="4" applyNumberFormat="1" applyBorder="1" applyAlignment="1">
      <alignment horizontal="right" wrapText="1"/>
    </xf>
    <xf numFmtId="39" fontId="27" fillId="4" borderId="6" xfId="0" applyNumberFormat="1" applyFont="1" applyFill="1" applyBorder="1" applyAlignment="1">
      <alignment horizontal="right" wrapText="1"/>
    </xf>
    <xf numFmtId="165" fontId="27" fillId="4" borderId="21" xfId="0" applyNumberFormat="1" applyFont="1" applyFill="1" applyBorder="1" applyAlignment="1">
      <alignment horizontal="right" wrapText="1"/>
    </xf>
    <xf numFmtId="0" fontId="21" fillId="3" borderId="0" xfId="0" applyFont="1" applyFill="1"/>
    <xf numFmtId="0" fontId="15" fillId="4" borderId="20" xfId="0" applyFont="1" applyFill="1" applyBorder="1" applyAlignment="1">
      <alignment horizontal="left" wrapText="1"/>
    </xf>
    <xf numFmtId="165" fontId="15" fillId="4" borderId="9" xfId="0" applyNumberFormat="1" applyFont="1" applyFill="1" applyBorder="1" applyAlignment="1">
      <alignment horizontal="right" wrapText="1"/>
    </xf>
    <xf numFmtId="49" fontId="15" fillId="4" borderId="12" xfId="0" applyNumberFormat="1" applyFont="1" applyFill="1" applyBorder="1" applyAlignment="1">
      <alignment horizontal="right" wrapText="1"/>
    </xf>
    <xf numFmtId="49" fontId="15" fillId="4" borderId="13" xfId="0" applyNumberFormat="1" applyFont="1" applyFill="1" applyBorder="1" applyAlignment="1">
      <alignment horizontal="right" wrapText="1"/>
    </xf>
    <xf numFmtId="165" fontId="15" fillId="4" borderId="10" xfId="0" applyNumberFormat="1" applyFont="1" applyFill="1" applyBorder="1" applyAlignment="1">
      <alignment horizontal="right" wrapText="1"/>
    </xf>
    <xf numFmtId="49" fontId="15" fillId="4" borderId="6" xfId="0" applyNumberFormat="1" applyFont="1" applyFill="1" applyBorder="1" applyAlignment="1">
      <alignment horizontal="right" wrapText="1"/>
    </xf>
    <xf numFmtId="165" fontId="15" fillId="4" borderId="11" xfId="0" applyNumberFormat="1" applyFont="1" applyFill="1" applyBorder="1" applyAlignment="1">
      <alignment horizontal="right" wrapText="1"/>
    </xf>
    <xf numFmtId="49" fontId="15" fillId="4" borderId="14" xfId="0" applyNumberFormat="1" applyFont="1" applyFill="1" applyBorder="1" applyAlignment="1">
      <alignment horizontal="right" wrapText="1"/>
    </xf>
    <xf numFmtId="165" fontId="27" fillId="13" borderId="6" xfId="5" applyNumberFormat="1" applyFont="1" applyBorder="1" applyAlignment="1">
      <alignment horizontal="right" wrapText="1"/>
    </xf>
    <xf numFmtId="49" fontId="27" fillId="13" borderId="6" xfId="5" applyNumberFormat="1" applyFont="1" applyBorder="1" applyAlignment="1">
      <alignment horizontal="right" wrapText="1"/>
    </xf>
    <xf numFmtId="0" fontId="14" fillId="14" borderId="0" xfId="0" applyFont="1" applyFill="1"/>
    <xf numFmtId="0" fontId="25" fillId="14" borderId="0" xfId="0" applyFont="1" applyFill="1"/>
    <xf numFmtId="10" fontId="0" fillId="0" borderId="0" xfId="0" applyNumberFormat="1"/>
    <xf numFmtId="0" fontId="20" fillId="4" borderId="0" xfId="0" applyFont="1" applyFill="1"/>
    <xf numFmtId="0" fontId="0" fillId="11" borderId="0" xfId="0" applyFill="1" applyAlignment="1">
      <alignment horizontal="left"/>
    </xf>
    <xf numFmtId="0" fontId="0" fillId="4" borderId="0" xfId="0" applyFill="1" applyAlignment="1">
      <alignment horizontal="center"/>
    </xf>
    <xf numFmtId="0" fontId="15" fillId="4" borderId="0" xfId="0" applyFont="1" applyFill="1"/>
    <xf numFmtId="0" fontId="9" fillId="16" borderId="0" xfId="7" applyFont="1" applyBorder="1" applyAlignment="1">
      <alignment horizontal="center"/>
    </xf>
    <xf numFmtId="0" fontId="29" fillId="4" borderId="0" xfId="0" applyFont="1" applyFill="1"/>
    <xf numFmtId="10" fontId="15" fillId="4" borderId="6" xfId="1" applyNumberFormat="1" applyFont="1" applyFill="1" applyBorder="1" applyAlignment="1">
      <alignment horizontal="right" wrapText="1"/>
    </xf>
    <xf numFmtId="164" fontId="9" fillId="11" borderId="27" xfId="4" applyNumberFormat="1" applyFont="1" applyBorder="1" applyAlignment="1">
      <alignment horizontal="center" wrapText="1"/>
    </xf>
    <xf numFmtId="39" fontId="9" fillId="11" borderId="6" xfId="4" applyNumberFormat="1" applyFont="1" applyBorder="1" applyAlignment="1">
      <alignment horizontal="right" wrapText="1"/>
    </xf>
    <xf numFmtId="165" fontId="9" fillId="11" borderId="6" xfId="4" applyNumberFormat="1" applyFont="1" applyBorder="1" applyAlignment="1">
      <alignment horizontal="right" wrapText="1"/>
    </xf>
    <xf numFmtId="165" fontId="9" fillId="11" borderId="21" xfId="4" applyNumberFormat="1" applyFont="1" applyBorder="1" applyAlignment="1">
      <alignment horizontal="right" wrapText="1"/>
    </xf>
    <xf numFmtId="0" fontId="9" fillId="11" borderId="0" xfId="4" applyFont="1"/>
    <xf numFmtId="39" fontId="13" fillId="3" borderId="10" xfId="4" applyNumberFormat="1" applyFont="1" applyFill="1" applyBorder="1" applyAlignment="1">
      <alignment horizontal="right" wrapText="1"/>
    </xf>
    <xf numFmtId="165" fontId="13" fillId="3" borderId="6" xfId="4" applyNumberFormat="1" applyFont="1" applyFill="1" applyBorder="1" applyAlignment="1">
      <alignment horizontal="right" wrapText="1"/>
    </xf>
    <xf numFmtId="165" fontId="27" fillId="4" borderId="10" xfId="5" applyNumberFormat="1" applyFont="1" applyFill="1" applyBorder="1" applyAlignment="1">
      <alignment horizontal="right" wrapText="1"/>
    </xf>
    <xf numFmtId="165" fontId="9" fillId="4" borderId="6" xfId="3" applyNumberFormat="1" applyFont="1" applyFill="1" applyBorder="1" applyAlignment="1">
      <alignment horizontal="right" wrapText="1"/>
    </xf>
    <xf numFmtId="165" fontId="27" fillId="4" borderId="6" xfId="5" applyNumberFormat="1" applyFont="1" applyFill="1" applyBorder="1" applyAlignment="1">
      <alignment horizontal="right" wrapText="1"/>
    </xf>
    <xf numFmtId="0" fontId="15" fillId="4" borderId="0" xfId="0" applyFont="1" applyFill="1" applyAlignment="1">
      <alignment horizontal="left" wrapText="1"/>
    </xf>
    <xf numFmtId="0" fontId="0" fillId="4" borderId="30" xfId="0" applyFill="1" applyBorder="1"/>
    <xf numFmtId="0" fontId="20" fillId="18" borderId="30" xfId="0" applyFont="1" applyFill="1" applyBorder="1"/>
    <xf numFmtId="10" fontId="20" fillId="18" borderId="30" xfId="0" applyNumberFormat="1" applyFont="1" applyFill="1" applyBorder="1"/>
    <xf numFmtId="0" fontId="20" fillId="4" borderId="39" xfId="9" applyFill="1" applyBorder="1"/>
    <xf numFmtId="0" fontId="20" fillId="18" borderId="16" xfId="0" applyFont="1" applyFill="1" applyBorder="1"/>
    <xf numFmtId="0" fontId="20" fillId="18" borderId="41" xfId="0" applyFont="1" applyFill="1" applyBorder="1"/>
    <xf numFmtId="0" fontId="20" fillId="4" borderId="0" xfId="9" applyFill="1" applyBorder="1"/>
    <xf numFmtId="39" fontId="20" fillId="4" borderId="0" xfId="9" applyNumberFormat="1" applyFill="1" applyBorder="1" applyAlignment="1">
      <alignment horizontal="right" wrapText="1"/>
    </xf>
    <xf numFmtId="166" fontId="0" fillId="4" borderId="0" xfId="0" applyNumberFormat="1" applyFill="1"/>
    <xf numFmtId="39" fontId="20" fillId="3" borderId="30" xfId="9" applyNumberFormat="1" applyFill="1" applyBorder="1" applyAlignment="1">
      <alignment horizontal="right" wrapText="1"/>
    </xf>
    <xf numFmtId="10" fontId="31" fillId="15" borderId="30" xfId="6" applyNumberFormat="1" applyFont="1" applyBorder="1"/>
    <xf numFmtId="10" fontId="32" fillId="17" borderId="30" xfId="8" applyNumberFormat="1" applyFont="1" applyBorder="1"/>
    <xf numFmtId="10" fontId="31" fillId="15" borderId="38" xfId="6" applyNumberFormat="1" applyFont="1" applyBorder="1"/>
    <xf numFmtId="166" fontId="20" fillId="19" borderId="42" xfId="0" applyNumberFormat="1" applyFont="1" applyFill="1" applyBorder="1"/>
    <xf numFmtId="166" fontId="20" fillId="19" borderId="43" xfId="0" applyNumberFormat="1" applyFont="1" applyFill="1" applyBorder="1"/>
    <xf numFmtId="0" fontId="0" fillId="18" borderId="30" xfId="0" applyFill="1" applyBorder="1"/>
    <xf numFmtId="0" fontId="0" fillId="18" borderId="40" xfId="0" applyFill="1" applyBorder="1"/>
    <xf numFmtId="0" fontId="0" fillId="18" borderId="33" xfId="0" applyFill="1" applyBorder="1"/>
    <xf numFmtId="0" fontId="0" fillId="18" borderId="34" xfId="0" applyFill="1" applyBorder="1"/>
    <xf numFmtId="0" fontId="0" fillId="18" borderId="35" xfId="0" applyFill="1" applyBorder="1"/>
    <xf numFmtId="49" fontId="15" fillId="4" borderId="44" xfId="0" applyNumberFormat="1" applyFont="1" applyFill="1" applyBorder="1" applyAlignment="1">
      <alignment horizontal="left" wrapText="1"/>
    </xf>
    <xf numFmtId="165" fontId="15" fillId="4" borderId="8" xfId="0" applyNumberFormat="1" applyFont="1" applyFill="1" applyBorder="1" applyAlignment="1">
      <alignment horizontal="right" wrapText="1"/>
    </xf>
    <xf numFmtId="165" fontId="27" fillId="13" borderId="10" xfId="5" applyNumberFormat="1" applyFont="1" applyBorder="1" applyAlignment="1">
      <alignment horizontal="right" wrapText="1"/>
    </xf>
    <xf numFmtId="165" fontId="9" fillId="12" borderId="10" xfId="3" applyNumberFormat="1" applyFont="1" applyBorder="1" applyAlignment="1">
      <alignment horizontal="right" wrapText="1"/>
    </xf>
    <xf numFmtId="0" fontId="0" fillId="6" borderId="45" xfId="0" applyFill="1" applyBorder="1"/>
    <xf numFmtId="0" fontId="0" fillId="6" borderId="46" xfId="0" applyFill="1" applyBorder="1"/>
    <xf numFmtId="0" fontId="27" fillId="4" borderId="46" xfId="5" applyFont="1" applyFill="1" applyBorder="1"/>
    <xf numFmtId="0" fontId="0" fillId="20" borderId="47" xfId="0" applyFill="1" applyBorder="1"/>
    <xf numFmtId="49" fontId="15" fillId="4" borderId="48" xfId="0" applyNumberFormat="1" applyFont="1" applyFill="1" applyBorder="1" applyAlignment="1">
      <alignment horizontal="left" wrapText="1"/>
    </xf>
    <xf numFmtId="2" fontId="15" fillId="4" borderId="0" xfId="0" applyNumberFormat="1" applyFont="1" applyFill="1" applyAlignment="1">
      <alignment horizontal="right" wrapText="1"/>
    </xf>
    <xf numFmtId="10" fontId="15" fillId="4" borderId="0" xfId="1" applyNumberFormat="1" applyFont="1" applyFill="1" applyBorder="1" applyAlignment="1">
      <alignment horizontal="right" wrapText="1"/>
    </xf>
    <xf numFmtId="10" fontId="0" fillId="4" borderId="49" xfId="1" applyNumberFormat="1" applyFont="1" applyFill="1" applyBorder="1"/>
    <xf numFmtId="49" fontId="15" fillId="4" borderId="26" xfId="0" applyNumberFormat="1" applyFont="1" applyFill="1" applyBorder="1" applyAlignment="1">
      <alignment horizontal="left" wrapText="1"/>
    </xf>
    <xf numFmtId="49" fontId="15" fillId="4" borderId="50" xfId="0" applyNumberFormat="1" applyFont="1" applyFill="1" applyBorder="1" applyAlignment="1">
      <alignment horizontal="left" wrapText="1"/>
    </xf>
    <xf numFmtId="165" fontId="15" fillId="4" borderId="51" xfId="0" applyNumberFormat="1" applyFont="1" applyFill="1" applyBorder="1" applyAlignment="1">
      <alignment horizontal="right" wrapText="1"/>
    </xf>
    <xf numFmtId="165" fontId="15" fillId="4" borderId="52" xfId="0" applyNumberFormat="1" applyFont="1" applyFill="1" applyBorder="1" applyAlignment="1">
      <alignment horizontal="right" wrapText="1"/>
    </xf>
    <xf numFmtId="165" fontId="15" fillId="4" borderId="53" xfId="0" applyNumberFormat="1" applyFont="1" applyFill="1" applyBorder="1" applyAlignment="1">
      <alignment horizontal="right" wrapText="1"/>
    </xf>
    <xf numFmtId="165" fontId="15" fillId="4" borderId="50" xfId="0" applyNumberFormat="1" applyFont="1" applyFill="1" applyBorder="1" applyAlignment="1">
      <alignment horizontal="right" wrapText="1"/>
    </xf>
    <xf numFmtId="165" fontId="27" fillId="4" borderId="53" xfId="5" applyNumberFormat="1" applyFont="1" applyFill="1" applyBorder="1" applyAlignment="1">
      <alignment horizontal="right" wrapText="1"/>
    </xf>
    <xf numFmtId="165" fontId="9" fillId="4" borderId="53" xfId="3" applyNumberFormat="1" applyFont="1" applyFill="1" applyBorder="1" applyAlignment="1">
      <alignment horizontal="right" wrapText="1"/>
    </xf>
    <xf numFmtId="2" fontId="15" fillId="4" borderId="54" xfId="0" applyNumberFormat="1" applyFont="1" applyFill="1" applyBorder="1" applyAlignment="1">
      <alignment horizontal="right" wrapText="1"/>
    </xf>
    <xf numFmtId="10" fontId="15" fillId="4" borderId="54" xfId="1" applyNumberFormat="1" applyFont="1" applyFill="1" applyBorder="1" applyAlignment="1">
      <alignment horizontal="right" wrapText="1"/>
    </xf>
    <xf numFmtId="10" fontId="0" fillId="4" borderId="55" xfId="1" applyNumberFormat="1" applyFont="1" applyFill="1" applyBorder="1"/>
    <xf numFmtId="39" fontId="13" fillId="3" borderId="6" xfId="4" applyNumberFormat="1" applyFont="1" applyFill="1" applyBorder="1" applyAlignment="1">
      <alignment horizontal="right" wrapText="1"/>
    </xf>
    <xf numFmtId="10" fontId="15" fillId="4" borderId="0" xfId="0" applyNumberFormat="1" applyFont="1" applyFill="1" applyAlignment="1">
      <alignment horizontal="right" wrapText="1"/>
    </xf>
    <xf numFmtId="10" fontId="9" fillId="4" borderId="56" xfId="1" applyNumberFormat="1" applyFont="1" applyFill="1" applyBorder="1"/>
    <xf numFmtId="166" fontId="20" fillId="4" borderId="0" xfId="0" applyNumberFormat="1" applyFont="1" applyFill="1"/>
    <xf numFmtId="0" fontId="0" fillId="11" borderId="0" xfId="0" applyFill="1"/>
    <xf numFmtId="0" fontId="15" fillId="4" borderId="0" xfId="0" applyFont="1" applyFill="1" applyAlignment="1">
      <alignment horizontal="right" wrapText="1"/>
    </xf>
    <xf numFmtId="0" fontId="9" fillId="4" borderId="0" xfId="0" applyFont="1" applyFill="1" applyAlignment="1">
      <alignment horizontal="center"/>
    </xf>
    <xf numFmtId="0" fontId="9" fillId="4" borderId="0" xfId="4" applyFont="1" applyFill="1"/>
    <xf numFmtId="0" fontId="11" fillId="4" borderId="0" xfId="0" applyFont="1" applyFill="1"/>
    <xf numFmtId="49" fontId="9" fillId="21" borderId="6" xfId="10" applyNumberFormat="1" applyFont="1" applyBorder="1" applyAlignment="1">
      <alignment horizontal="left" wrapText="1" indent="1"/>
    </xf>
    <xf numFmtId="0" fontId="9" fillId="21" borderId="6" xfId="10" applyFont="1" applyBorder="1" applyAlignment="1">
      <alignment horizontal="left" wrapText="1"/>
    </xf>
    <xf numFmtId="49" fontId="9" fillId="21" borderId="6" xfId="10" applyNumberFormat="1" applyFont="1" applyBorder="1" applyAlignment="1">
      <alignment horizontal="left" wrapText="1" indent="2"/>
    </xf>
    <xf numFmtId="49" fontId="9" fillId="21" borderId="7" xfId="10" applyNumberFormat="1" applyFont="1" applyBorder="1" applyAlignment="1">
      <alignment horizontal="left" wrapText="1"/>
    </xf>
    <xf numFmtId="0" fontId="18" fillId="19" borderId="45" xfId="0" applyFont="1" applyFill="1" applyBorder="1"/>
    <xf numFmtId="0" fontId="9" fillId="19" borderId="46" xfId="0" applyFont="1" applyFill="1" applyBorder="1" applyAlignment="1">
      <alignment horizontal="left"/>
    </xf>
    <xf numFmtId="0" fontId="0" fillId="19" borderId="46" xfId="0" applyFill="1" applyBorder="1"/>
    <xf numFmtId="0" fontId="18" fillId="19" borderId="46" xfId="0" applyFont="1" applyFill="1" applyBorder="1"/>
    <xf numFmtId="167" fontId="9" fillId="19" borderId="47" xfId="0" applyNumberFormat="1" applyFont="1" applyFill="1" applyBorder="1"/>
    <xf numFmtId="0" fontId="18" fillId="19" borderId="57" xfId="0" applyFont="1" applyFill="1" applyBorder="1"/>
    <xf numFmtId="0" fontId="9" fillId="19" borderId="0" xfId="0" applyFont="1" applyFill="1" applyAlignment="1">
      <alignment horizontal="left"/>
    </xf>
    <xf numFmtId="0" fontId="0" fillId="19" borderId="0" xfId="0" applyFill="1"/>
    <xf numFmtId="0" fontId="18" fillId="19" borderId="0" xfId="0" applyFont="1" applyFill="1"/>
    <xf numFmtId="39" fontId="9" fillId="19" borderId="49" xfId="0" applyNumberFormat="1" applyFont="1" applyFill="1" applyBorder="1"/>
    <xf numFmtId="39" fontId="9" fillId="19" borderId="49" xfId="0" applyNumberFormat="1" applyFont="1" applyFill="1" applyBorder="1" applyAlignment="1">
      <alignment horizontal="right"/>
    </xf>
    <xf numFmtId="0" fontId="18" fillId="19" borderId="58" xfId="0" applyFont="1" applyFill="1" applyBorder="1"/>
    <xf numFmtId="10" fontId="9" fillId="19" borderId="54" xfId="0" applyNumberFormat="1" applyFont="1" applyFill="1" applyBorder="1"/>
    <xf numFmtId="0" fontId="0" fillId="19" borderId="54" xfId="0" applyFill="1" applyBorder="1"/>
    <xf numFmtId="0" fontId="18" fillId="19" borderId="54" xfId="0" applyFont="1" applyFill="1" applyBorder="1"/>
    <xf numFmtId="167" fontId="9" fillId="19" borderId="55" xfId="0" applyNumberFormat="1" applyFont="1" applyFill="1" applyBorder="1"/>
    <xf numFmtId="49" fontId="15" fillId="5" borderId="45" xfId="0" applyNumberFormat="1" applyFont="1" applyFill="1" applyBorder="1" applyAlignment="1">
      <alignment horizontal="left" wrapText="1"/>
    </xf>
    <xf numFmtId="167" fontId="15" fillId="5" borderId="47" xfId="0" applyNumberFormat="1" applyFont="1" applyFill="1" applyBorder="1" applyAlignment="1">
      <alignment horizontal="right" wrapText="1"/>
    </xf>
    <xf numFmtId="49" fontId="15" fillId="5" borderId="57" xfId="0" applyNumberFormat="1" applyFont="1" applyFill="1" applyBorder="1" applyAlignment="1">
      <alignment horizontal="left" wrapText="1"/>
    </xf>
    <xf numFmtId="167" fontId="15" fillId="5" borderId="49" xfId="0" applyNumberFormat="1" applyFont="1" applyFill="1" applyBorder="1" applyAlignment="1">
      <alignment horizontal="right" wrapText="1"/>
    </xf>
    <xf numFmtId="49" fontId="15" fillId="5" borderId="58" xfId="0" applyNumberFormat="1" applyFont="1" applyFill="1" applyBorder="1" applyAlignment="1">
      <alignment horizontal="left" wrapText="1"/>
    </xf>
    <xf numFmtId="167" fontId="15" fillId="5" borderId="55" xfId="0" applyNumberFormat="1" applyFont="1" applyFill="1" applyBorder="1" applyAlignment="1">
      <alignment horizontal="right" wrapText="1"/>
    </xf>
    <xf numFmtId="2" fontId="0" fillId="0" borderId="0" xfId="0" applyNumberFormat="1"/>
    <xf numFmtId="10" fontId="0" fillId="4" borderId="0" xfId="0" applyNumberFormat="1" applyFill="1"/>
    <xf numFmtId="167" fontId="0" fillId="4" borderId="0" xfId="0" applyNumberFormat="1" applyFill="1"/>
    <xf numFmtId="49" fontId="8"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2" fillId="0" borderId="18"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19" xfId="0" applyNumberFormat="1" applyFont="1" applyBorder="1" applyAlignment="1">
      <alignment horizontal="center" vertical="center" wrapText="1"/>
    </xf>
    <xf numFmtId="164" fontId="3" fillId="2" borderId="15" xfId="0" applyNumberFormat="1" applyFont="1" applyFill="1" applyBorder="1" applyAlignment="1">
      <alignment horizontal="center" wrapText="1"/>
    </xf>
    <xf numFmtId="164" fontId="3" fillId="2" borderId="16" xfId="0" applyNumberFormat="1" applyFont="1" applyFill="1" applyBorder="1" applyAlignment="1">
      <alignment horizontal="center" wrapText="1"/>
    </xf>
    <xf numFmtId="164" fontId="0" fillId="0" borderId="17" xfId="0" applyNumberFormat="1" applyBorder="1" applyAlignment="1">
      <alignment horizontal="center" wrapText="1"/>
    </xf>
    <xf numFmtId="0" fontId="0" fillId="4" borderId="32" xfId="0" applyFill="1" applyBorder="1" applyAlignment="1">
      <alignment horizontal="center"/>
    </xf>
    <xf numFmtId="0" fontId="0" fillId="4" borderId="36" xfId="0" applyFill="1" applyBorder="1" applyAlignment="1">
      <alignment horizontal="center"/>
    </xf>
    <xf numFmtId="0" fontId="22" fillId="19" borderId="31" xfId="0" applyFont="1" applyFill="1" applyBorder="1" applyAlignment="1">
      <alignment horizontal="center"/>
    </xf>
    <xf numFmtId="0" fontId="22" fillId="19" borderId="37" xfId="0" applyFont="1" applyFill="1" applyBorder="1" applyAlignment="1">
      <alignment horizontal="center"/>
    </xf>
  </cellXfs>
  <cellStyles count="11">
    <cellStyle name="20% - Accent1" xfId="4" builtinId="30"/>
    <cellStyle name="20% - Accent6" xfId="10" builtinId="50"/>
    <cellStyle name="40% - Accent1" xfId="7" builtinId="31"/>
    <cellStyle name="40% - Accent3" xfId="3" builtinId="39"/>
    <cellStyle name="40% - Accent5" xfId="5" builtinId="47"/>
    <cellStyle name="Bad" xfId="8" builtinId="27"/>
    <cellStyle name="Calculation" xfId="2" builtinId="22"/>
    <cellStyle name="Good" xfId="6" builtinId="26"/>
    <cellStyle name="Normal" xfId="0" builtinId="0"/>
    <cellStyle name="Percent" xfId="1" builtinId="5"/>
    <cellStyle name="Total" xfId="9" builtinId="25"/>
  </cellStyles>
  <dxfs count="1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strike val="0"/>
        <outline val="0"/>
        <shadow val="0"/>
        <u val="none"/>
        <vertAlign val="baseline"/>
        <sz val="9"/>
        <color auto="1"/>
        <name val="Calibri"/>
        <family val="2"/>
        <scheme val="minor"/>
      </font>
      <numFmt numFmtId="0" formatCode="General"/>
      <fill>
        <patternFill patternType="solid">
          <fgColor indexed="64"/>
          <bgColor theme="0"/>
        </patternFill>
      </fill>
    </dxf>
    <dxf>
      <font>
        <b val="0"/>
        <strike val="0"/>
        <outline val="0"/>
        <shadow val="0"/>
        <u val="none"/>
        <vertAlign val="baseline"/>
        <sz val="12"/>
        <color auto="1"/>
        <name val="Calibri"/>
        <family val="2"/>
        <scheme val="minor"/>
      </font>
      <numFmt numFmtId="0" formatCode="General"/>
      <fill>
        <patternFill patternType="solid">
          <fgColor indexed="64"/>
          <bgColor theme="0"/>
        </patternFill>
      </fill>
    </dxf>
    <dxf>
      <font>
        <strike val="0"/>
        <outline val="0"/>
        <shadow val="0"/>
        <u val="none"/>
        <vertAlign val="baseline"/>
        <sz val="9"/>
        <color theme="1"/>
        <name val="Calibri"/>
        <family val="2"/>
        <scheme val="minor"/>
      </font>
      <alignment horizontal="center" vertical="bottom" textRotation="0" wrapText="0" indent="0" justifyLastLine="0" shrinkToFit="0" readingOrder="0"/>
    </dxf>
    <dxf>
      <font>
        <strike val="0"/>
        <outline val="0"/>
        <shadow val="0"/>
        <u val="none"/>
        <vertAlign val="baseline"/>
        <sz val="9"/>
        <color auto="1"/>
        <name val="Calibri"/>
        <family val="2"/>
        <scheme val="minor"/>
      </font>
    </dxf>
    <dxf>
      <font>
        <strike val="0"/>
        <outline val="0"/>
        <shadow val="0"/>
        <u val="none"/>
        <vertAlign val="baseline"/>
        <sz val="9"/>
        <color auto="1"/>
        <name val="Calibri"/>
        <family val="2"/>
        <scheme val="minor"/>
      </font>
      <fill>
        <patternFill patternType="solid">
          <fgColor indexed="64"/>
          <bgColor theme="0"/>
        </patternFill>
      </fill>
    </dxf>
    <dxf>
      <font>
        <color rgb="FF9C0006"/>
      </font>
      <fill>
        <patternFill>
          <bgColor rgb="FFFFC7CE"/>
        </patternFill>
      </fill>
    </dxf>
    <dxf>
      <font>
        <b/>
        <i val="0"/>
        <strike val="0"/>
        <u val="none"/>
        <color auto="1"/>
      </font>
    </dxf>
    <dxf>
      <font>
        <b/>
        <i val="0"/>
        <strike val="0"/>
        <u val="none"/>
        <color auto="1"/>
      </font>
    </dxf>
    <dxf>
      <font>
        <color rgb="FF9C0006"/>
      </font>
      <fill>
        <patternFill>
          <bgColor rgb="FFFFC7CE"/>
        </patternFill>
      </fill>
    </dxf>
    <dxf>
      <font>
        <color rgb="FF9C0006"/>
      </font>
      <fill>
        <patternFill>
          <bgColor rgb="FFFFC7CE"/>
        </patternFill>
      </fill>
    </dxf>
    <dxf>
      <fill>
        <patternFill>
          <fgColor indexed="64"/>
          <bgColor theme="0"/>
        </patternFill>
      </fill>
    </dxf>
    <dxf>
      <font>
        <strike val="0"/>
        <outline val="0"/>
        <shadow val="0"/>
        <u val="none"/>
        <vertAlign val="baseline"/>
        <sz val="9"/>
        <color theme="1"/>
        <name val="Calibri"/>
        <family val="2"/>
        <scheme val="minor"/>
      </font>
      <numFmt numFmtId="2" formatCode="0.00"/>
      <fill>
        <patternFill>
          <fgColor indexed="64"/>
          <bgColor theme="0"/>
        </patternFill>
      </fill>
    </dxf>
    <dxf>
      <font>
        <strike val="0"/>
        <outline val="0"/>
        <shadow val="0"/>
        <u val="none"/>
        <vertAlign val="baseline"/>
        <sz val="9"/>
        <color theme="1"/>
        <name val="Calibri"/>
        <family val="2"/>
        <scheme val="minor"/>
      </font>
      <numFmt numFmtId="2" formatCode="0.00"/>
      <fill>
        <patternFill>
          <fgColor indexed="64"/>
          <bgColor theme="0"/>
        </patternFill>
      </fill>
      <border outline="0">
        <right style="thin">
          <color rgb="FFDCDCDC"/>
        </right>
      </border>
    </dxf>
    <dxf>
      <fill>
        <patternFill patternType="solid">
          <fgColor indexed="64"/>
          <bgColor theme="0"/>
        </patternFill>
      </fill>
      <border diagonalUp="0" diagonalDown="0">
        <left style="thin">
          <color rgb="FFDCDCDC"/>
        </left>
        <right/>
        <top/>
        <bottom/>
      </border>
    </dxf>
    <dxf>
      <font>
        <strike val="0"/>
        <outline val="0"/>
        <shadow val="0"/>
        <u val="none"/>
        <vertAlign val="baseline"/>
        <sz val="9"/>
        <color theme="1"/>
        <name val="Calibri"/>
        <family val="2"/>
        <scheme val="minor"/>
      </font>
      <numFmt numFmtId="2" formatCode="0.00"/>
      <fill>
        <patternFill>
          <fgColor indexed="64"/>
          <bgColor theme="0"/>
        </patternFill>
      </fill>
      <border outline="0">
        <left style="thin">
          <color rgb="FFDCDCDC"/>
        </left>
        <right style="thin">
          <color rgb="FFDCDCDC"/>
        </right>
      </border>
    </dxf>
    <dxf>
      <font>
        <b/>
        <i val="0"/>
        <strike val="0"/>
        <condense val="0"/>
        <extend val="0"/>
        <outline val="0"/>
        <shadow val="0"/>
        <u val="none"/>
        <vertAlign val="baseline"/>
        <sz val="9"/>
        <color rgb="FFFA7D00"/>
        <name val="Calibri"/>
        <family val="2"/>
        <scheme val="minor"/>
      </font>
      <numFmt numFmtId="2" formatCode="0.00"/>
      <fill>
        <patternFill patternType="solid">
          <fgColor indexed="64"/>
          <bgColor rgb="FFF2F2F2"/>
        </patternFill>
      </fill>
      <border diagonalUp="0" diagonalDown="0" outline="0">
        <left style="thin">
          <color rgb="FF7F7F7F"/>
        </left>
        <right style="thin">
          <color rgb="FF7F7F7F"/>
        </right>
        <top style="thin">
          <color rgb="FF7F7F7F"/>
        </top>
        <bottom style="thin">
          <color rgb="FF7F7F7F"/>
        </bottom>
      </border>
    </dxf>
    <dxf>
      <font>
        <strike val="0"/>
        <outline val="0"/>
        <shadow val="0"/>
        <u val="none"/>
        <vertAlign val="baseline"/>
        <sz val="9"/>
        <color rgb="FFFA7D00"/>
        <name val="Calibri"/>
        <family val="2"/>
        <scheme val="minor"/>
      </font>
      <numFmt numFmtId="2" formatCode="0.00"/>
      <border outline="0">
        <right style="thin">
          <color rgb="FFDCDCDC"/>
        </right>
      </border>
    </dxf>
    <dxf>
      <numFmt numFmtId="2" formatCode="0.00"/>
      <fill>
        <patternFill patternType="solid">
          <fgColor indexed="64"/>
          <bgColor theme="0"/>
        </patternFill>
      </fill>
      <border diagonalUp="0" diagonalDown="0" outline="0">
        <left style="thin">
          <color rgb="FFDCDCDC"/>
        </left>
        <right style="thin">
          <color rgb="FF7F7F7F"/>
        </right>
        <top/>
        <bottom/>
      </border>
    </dxf>
    <dxf>
      <numFmt numFmtId="2" formatCode="0.00"/>
      <fill>
        <patternFill>
          <fgColor indexed="64"/>
          <bgColor theme="0"/>
        </patternFill>
      </fill>
      <border outline="0">
        <left style="thin">
          <color rgb="FFDCDCDC"/>
        </left>
        <right style="thin">
          <color rgb="FF7F7F7F"/>
        </right>
      </border>
    </dxf>
    <dxf>
      <numFmt numFmtId="2" formatCode="0.00"/>
      <fill>
        <patternFill patternType="solid">
          <fgColor indexed="64"/>
          <bgColor theme="0"/>
        </patternFill>
      </fill>
      <border diagonalUp="0" diagonalDown="0" outline="0">
        <left style="thin">
          <color rgb="FFDCDCDC"/>
        </left>
        <right/>
        <top/>
        <bottom/>
      </border>
    </dxf>
    <dxf>
      <numFmt numFmtId="2" formatCode="0.00"/>
      <fill>
        <patternFill>
          <fgColor indexed="64"/>
          <bgColor theme="0"/>
        </patternFill>
      </fill>
      <border outline="0">
        <left style="thin">
          <color rgb="FFDCDCDC"/>
        </left>
      </border>
    </dxf>
    <dxf>
      <numFmt numFmtId="2" formatCode="0.00"/>
      <fill>
        <patternFill patternType="solid">
          <fgColor indexed="64"/>
          <bgColor theme="0"/>
        </patternFill>
      </fill>
      <border diagonalUp="0" diagonalDown="0" outline="0">
        <left style="thin">
          <color rgb="FFDCDCDC"/>
        </left>
        <right/>
        <top/>
        <bottom/>
      </border>
    </dxf>
    <dxf>
      <numFmt numFmtId="2" formatCode="0.00"/>
      <fill>
        <patternFill>
          <fgColor indexed="64"/>
          <bgColor theme="0"/>
        </patternFill>
      </fill>
      <border outline="0">
        <left style="thin">
          <color rgb="FFDCDCDC"/>
        </left>
      </border>
    </dxf>
    <dxf>
      <numFmt numFmtId="2" formatCode="0.00"/>
      <fill>
        <patternFill patternType="solid">
          <fgColor indexed="64"/>
          <bgColor theme="0"/>
        </patternFill>
      </fill>
      <border diagonalUp="0" diagonalDown="0" outline="0">
        <left style="thin">
          <color rgb="FFDCDCDC"/>
        </left>
        <right/>
        <top/>
        <bottom/>
      </border>
    </dxf>
    <dxf>
      <numFmt numFmtId="2" formatCode="0.00"/>
      <fill>
        <patternFill>
          <fgColor indexed="64"/>
          <bgColor theme="0"/>
        </patternFill>
      </fill>
      <border outline="0">
        <left style="thin">
          <color rgb="FFDCDCDC"/>
        </left>
      </border>
    </dxf>
    <dxf>
      <numFmt numFmtId="2" formatCode="0.00"/>
      <fill>
        <patternFill patternType="solid">
          <fgColor indexed="64"/>
          <bgColor theme="0"/>
        </patternFill>
      </fill>
      <border diagonalUp="0" diagonalDown="0" outline="0">
        <left style="thin">
          <color rgb="FFDCDCDC"/>
        </left>
        <right/>
        <top/>
        <bottom/>
      </border>
    </dxf>
    <dxf>
      <numFmt numFmtId="2" formatCode="0.00"/>
      <fill>
        <patternFill>
          <fgColor indexed="64"/>
          <bgColor theme="0"/>
        </patternFill>
      </fill>
      <border outline="0">
        <left style="thin">
          <color rgb="FFDCDCDC"/>
        </left>
      </border>
    </dxf>
    <dxf>
      <numFmt numFmtId="2" formatCode="0.00"/>
      <fill>
        <patternFill patternType="solid">
          <fgColor indexed="64"/>
          <bgColor theme="0"/>
        </patternFill>
      </fill>
    </dxf>
    <dxf>
      <numFmt numFmtId="2" formatCode="0.00"/>
      <fill>
        <patternFill>
          <fgColor indexed="64"/>
          <bgColor theme="0"/>
        </patternFill>
      </fill>
    </dxf>
    <dxf>
      <font>
        <b val="0"/>
        <i val="0"/>
        <strike val="0"/>
        <condense val="0"/>
        <extend val="0"/>
        <outline val="0"/>
        <shadow val="0"/>
        <u val="none"/>
        <vertAlign val="baseline"/>
        <sz val="9"/>
        <color auto="1"/>
        <name val="Calibri"/>
        <family val="2"/>
        <scheme val="minor"/>
      </font>
      <fill>
        <patternFill patternType="solid">
          <fgColor indexed="64"/>
          <bgColor theme="0"/>
        </patternFill>
      </fill>
      <alignment horizontal="center" vertical="bottom" textRotation="0" wrapText="1" indent="0" justifyLastLine="0" shrinkToFit="0" readingOrder="0"/>
      <border diagonalUp="0" diagonalDown="0" outline="0">
        <left style="thin">
          <color rgb="FFDCDCDC"/>
        </left>
        <right style="thin">
          <color theme="0" tint="-4.9989318521683403E-2"/>
        </right>
        <top/>
        <bottom/>
      </border>
    </dxf>
    <dxf>
      <font>
        <b val="0"/>
        <i val="0"/>
        <strike val="0"/>
        <condense val="0"/>
        <extend val="0"/>
        <outline val="0"/>
        <shadow val="0"/>
        <u val="none"/>
        <vertAlign val="baseline"/>
        <sz val="9"/>
        <color auto="1"/>
        <name val="Calibri"/>
        <family val="2"/>
        <scheme val="minor"/>
      </font>
      <numFmt numFmtId="30" formatCode="@"/>
      <fill>
        <patternFill patternType="solid">
          <fgColor indexed="64"/>
          <bgColor theme="0"/>
        </patternFill>
      </fill>
      <alignment horizontal="center" vertical="bottom" textRotation="0" wrapText="1" indent="0" justifyLastLine="0" shrinkToFit="0" readingOrder="0"/>
      <border diagonalUp="0" diagonalDown="0" outline="0">
        <left style="thin">
          <color rgb="FFDCDCDC"/>
        </left>
        <right style="thin">
          <color theme="0" tint="-4.9989318521683403E-2"/>
        </right>
        <top style="thin">
          <color rgb="FFDCDCDC"/>
        </top>
        <bottom style="thin">
          <color rgb="FFDCDCDC"/>
        </bottom>
      </border>
    </dxf>
    <dxf>
      <font>
        <b val="0"/>
        <i val="0"/>
        <strike val="0"/>
        <condense val="0"/>
        <extend val="0"/>
        <outline val="0"/>
        <shadow val="0"/>
        <u val="none"/>
        <vertAlign val="baseline"/>
        <sz val="9"/>
        <color auto="1"/>
        <name val="Calibri"/>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30" formatCode="@"/>
      <fill>
        <patternFill patternType="solid">
          <fgColor indexed="64"/>
          <bgColor theme="0"/>
        </patternFill>
      </fill>
      <alignment horizontal="left" vertical="bottom" textRotation="0" wrapText="1" indent="0" justifyLastLine="0" shrinkToFit="0" readingOrder="0"/>
      <border diagonalUp="0" diagonalDown="0" outline="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rgb="FF000000"/>
        <name val="Calibri"/>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rgb="FF000000"/>
        <name val="Calibri"/>
        <family val="2"/>
        <scheme val="minor"/>
      </font>
      <numFmt numFmtId="30" formatCode="@"/>
      <fill>
        <patternFill patternType="solid">
          <fgColor indexed="64"/>
          <bgColor theme="0"/>
        </patternFill>
      </fill>
      <alignment horizontal="left" vertical="bottom" textRotation="0" wrapText="1" indent="0" justifyLastLine="0" shrinkToFit="0" readingOrder="0"/>
      <border diagonalUp="0" diagonalDown="0" outline="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rgb="FF000000"/>
        <name val="Calibri"/>
        <family val="2"/>
        <scheme val="minor"/>
      </font>
      <fill>
        <patternFill patternType="solid">
          <fgColor indexed="64"/>
          <bgColor theme="0"/>
        </patternFill>
      </fill>
      <alignment horizontal="left" vertical="bottom" textRotation="0" wrapText="1" indent="2"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rgb="FF000000"/>
        <name val="Calibri"/>
        <family val="2"/>
        <scheme val="minor"/>
      </font>
      <numFmt numFmtId="30" formatCode="@"/>
      <fill>
        <patternFill patternType="solid">
          <fgColor indexed="64"/>
          <bgColor theme="0"/>
        </patternFill>
      </fill>
      <alignment horizontal="left" vertical="bottom" textRotation="0" wrapText="1" indent="2" justifyLastLine="0" shrinkToFit="0" readingOrder="0"/>
      <border diagonalUp="0" diagonalDown="0" outline="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auto="1"/>
        <name val="Calibri"/>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fill>
        <patternFill patternType="solid">
          <fgColor indexed="64"/>
          <bgColor theme="0"/>
        </patternFill>
      </fill>
      <alignment horizontal="left" vertical="bottom" textRotation="0" wrapText="1" indent="0" justifyLastLine="0" shrinkToFit="0" readingOrder="0"/>
      <border diagonalUp="0" diagonalDown="0">
        <left style="thin">
          <color rgb="FFDCDCDC"/>
        </left>
        <right style="thin">
          <color rgb="FFDCDCDC"/>
        </right>
        <top style="thin">
          <color rgb="FFDCDCDC"/>
        </top>
        <bottom style="thin">
          <color rgb="FFDCDCDC"/>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fill>
        <patternFill>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left" vertical="bottom" textRotation="0" wrapText="0" indent="0" justifyLastLine="0" shrinkToFit="0" readingOrder="0"/>
    </dxf>
    <dxf>
      <fill>
        <patternFill>
          <fgColor indexed="64"/>
          <bgColor theme="0"/>
        </patternFill>
      </fill>
    </dxf>
    <dxf>
      <font>
        <b val="0"/>
        <i val="0"/>
        <strike val="0"/>
        <condense val="0"/>
        <extend val="0"/>
        <outline val="0"/>
        <shadow val="0"/>
        <u val="none"/>
        <vertAlign val="baseline"/>
        <sz val="9"/>
        <color theme="1"/>
        <name val="Calibri"/>
        <family val="2"/>
        <scheme val="minor"/>
      </font>
      <alignment horizontal="left" vertical="bottom" textRotation="0" wrapText="0" indent="0" justifyLastLine="0" shrinkToFit="0" readingOrder="0"/>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1"/>
        <color theme="1"/>
        <name val="Calibri"/>
        <family val="2"/>
        <scheme val="minor"/>
      </font>
      <fill>
        <patternFill patternType="solid">
          <fgColor indexed="65"/>
          <bgColor theme="4" tint="0.79998168889431442"/>
        </patternFill>
      </fill>
    </dxf>
    <dxf>
      <font>
        <sz val="9"/>
      </font>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1"/>
        <color theme="1"/>
        <name val="Calibri"/>
        <family val="2"/>
        <scheme val="minor"/>
      </font>
      <fill>
        <patternFill patternType="solid">
          <fgColor indexed="65"/>
          <bgColor theme="4" tint="0.79998168889431442"/>
        </patternFill>
      </fill>
    </dxf>
    <dxf>
      <font>
        <sz val="9"/>
      </font>
    </dxf>
    <dxf>
      <font>
        <b val="0"/>
        <i val="0"/>
        <strike val="0"/>
        <condense val="0"/>
        <extend val="0"/>
        <outline val="0"/>
        <shadow val="0"/>
        <u val="none"/>
        <vertAlign val="baseline"/>
        <sz val="11"/>
        <color theme="1"/>
        <name val="Calibri"/>
        <family val="2"/>
        <scheme val="minor"/>
      </font>
      <fill>
        <patternFill patternType="solid">
          <fgColor indexed="65"/>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79998168889431442"/>
        </patternFill>
      </fill>
    </dxf>
    <dxf>
      <font>
        <sz val="9"/>
      </font>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59999389629810485"/>
        </patternFill>
      </fill>
    </dxf>
    <dxf>
      <font>
        <sz val="9"/>
      </font>
    </dxf>
    <dxf>
      <fill>
        <patternFill patternType="solid">
          <bgColor theme="0"/>
        </patternFill>
      </fill>
    </dxf>
    <dxf>
      <font>
        <b val="0"/>
        <i val="0"/>
        <strike val="0"/>
        <condense val="0"/>
        <extend val="0"/>
        <outline val="0"/>
        <shadow val="0"/>
        <u val="none"/>
        <vertAlign val="baseline"/>
        <sz val="9"/>
        <color theme="1"/>
        <name val="Calibri"/>
        <family val="2"/>
        <scheme val="minor"/>
      </font>
      <fill>
        <patternFill patternType="solid">
          <fgColor indexed="64"/>
          <bgColor theme="4" tint="0.39997558519241921"/>
        </patternFill>
      </fill>
      <alignment horizontal="right" vertical="bottom" textRotation="0" wrapText="1" indent="0" justifyLastLine="0" shrinkToFit="0" readingOrder="0"/>
      <border diagonalUp="0" diagonalDown="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solid">
          <fgColor indexed="64"/>
          <bgColor theme="4" tint="0.39997558519241921"/>
        </patternFill>
      </fill>
      <alignment horizontal="right" vertical="bottom" textRotation="0" wrapText="1" indent="0" justifyLastLine="0" shrinkToFit="0" readingOrder="0"/>
      <border diagonalUp="0" diagonalDown="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14" formatCode="0.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right" vertical="bottom" textRotation="0" wrapText="1" indent="0"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14" formatCode="0.00%"/>
      <fill>
        <patternFill patternType="solid">
          <fgColor indexed="64"/>
          <bgColor theme="0"/>
        </patternFill>
      </fill>
      <alignment horizontal="right" vertical="bottom" textRotation="0" wrapText="1" indent="0" justifyLastLine="0" shrinkToFit="0" readingOrder="0"/>
      <border diagonalUp="0" diagonalDown="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right" vertical="bottom" textRotation="0" wrapText="1" indent="0"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2" formatCode="0.00"/>
      <fill>
        <patternFill patternType="solid">
          <fgColor indexed="64"/>
          <bgColor theme="0"/>
        </patternFill>
      </fill>
      <alignment horizontal="right" vertical="bottom" textRotation="0" wrapText="1" indent="0" justifyLastLine="0" shrinkToFit="0" readingOrder="0"/>
      <border diagonalUp="0" diagonalDown="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right" vertical="bottom" textRotation="0" wrapText="1" indent="0" justifyLastLine="0" shrinkToFit="0" readingOrder="0"/>
      <border diagonalUp="0" diagonalDown="0" outline="0">
        <left style="thin">
          <color rgb="FFDCDCDC"/>
        </left>
        <right style="thin">
          <color rgb="FFDCDCDC"/>
        </right>
        <top/>
        <bottom/>
      </border>
    </dxf>
    <dxf>
      <numFmt numFmtId="165" formatCode="0.00_ ;\-0.00\ "/>
      <alignment horizontal="right" vertical="bottom" textRotation="0" wrapText="1" indent="0" justifyLastLine="0" shrinkToFit="0" readingOrder="0"/>
      <border diagonalUp="0" diagonalDown="0" outline="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right" vertical="bottom" textRotation="0" wrapText="1" indent="0"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7" formatCode="#,##0.00;\-#,##0.00"/>
      <fill>
        <patternFill patternType="solid">
          <fgColor indexed="64"/>
          <bgColor theme="0"/>
        </patternFill>
      </fill>
      <alignment horizontal="right" vertical="bottom" textRotation="0" wrapText="1" indent="0" justifyLastLine="0" shrinkToFit="0" readingOrder="0"/>
      <border diagonalUp="0" diagonalDown="0">
        <left style="thin">
          <color rgb="FFDCDCDC"/>
        </left>
        <right style="thin">
          <color rgb="FFDCDCDC"/>
        </right>
        <top style="thin">
          <color rgb="FFDCDCDC"/>
        </top>
        <bottom style="thin">
          <color rgb="FFDCDCDC"/>
        </bottom>
        <vertical/>
        <horizontal/>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right" vertical="bottom" textRotation="0" wrapText="1" indent="0"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165" formatCode="0.00_ ;\-0.00\ "/>
      <fill>
        <patternFill patternType="solid">
          <fgColor indexed="64"/>
          <bgColor theme="0"/>
        </patternFill>
      </fill>
      <alignment horizontal="right" vertical="bottom" textRotation="0" wrapText="1" indent="0" justifyLastLine="0" shrinkToFit="0" readingOrder="0"/>
      <border diagonalUp="0" diagonalDown="0" outline="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right" vertical="bottom" textRotation="0" wrapText="1" indent="0"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165" formatCode="0.00_ ;\-0.00\ "/>
      <fill>
        <patternFill patternType="solid">
          <fgColor indexed="64"/>
          <bgColor theme="0"/>
        </patternFill>
      </fill>
      <alignment horizontal="right" vertical="bottom" textRotation="0" wrapText="1" indent="0" justifyLastLine="0" shrinkToFit="0" readingOrder="0"/>
      <border diagonalUp="0" diagonalDown="0" outline="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right" vertical="bottom" textRotation="0" wrapText="1" indent="0" justifyLastLine="0" shrinkToFit="0" readingOrder="0"/>
      <border diagonalUp="0" diagonalDown="0" outline="0">
        <left style="thin">
          <color indexed="64"/>
        </left>
        <right style="thin">
          <color rgb="FFDCDCDC"/>
        </right>
        <top/>
        <bottom/>
      </border>
    </dxf>
    <dxf>
      <font>
        <b val="0"/>
        <i val="0"/>
        <strike val="0"/>
        <condense val="0"/>
        <extend val="0"/>
        <outline val="0"/>
        <shadow val="0"/>
        <u val="none"/>
        <vertAlign val="baseline"/>
        <sz val="9"/>
        <color auto="1"/>
        <name val="Calibri"/>
        <family val="2"/>
        <scheme val="minor"/>
      </font>
      <numFmt numFmtId="165" formatCode="0.00_ ;\-0.00\ "/>
      <fill>
        <patternFill patternType="solid">
          <fgColor indexed="64"/>
          <bgColor theme="0"/>
        </patternFill>
      </fill>
      <alignment horizontal="right" vertical="bottom" textRotation="0" wrapText="1" indent="0" justifyLastLine="0" shrinkToFit="0" readingOrder="0"/>
      <border diagonalUp="0" diagonalDown="0" outline="0">
        <left style="thin">
          <color indexed="64"/>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right" vertical="bottom" textRotation="0" wrapText="1" indent="0"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165" formatCode="0.00_ ;\-0.00\ "/>
      <fill>
        <patternFill patternType="solid">
          <fgColor indexed="64"/>
          <bgColor theme="0"/>
        </patternFill>
      </fill>
      <alignment horizontal="right" vertical="bottom" textRotation="0" wrapText="1" indent="0" justifyLastLine="0" shrinkToFit="0" readingOrder="0"/>
      <border diagonalUp="0" diagonalDown="0" outline="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right" vertical="bottom" textRotation="0" wrapText="1" indent="0" justifyLastLine="0" shrinkToFit="0" readingOrder="0"/>
      <border diagonalUp="0" diagonalDown="0" outline="0">
        <left/>
        <right style="thin">
          <color rgb="FFDCDCDC"/>
        </right>
        <top/>
        <bottom/>
      </border>
    </dxf>
    <dxf>
      <font>
        <b val="0"/>
        <i val="0"/>
        <strike val="0"/>
        <condense val="0"/>
        <extend val="0"/>
        <outline val="0"/>
        <shadow val="0"/>
        <u val="none"/>
        <vertAlign val="baseline"/>
        <sz val="9"/>
        <color auto="1"/>
        <name val="Calibri"/>
        <family val="2"/>
        <scheme val="minor"/>
      </font>
      <numFmt numFmtId="165" formatCode="0.00_ ;\-0.00\ "/>
      <fill>
        <patternFill patternType="solid">
          <fgColor indexed="64"/>
          <bgColor theme="0"/>
        </patternFill>
      </fill>
      <alignment horizontal="right" vertical="bottom" textRotation="0" wrapText="1" indent="0" justifyLastLine="0" shrinkToFit="0" readingOrder="0"/>
      <border diagonalUp="0" diagonalDown="0" outline="0">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right" vertical="bottom" textRotation="0" wrapText="1" indent="0" justifyLastLine="0" shrinkToFit="0" readingOrder="0"/>
      <border diagonalUp="0" diagonalDown="0" outline="0">
        <left style="medium">
          <color indexed="64"/>
        </left>
        <right style="thin">
          <color rgb="FFDCDCDC"/>
        </right>
        <top/>
        <bottom/>
      </border>
    </dxf>
    <dxf>
      <font>
        <b val="0"/>
        <i val="0"/>
        <strike val="0"/>
        <condense val="0"/>
        <extend val="0"/>
        <outline val="0"/>
        <shadow val="0"/>
        <u val="none"/>
        <vertAlign val="baseline"/>
        <sz val="9"/>
        <color auto="1"/>
        <name val="Calibri"/>
        <family val="2"/>
        <scheme val="minor"/>
      </font>
      <numFmt numFmtId="165" formatCode="0.00_ ;\-0.00\ "/>
      <fill>
        <patternFill patternType="solid">
          <fgColor indexed="64"/>
          <bgColor theme="0"/>
        </patternFill>
      </fill>
      <alignment horizontal="right" vertical="bottom" textRotation="0" wrapText="1" indent="0" justifyLastLine="0" shrinkToFit="0" readingOrder="0"/>
      <border diagonalUp="0" diagonalDown="0" outline="0">
        <left style="medium">
          <color indexed="64"/>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fill>
        <patternFill patternType="solid">
          <fgColor indexed="64"/>
          <bgColor theme="4" tint="0.39997558519241921"/>
        </patternFill>
      </fill>
      <alignment horizontal="left" vertical="bottom" textRotation="0" wrapText="1" indent="1"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30" formatCode="@"/>
      <fill>
        <patternFill patternType="solid">
          <fgColor indexed="64"/>
          <bgColor theme="0"/>
        </patternFill>
      </fill>
      <alignment horizontal="left" vertical="bottom" textRotation="0" wrapText="1" indent="1" justifyLastLine="0" shrinkToFit="0" readingOrder="0"/>
      <border diagonalUp="0" diagonalDown="0" outline="0">
        <left style="thin">
          <color rgb="FFDCDCDC"/>
        </left>
        <right style="thin">
          <color rgb="FFDCDCDC"/>
        </right>
        <top style="thin">
          <color rgb="FFDCDCDC"/>
        </top>
        <bottom style="thin">
          <color rgb="FFDCDCDC"/>
        </bottom>
      </border>
    </dxf>
    <dxf>
      <font>
        <strike val="0"/>
        <outline val="0"/>
        <shadow val="0"/>
        <u val="none"/>
        <vertAlign val="baseline"/>
        <sz val="9"/>
        <color theme="1"/>
        <name val="Calibri"/>
        <family val="2"/>
        <scheme val="minor"/>
      </font>
    </dxf>
    <dxf>
      <border outline="0">
        <bottom style="thin">
          <color rgb="FFDCDCDC"/>
        </bottom>
      </border>
    </dxf>
    <dxf>
      <font>
        <b val="0"/>
        <i val="0"/>
        <strike val="0"/>
        <condense val="0"/>
        <extend val="0"/>
        <outline val="0"/>
        <shadow val="0"/>
        <u val="none"/>
        <vertAlign val="baseline"/>
        <sz val="9"/>
        <color auto="1"/>
        <name val="Calibri"/>
        <family val="2"/>
        <scheme val="minor"/>
      </font>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color auto="1"/>
        <name val="Calibri"/>
        <family val="2"/>
        <scheme val="minor"/>
      </font>
      <fill>
        <patternFill patternType="solid">
          <fgColor indexed="64"/>
          <bgColor theme="8"/>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4" tint="0.79998168889431442"/>
        </patternFill>
      </fill>
    </dxf>
    <dxf>
      <font>
        <strike val="0"/>
        <outline val="0"/>
        <shadow val="0"/>
        <u val="none"/>
        <vertAlign val="baseline"/>
        <sz val="9"/>
        <color theme="1"/>
        <name val="Calibri"/>
        <family val="2"/>
        <scheme val="minor"/>
      </font>
    </dxf>
    <dxf>
      <font>
        <b val="0"/>
        <i val="0"/>
        <strike val="0"/>
        <condense val="0"/>
        <extend val="0"/>
        <outline val="0"/>
        <shadow val="0"/>
        <u val="none"/>
        <vertAlign val="baseline"/>
        <sz val="9"/>
        <color auto="1"/>
        <name val="Calibri"/>
        <family val="2"/>
        <scheme val="minor"/>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solid">
          <fgColor indexed="64"/>
          <bgColor theme="4" tint="0.39997558519241921"/>
        </patternFill>
      </fill>
      <alignment horizontal="left" vertical="bottom" textRotation="0" wrapText="1" indent="2" justifyLastLine="0" shrinkToFit="0" readingOrder="0"/>
      <border diagonalUp="0" diagonalDown="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solid">
          <fgColor indexed="64"/>
          <bgColor theme="4" tint="0.39997558519241921"/>
        </patternFill>
      </fill>
      <alignment horizontal="left" vertical="bottom" textRotation="0" wrapText="1" indent="2" justifyLastLine="0" shrinkToFit="0" readingOrder="0"/>
      <border diagonalUp="0" diagonalDown="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dxf>
    <dxf>
      <font>
        <b val="0"/>
        <strike val="0"/>
        <outline val="0"/>
        <shadow val="0"/>
        <u val="none"/>
        <vertAlign val="baseline"/>
        <sz val="9"/>
        <color theme="1"/>
        <name val="Calibri"/>
        <family val="2"/>
        <scheme val="minor"/>
      </font>
      <numFmt numFmtId="30" formatCode="@"/>
      <alignment horizontal="right" vertical="bottom" textRotation="0" wrapText="1" indent="0" justifyLastLine="0" shrinkToFit="0" readingOrder="0"/>
      <border diagonalUp="0" diagonalDown="0" outline="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left" vertical="bottom" textRotation="0" wrapText="1" indent="2" justifyLastLine="0" shrinkToFit="0" readingOrder="0"/>
      <border diagonalUp="0" diagonalDown="0" outline="0">
        <left style="thin">
          <color rgb="FFDCDCDC"/>
        </left>
        <right style="thin">
          <color rgb="FFDCDCDC"/>
        </right>
        <top/>
        <bottom/>
      </border>
    </dxf>
    <dxf>
      <font>
        <strike val="0"/>
        <outline val="0"/>
        <shadow val="0"/>
        <u val="none"/>
        <vertAlign val="baseline"/>
        <sz val="9"/>
        <color auto="1"/>
        <name val="Calibri"/>
        <family val="2"/>
        <scheme val="minor"/>
      </font>
      <numFmt numFmtId="165" formatCode="0.00_ ;\-0.00\ "/>
      <alignment horizontal="right" vertical="bottom" textRotation="0" wrapText="1" indent="0" justifyLastLine="0" shrinkToFit="0" readingOrder="0"/>
      <border diagonalUp="0" diagonalDown="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left" vertical="bottom" textRotation="0" wrapText="1" indent="2"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30" formatCode="@"/>
      <fill>
        <patternFill patternType="solid">
          <fgColor indexed="64"/>
          <bgColor theme="0"/>
        </patternFill>
      </fill>
      <alignment horizontal="right" vertical="bottom" textRotation="0" wrapText="1" indent="0" justifyLastLine="0" shrinkToFit="0" readingOrder="0"/>
      <border diagonalUp="0" diagonalDown="0" outline="0">
        <left style="thin">
          <color rgb="FFDCDCDC"/>
        </left>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left" vertical="bottom" textRotation="0" wrapText="1" indent="2"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30" formatCode="@"/>
      <fill>
        <patternFill patternType="solid">
          <fgColor indexed="64"/>
          <bgColor theme="0"/>
        </patternFill>
      </fill>
      <alignment horizontal="right" vertical="bottom" textRotation="0" wrapText="1" indent="0" justifyLastLine="0" shrinkToFit="0" readingOrder="0"/>
      <border diagonalUp="0" diagonalDown="0" outline="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left" vertical="bottom" textRotation="0" wrapText="1" indent="2"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30" formatCode="@"/>
      <fill>
        <patternFill patternType="solid">
          <fgColor indexed="64"/>
          <bgColor theme="0"/>
        </patternFill>
      </fill>
      <alignment horizontal="right" vertical="bottom" textRotation="0" wrapText="1" indent="0" justifyLastLine="0" shrinkToFit="0" readingOrder="0"/>
      <border diagonalUp="0" diagonalDown="0" outline="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left" vertical="bottom" textRotation="0" wrapText="1" indent="2"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30" formatCode="@"/>
      <fill>
        <patternFill patternType="solid">
          <fgColor indexed="64"/>
          <bgColor theme="0"/>
        </patternFill>
      </fill>
      <alignment horizontal="right" vertical="bottom" textRotation="0" wrapText="1" indent="0" justifyLastLine="0" shrinkToFit="0" readingOrder="0"/>
      <border diagonalUp="0" diagonalDown="0" outline="0">
        <left style="thin">
          <color rgb="FFDCDCDC"/>
        </left>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left" vertical="bottom" textRotation="0" wrapText="1" indent="2"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30" formatCode="@"/>
      <fill>
        <patternFill patternType="solid">
          <fgColor indexed="64"/>
          <bgColor theme="0"/>
        </patternFill>
      </fill>
      <alignment horizontal="right" vertical="bottom" textRotation="0" wrapText="1" indent="0" justifyLastLine="0" shrinkToFit="0" readingOrder="0"/>
      <border diagonalUp="0" diagonalDown="0" outline="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4" tint="0.39997558519241921"/>
        </patternFill>
      </fill>
      <alignment horizontal="left" vertical="bottom" textRotation="0" wrapText="1" indent="2"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30" formatCode="@"/>
      <fill>
        <patternFill patternType="solid">
          <fgColor indexed="64"/>
          <bgColor theme="0"/>
        </patternFill>
      </fill>
      <alignment horizontal="right" vertical="bottom" textRotation="0" wrapText="1" indent="0" justifyLastLine="0" shrinkToFit="0" readingOrder="0"/>
      <border diagonalUp="0" diagonalDown="0" outline="0">
        <left/>
        <right style="thin">
          <color rgb="FFDCDCDC"/>
        </right>
        <top style="thin">
          <color rgb="FFDCDCDC"/>
        </top>
        <bottom style="thin">
          <color rgb="FFDCDCDC"/>
        </bottom>
      </border>
    </dxf>
    <dxf>
      <font>
        <b val="0"/>
        <i val="0"/>
        <strike val="0"/>
        <condense val="0"/>
        <extend val="0"/>
        <outline val="0"/>
        <shadow val="0"/>
        <u val="none"/>
        <vertAlign val="baseline"/>
        <sz val="9"/>
        <color theme="1"/>
        <name val="Calibri"/>
        <family val="2"/>
        <scheme val="minor"/>
      </font>
      <fill>
        <patternFill patternType="solid">
          <fgColor indexed="64"/>
          <bgColor theme="4" tint="0.39997558519241921"/>
        </patternFill>
      </fill>
      <alignment horizontal="left" vertical="bottom" textRotation="0" wrapText="1" indent="2" justifyLastLine="0" shrinkToFit="0" readingOrder="0"/>
      <border diagonalUp="0" diagonalDown="0" outline="0">
        <left style="thin">
          <color rgb="FFDCDCDC"/>
        </left>
        <right style="thin">
          <color rgb="FFDCDCDC"/>
        </right>
        <top/>
        <bottom/>
      </border>
    </dxf>
    <dxf>
      <font>
        <b val="0"/>
        <i val="0"/>
        <strike val="0"/>
        <condense val="0"/>
        <extend val="0"/>
        <outline val="0"/>
        <shadow val="0"/>
        <u val="none"/>
        <vertAlign val="baseline"/>
        <sz val="9"/>
        <color auto="1"/>
        <name val="Calibri"/>
        <family val="2"/>
        <scheme val="minor"/>
      </font>
      <numFmt numFmtId="30" formatCode="@"/>
      <fill>
        <patternFill patternType="solid">
          <fgColor indexed="64"/>
          <bgColor theme="0"/>
        </patternFill>
      </fill>
      <alignment horizontal="left" vertical="bottom" textRotation="0" wrapText="1" indent="0" justifyLastLine="0" shrinkToFit="0" readingOrder="0"/>
      <border diagonalUp="0" diagonalDown="0" outline="0">
        <left/>
        <right style="thin">
          <color rgb="FFDCDCDC"/>
        </right>
        <top style="thin">
          <color rgb="FFDCDCDC"/>
        </top>
        <bottom style="thin">
          <color rgb="FFDCDCDC"/>
        </bottom>
      </border>
    </dxf>
    <dxf>
      <font>
        <strike val="0"/>
        <outline val="0"/>
        <shadow val="0"/>
        <u val="none"/>
        <vertAlign val="baseline"/>
        <sz val="9"/>
        <color theme="1"/>
        <name val="Calibri"/>
        <family val="2"/>
        <scheme val="minor"/>
      </font>
    </dxf>
    <dxf>
      <border outline="0">
        <bottom style="thin">
          <color rgb="FFDCDCDC"/>
        </bottom>
      </border>
    </dxf>
    <dxf>
      <font>
        <b val="0"/>
        <i val="0"/>
        <strike val="0"/>
        <condense val="0"/>
        <extend val="0"/>
        <outline val="0"/>
        <shadow val="0"/>
        <u val="none"/>
        <vertAlign val="baseline"/>
        <sz val="9"/>
        <color auto="1"/>
        <name val="Calibri"/>
        <family val="2"/>
        <scheme val="minor"/>
      </font>
      <fill>
        <patternFill patternType="solid">
          <fgColor indexed="64"/>
          <bgColor theme="0"/>
        </patternFill>
      </fill>
      <alignment horizontal="left" vertical="bottom" textRotation="0" wrapText="1" indent="0" justifyLastLine="0" shrinkToFit="0" readingOrder="0"/>
    </dxf>
    <dxf>
      <fill>
        <patternFill patternType="solid">
          <fgColor indexed="64"/>
          <bgColor theme="4"/>
        </patternFill>
      </fill>
    </dxf>
    <dxf>
      <font>
        <strike val="0"/>
        <outline val="0"/>
        <shadow val="0"/>
        <u val="none"/>
        <vertAlign val="baseline"/>
        <sz val="9"/>
        <color theme="1"/>
        <name val="Calibri"/>
        <family val="2"/>
        <scheme val="minor"/>
      </font>
      <numFmt numFmtId="7" formatCode="#,##0.00;\-#,##0.00"/>
      <alignment horizontal="right" vertical="bottom" textRotation="0" wrapText="1" indent="0" justifyLastLine="0" shrinkToFit="0" readingOrder="0"/>
      <border diagonalUp="0" diagonalDown="0" outline="0">
        <left style="thin">
          <color rgb="FFDCDCDC"/>
        </left>
        <right style="thin">
          <color rgb="FFDCDCDC"/>
        </right>
        <top style="thin">
          <color rgb="FFDCDCDC"/>
        </top>
        <bottom style="thin">
          <color rgb="FFDCDCDC"/>
        </bottom>
      </border>
    </dxf>
    <dxf>
      <font>
        <b val="0"/>
        <i val="0"/>
        <strike val="0"/>
        <condense val="0"/>
        <extend val="0"/>
        <outline val="0"/>
        <shadow val="0"/>
        <u val="none"/>
        <vertAlign val="baseline"/>
        <sz val="9"/>
        <color rgb="FF000000"/>
        <name val="Calibri"/>
        <family val="2"/>
        <scheme val="minor"/>
      </font>
      <numFmt numFmtId="7" formatCode="#,##0.00;\-#,##0.00"/>
      <fill>
        <patternFill patternType="solid">
          <fgColor indexed="64"/>
          <bgColor rgb="FFFFFFFF"/>
        </patternFill>
      </fill>
      <alignment horizontal="right" vertical="bottom" textRotation="0" wrapText="1" indent="0" justifyLastLine="0" shrinkToFit="0" readingOrder="0"/>
      <border diagonalUp="0" diagonalDown="0">
        <left style="thin">
          <color rgb="FFDCDCDC"/>
        </left>
        <right style="thin">
          <color rgb="FFDCDCDC"/>
        </right>
        <top style="thin">
          <color rgb="FFDCDCDC"/>
        </top>
        <bottom style="thin">
          <color rgb="FFDCDCDC"/>
        </bottom>
        <vertical/>
        <horizontal/>
      </border>
    </dxf>
    <dxf>
      <font>
        <b val="0"/>
        <i val="0"/>
        <strike val="0"/>
        <condense val="0"/>
        <extend val="0"/>
        <outline val="0"/>
        <shadow val="0"/>
        <u val="none"/>
        <vertAlign val="baseline"/>
        <sz val="9"/>
        <color rgb="FF000000"/>
        <name val="Calibri"/>
        <family val="2"/>
        <scheme val="minor"/>
      </font>
      <numFmt numFmtId="7" formatCode="#,##0.00;\-#,##0.00"/>
      <fill>
        <patternFill patternType="solid">
          <fgColor indexed="64"/>
          <bgColor rgb="FFFFFFFF"/>
        </patternFill>
      </fill>
      <alignment horizontal="right" vertical="bottom" textRotation="0" wrapText="1" indent="0" justifyLastLine="0" shrinkToFit="0" readingOrder="0"/>
      <border diagonalUp="0" diagonalDown="0">
        <left style="thin">
          <color rgb="FFDCDCDC"/>
        </left>
        <right style="thin">
          <color rgb="FFDCDCDC"/>
        </right>
        <top style="thin">
          <color rgb="FFDCDCDC"/>
        </top>
        <bottom style="thin">
          <color rgb="FFDCDCDC"/>
        </bottom>
        <vertical/>
        <horizontal/>
      </border>
    </dxf>
    <dxf>
      <font>
        <b val="0"/>
        <i val="0"/>
        <strike val="0"/>
        <condense val="0"/>
        <extend val="0"/>
        <outline val="0"/>
        <shadow val="0"/>
        <u val="none"/>
        <vertAlign val="baseline"/>
        <sz val="9"/>
        <color rgb="FF000000"/>
        <name val="Calibri"/>
        <family val="2"/>
        <scheme val="minor"/>
      </font>
      <numFmt numFmtId="7" formatCode="#,##0.00;\-#,##0.00"/>
      <fill>
        <patternFill patternType="solid">
          <fgColor indexed="64"/>
          <bgColor rgb="FFFFFFFF"/>
        </patternFill>
      </fill>
      <alignment horizontal="right" vertical="bottom" textRotation="0" wrapText="1" indent="0" justifyLastLine="0" shrinkToFit="0" readingOrder="0"/>
      <border diagonalUp="0" diagonalDown="0">
        <left style="thin">
          <color indexed="64"/>
        </left>
        <right style="thin">
          <color rgb="FFDCDCDC"/>
        </right>
        <top style="thin">
          <color rgb="FFDCDCDC"/>
        </top>
        <bottom style="thin">
          <color rgb="FFDCDCDC"/>
        </bottom>
        <vertical/>
        <horizontal/>
      </border>
    </dxf>
    <dxf>
      <font>
        <b val="0"/>
        <i val="0"/>
        <strike val="0"/>
        <condense val="0"/>
        <extend val="0"/>
        <outline val="0"/>
        <shadow val="0"/>
        <u val="none"/>
        <vertAlign val="baseline"/>
        <sz val="9"/>
        <color rgb="FF000000"/>
        <name val="Calibri"/>
        <family val="2"/>
        <scheme val="minor"/>
      </font>
      <numFmt numFmtId="7" formatCode="#,##0.00;\-#,##0.00"/>
      <fill>
        <patternFill patternType="solid">
          <fgColor indexed="64"/>
          <bgColor rgb="FFFFFFFF"/>
        </patternFill>
      </fill>
      <alignment horizontal="right" vertical="bottom" textRotation="0" wrapText="1" indent="0" justifyLastLine="0" shrinkToFit="0" readingOrder="0"/>
      <border diagonalUp="0" diagonalDown="0">
        <left style="thin">
          <color rgb="FFDCDCDC"/>
        </left>
        <right style="thin">
          <color rgb="FFDCDCDC"/>
        </right>
        <top style="thin">
          <color rgb="FFDCDCDC"/>
        </top>
        <bottom style="thin">
          <color rgb="FFDCDCDC"/>
        </bottom>
        <vertical/>
        <horizontal/>
      </border>
    </dxf>
    <dxf>
      <font>
        <b val="0"/>
        <i val="0"/>
        <strike val="0"/>
        <condense val="0"/>
        <extend val="0"/>
        <outline val="0"/>
        <shadow val="0"/>
        <u val="none"/>
        <vertAlign val="baseline"/>
        <sz val="9"/>
        <color rgb="FF000000"/>
        <name val="Calibri"/>
        <family val="2"/>
        <scheme val="minor"/>
      </font>
      <numFmt numFmtId="7" formatCode="#,##0.00;\-#,##0.00"/>
      <fill>
        <patternFill patternType="solid">
          <fgColor indexed="64"/>
          <bgColor rgb="FFFFFFFF"/>
        </patternFill>
      </fill>
      <alignment horizontal="right" vertical="bottom" textRotation="0" wrapText="1" indent="0" justifyLastLine="0" shrinkToFit="0" readingOrder="0"/>
      <border diagonalUp="0" diagonalDown="0">
        <left/>
        <right style="thin">
          <color rgb="FFDCDCDC"/>
        </right>
        <top style="thin">
          <color rgb="FFDCDCDC"/>
        </top>
        <bottom style="thin">
          <color rgb="FFDCDCDC"/>
        </bottom>
        <vertical/>
        <horizontal/>
      </border>
    </dxf>
    <dxf>
      <font>
        <b val="0"/>
        <i val="0"/>
        <strike val="0"/>
        <condense val="0"/>
        <extend val="0"/>
        <outline val="0"/>
        <shadow val="0"/>
        <u val="none"/>
        <vertAlign val="baseline"/>
        <sz val="9"/>
        <color rgb="FF000000"/>
        <name val="Calibri"/>
        <family val="2"/>
        <scheme val="minor"/>
      </font>
      <numFmt numFmtId="7" formatCode="#,##0.00;\-#,##0.00"/>
      <fill>
        <patternFill patternType="solid">
          <fgColor indexed="64"/>
          <bgColor rgb="FFFFFFFF"/>
        </patternFill>
      </fill>
      <alignment horizontal="right" vertical="bottom" textRotation="0" wrapText="1" indent="0" justifyLastLine="0" shrinkToFit="0" readingOrder="0"/>
      <border diagonalUp="0" diagonalDown="0" outline="0">
        <left/>
        <right style="thin">
          <color rgb="FFDCDCDC"/>
        </right>
        <top style="thin">
          <color rgb="FFDCDCDC"/>
        </top>
        <bottom style="thin">
          <color rgb="FFDCDCDC"/>
        </bottom>
      </border>
    </dxf>
    <dxf>
      <font>
        <b val="0"/>
        <i val="0"/>
        <strike val="0"/>
        <condense val="0"/>
        <extend val="0"/>
        <outline val="0"/>
        <shadow val="0"/>
        <u val="none"/>
        <vertAlign val="baseline"/>
        <sz val="9"/>
        <color rgb="FF000000"/>
        <name val="Calibri"/>
        <family val="2"/>
        <scheme val="minor"/>
      </font>
      <numFmt numFmtId="30" formatCode="@"/>
      <fill>
        <patternFill patternType="solid">
          <fgColor indexed="64"/>
          <bgColor rgb="FFFFFFFF"/>
        </patternFill>
      </fill>
      <alignment horizontal="center" vertical="bottom" textRotation="0" wrapText="1" indent="0" justifyLastLine="0" shrinkToFit="0" readingOrder="0"/>
      <border diagonalUp="0" diagonalDown="0" outline="0">
        <left style="thin">
          <color rgb="FFDCDCDC"/>
        </left>
        <right/>
        <top style="thin">
          <color rgb="FFDCDCDC"/>
        </top>
        <bottom style="thin">
          <color rgb="FFDCDCDC"/>
        </bottom>
      </border>
    </dxf>
    <dxf>
      <font>
        <b val="0"/>
        <i val="0"/>
        <strike val="0"/>
        <condense val="0"/>
        <extend val="0"/>
        <outline val="0"/>
        <shadow val="0"/>
        <u val="none"/>
        <vertAlign val="baseline"/>
        <sz val="9"/>
        <color rgb="FF000000"/>
        <name val="Calibri"/>
        <family val="2"/>
        <scheme val="minor"/>
      </font>
      <numFmt numFmtId="30" formatCode="@"/>
      <fill>
        <patternFill patternType="solid">
          <fgColor indexed="64"/>
          <bgColor rgb="FFFFFFFF"/>
        </patternFill>
      </fill>
      <alignment horizontal="left" vertical="bottom" textRotation="0" wrapText="1" indent="0" justifyLastLine="0" shrinkToFit="0" readingOrder="0"/>
      <border diagonalUp="0" diagonalDown="0">
        <left style="thin">
          <color rgb="FFDCDCDC"/>
        </left>
        <right/>
        <top style="thin">
          <color rgb="FFDCDCDC"/>
        </top>
        <bottom style="thin">
          <color rgb="FFDCDCDC"/>
        </bottom>
        <vertical/>
        <horizontal/>
      </border>
    </dxf>
    <dxf>
      <font>
        <b val="0"/>
        <i val="0"/>
        <strike val="0"/>
        <condense val="0"/>
        <extend val="0"/>
        <outline val="0"/>
        <shadow val="0"/>
        <u val="none"/>
        <vertAlign val="baseline"/>
        <sz val="9"/>
        <color rgb="FF000000"/>
        <name val="Calibri"/>
        <family val="2"/>
        <scheme val="minor"/>
      </font>
      <numFmt numFmtId="30" formatCode="@"/>
      <fill>
        <patternFill patternType="solid">
          <fgColor indexed="64"/>
          <bgColor rgb="FFFFFFFF"/>
        </patternFill>
      </fill>
      <alignment horizontal="left" vertical="bottom" textRotation="0" wrapText="1" indent="0" justifyLastLine="0" shrinkToFit="0" readingOrder="0"/>
      <border diagonalUp="0" diagonalDown="0">
        <left style="thin">
          <color rgb="FFDCDCDC"/>
        </left>
        <right style="thin">
          <color rgb="FFDCDCDC"/>
        </right>
        <top style="thin">
          <color rgb="FFDCDCDC"/>
        </top>
        <bottom style="thin">
          <color rgb="FFDCDCDC"/>
        </bottom>
        <vertical/>
        <horizontal/>
      </border>
    </dxf>
    <dxf>
      <font>
        <b val="0"/>
        <i val="0"/>
        <strike val="0"/>
        <condense val="0"/>
        <extend val="0"/>
        <outline val="0"/>
        <shadow val="0"/>
        <u val="none"/>
        <vertAlign val="baseline"/>
        <sz val="9"/>
        <color rgb="FF000000"/>
        <name val="Calibri"/>
        <family val="2"/>
        <scheme val="minor"/>
      </font>
      <numFmt numFmtId="30" formatCode="@"/>
      <fill>
        <patternFill patternType="solid">
          <fgColor indexed="64"/>
          <bgColor rgb="FFFFFFFF"/>
        </patternFill>
      </fill>
      <alignment horizontal="left" vertical="bottom" textRotation="0" wrapText="1" indent="0" justifyLastLine="0" shrinkToFit="0" readingOrder="0"/>
      <border diagonalUp="0" diagonalDown="0">
        <left style="thin">
          <color rgb="FFDCDCDC"/>
        </left>
        <right style="thin">
          <color rgb="FFDCDCDC"/>
        </right>
        <top style="thin">
          <color rgb="FFDCDCDC"/>
        </top>
        <bottom style="thin">
          <color rgb="FFDCDCDC"/>
        </bottom>
        <vertical/>
        <horizontal/>
      </border>
    </dxf>
    <dxf>
      <font>
        <b val="0"/>
        <i val="0"/>
        <strike val="0"/>
        <condense val="0"/>
        <extend val="0"/>
        <outline val="0"/>
        <shadow val="0"/>
        <u val="none"/>
        <vertAlign val="baseline"/>
        <sz val="9"/>
        <color rgb="FF000000"/>
        <name val="Calibri"/>
        <family val="2"/>
        <scheme val="minor"/>
      </font>
      <numFmt numFmtId="30" formatCode="@"/>
      <fill>
        <patternFill patternType="solid">
          <fgColor indexed="64"/>
          <bgColor rgb="FFFFFFFF"/>
        </patternFill>
      </fill>
      <alignment horizontal="left" vertical="bottom" textRotation="0" wrapText="1" indent="2" justifyLastLine="0" shrinkToFit="0" readingOrder="0"/>
      <border diagonalUp="0" diagonalDown="0">
        <left/>
        <right style="thin">
          <color rgb="FFDCDCDC"/>
        </right>
        <top style="thin">
          <color rgb="FFDCDCDC"/>
        </top>
        <bottom style="thin">
          <color rgb="FFDCDCDC"/>
        </bottom>
        <vertical/>
        <horizontal/>
      </border>
    </dxf>
    <dxf>
      <border outline="0">
        <left style="thin">
          <color rgb="FFDCDCDC"/>
        </left>
        <bottom style="thin">
          <color rgb="FFDCDCDC"/>
        </bottom>
      </border>
    </dxf>
    <dxf>
      <font>
        <b val="0"/>
        <i val="0"/>
        <strike val="0"/>
        <condense val="0"/>
        <extend val="0"/>
        <outline val="0"/>
        <shadow val="0"/>
        <u val="none"/>
        <vertAlign val="baseline"/>
        <sz val="9"/>
        <color rgb="FF000000"/>
        <name val="Calibri"/>
        <family val="2"/>
        <scheme val="minor"/>
      </font>
      <fill>
        <patternFill patternType="solid">
          <fgColor indexed="64"/>
          <bgColor rgb="FFFFFFFF"/>
        </patternFill>
      </fill>
      <alignment horizontal="right" vertical="bottom" textRotation="0" wrapText="1" indent="0" justifyLastLine="0" shrinkToFit="0" readingOrder="0"/>
    </dxf>
    <dxf>
      <font>
        <b/>
        <i val="0"/>
        <strike val="0"/>
        <condense val="0"/>
        <extend val="0"/>
        <outline val="0"/>
        <shadow val="0"/>
        <u val="none"/>
        <vertAlign val="baseline"/>
        <sz val="9"/>
        <color rgb="FF000000"/>
        <name val="Calibri"/>
        <family val="2"/>
        <scheme val="minor"/>
      </font>
      <numFmt numFmtId="164" formatCode="0.0"/>
      <fill>
        <patternFill patternType="solid">
          <fgColor indexed="64"/>
          <bgColor rgb="FFFFFFFF"/>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Table Style 1" pivot="0" count="0" xr9:uid="{172144E7-CE23-4753-9F5D-BCF8F64AD2C9}"/>
  </tableStyles>
  <colors>
    <mruColors>
      <color rgb="FF004F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4.xml"/><Relationship Id="rId39" Type="http://schemas.openxmlformats.org/officeDocument/2006/relationships/customXml" Target="../customXml/item1.xml"/><Relationship Id="rId21" Type="http://schemas.openxmlformats.org/officeDocument/2006/relationships/pivotCacheDefinition" Target="pivotCache/pivotCacheDefinition9.xml"/><Relationship Id="rId34" Type="http://schemas.openxmlformats.org/officeDocument/2006/relationships/styles" Target="style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7.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5.xml"/><Relationship Id="rId30" Type="http://schemas.microsoft.com/office/2007/relationships/slicerCache" Target="slicerCaches/slicerCache8.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3.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pivotCacheDefinition" Target="pivotCache/pivotCacheDefinition8.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07/relationships/slicerCache" Target="slicerCaches/slicerCache9.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Manufacturer Contributions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Mgf!$B$7:$B$12</c:f>
              <c:strCache>
                <c:ptCount val="6"/>
                <c:pt idx="0">
                  <c:v> VigaLife</c:v>
                </c:pt>
                <c:pt idx="1">
                  <c:v> Proctor &amp; Wager</c:v>
                </c:pt>
                <c:pt idx="2">
                  <c:v> Fulya Beauty</c:v>
                </c:pt>
                <c:pt idx="3">
                  <c:v> SepaTextiles</c:v>
                </c:pt>
                <c:pt idx="4">
                  <c:v> Intelligent Initiative</c:v>
                </c:pt>
                <c:pt idx="5">
                  <c:v> AxisOn Group</c:v>
                </c:pt>
              </c:strCache>
            </c:strRef>
          </c:cat>
          <c:val>
            <c:numRef>
              <c:f>Mgf!$L$7:$L$12</c:f>
              <c:numCache>
                <c:formatCode>0.00%</c:formatCode>
                <c:ptCount val="6"/>
                <c:pt idx="0">
                  <c:v>2.5899256720325163E-2</c:v>
                </c:pt>
                <c:pt idx="1">
                  <c:v>0.15571039287296198</c:v>
                </c:pt>
                <c:pt idx="2">
                  <c:v>-0.18751861568141073</c:v>
                </c:pt>
                <c:pt idx="3">
                  <c:v>-0.16359831452730414</c:v>
                </c:pt>
                <c:pt idx="4">
                  <c:v>-8.7461255392688054E-3</c:v>
                </c:pt>
                <c:pt idx="5">
                  <c:v>-5.0129260436934789E-2</c:v>
                </c:pt>
              </c:numCache>
            </c:numRef>
          </c:val>
          <c:extLst>
            <c:ext xmlns:c16="http://schemas.microsoft.com/office/drawing/2014/chart" uri="{C3380CC4-5D6E-409C-BE32-E72D297353CC}">
              <c16:uniqueId val="{00000000-07CA-413A-9B10-ACA084B02195}"/>
            </c:ext>
          </c:extLst>
        </c:ser>
        <c:dLbls>
          <c:showLegendKey val="0"/>
          <c:showVal val="0"/>
          <c:showCatName val="0"/>
          <c:showSerName val="0"/>
          <c:showPercent val="0"/>
          <c:showBubbleSize val="0"/>
        </c:dLbls>
        <c:gapWidth val="219"/>
        <c:overlap val="-27"/>
        <c:axId val="1326515296"/>
        <c:axId val="1326502336"/>
      </c:barChart>
      <c:catAx>
        <c:axId val="132651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502336"/>
        <c:crosses val="autoZero"/>
        <c:auto val="1"/>
        <c:lblAlgn val="ctr"/>
        <c:lblOffset val="100"/>
        <c:noMultiLvlLbl val="0"/>
      </c:catAx>
      <c:valAx>
        <c:axId val="13265023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515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[Baby_Care_sourceDA1.xlsx]pivot by mfg.!PivotTable_salesbymanufacturer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performance -Manufacturer</a:t>
            </a:r>
            <a:endParaRPr lang="en-IN"/>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01154104395264E-2"/>
          <c:y val="0.11255569797961301"/>
          <c:w val="0.59196277567271893"/>
          <c:h val="0.69642190075077814"/>
        </c:manualLayout>
      </c:layout>
      <c:barChart>
        <c:barDir val="col"/>
        <c:grouping val="clustered"/>
        <c:varyColors val="0"/>
        <c:ser>
          <c:idx val="0"/>
          <c:order val="0"/>
          <c:tx>
            <c:strRef>
              <c:f>'pivot by mfg.'!$B$3</c:f>
              <c:strCache>
                <c:ptCount val="1"/>
                <c:pt idx="0">
                  <c:v>Sum of Value 2022</c:v>
                </c:pt>
              </c:strCache>
            </c:strRef>
          </c:tx>
          <c:spPr>
            <a:solidFill>
              <a:schemeClr val="accent1"/>
            </a:solidFill>
            <a:ln>
              <a:noFill/>
            </a:ln>
            <a:effectLst/>
          </c:spPr>
          <c:invertIfNegative val="0"/>
          <c:cat>
            <c:strRef>
              <c:f>'pivot by mfg.'!$A$4:$A$9</c:f>
              <c:strCache>
                <c:ptCount val="5"/>
                <c:pt idx="0">
                  <c:v> VigaLife</c:v>
                </c:pt>
                <c:pt idx="1">
                  <c:v> Proctor &amp; Wager</c:v>
                </c:pt>
                <c:pt idx="2">
                  <c:v> Fulya Beauty</c:v>
                </c:pt>
                <c:pt idx="3">
                  <c:v> SepaTextiles</c:v>
                </c:pt>
                <c:pt idx="4">
                  <c:v> Intelligent Initiative</c:v>
                </c:pt>
              </c:strCache>
            </c:strRef>
          </c:cat>
          <c:val>
            <c:numRef>
              <c:f>'pivot by mfg.'!$B$4:$B$9</c:f>
              <c:numCache>
                <c:formatCode>General</c:formatCode>
                <c:ptCount val="5"/>
                <c:pt idx="0">
                  <c:v>3341.5012999999999</c:v>
                </c:pt>
                <c:pt idx="1">
                  <c:v>1818.5395000000001</c:v>
                </c:pt>
                <c:pt idx="2">
                  <c:v>1012.9229</c:v>
                </c:pt>
                <c:pt idx="3">
                  <c:v>632.96190000000001</c:v>
                </c:pt>
                <c:pt idx="4">
                  <c:v>511.78089999999997</c:v>
                </c:pt>
              </c:numCache>
            </c:numRef>
          </c:val>
          <c:extLst>
            <c:ext xmlns:c16="http://schemas.microsoft.com/office/drawing/2014/chart" uri="{C3380CC4-5D6E-409C-BE32-E72D297353CC}">
              <c16:uniqueId val="{00000000-2519-4679-90DE-67339AA3F578}"/>
            </c:ext>
          </c:extLst>
        </c:ser>
        <c:ser>
          <c:idx val="1"/>
          <c:order val="1"/>
          <c:tx>
            <c:strRef>
              <c:f>'pivot by mfg.'!$C$3</c:f>
              <c:strCache>
                <c:ptCount val="1"/>
                <c:pt idx="0">
                  <c:v>Sum of Value 2023</c:v>
                </c:pt>
              </c:strCache>
            </c:strRef>
          </c:tx>
          <c:spPr>
            <a:solidFill>
              <a:schemeClr val="accent3"/>
            </a:solidFill>
            <a:ln>
              <a:noFill/>
            </a:ln>
            <a:effectLst/>
          </c:spPr>
          <c:invertIfNegative val="0"/>
          <c:cat>
            <c:strRef>
              <c:f>'pivot by mfg.'!$A$4:$A$9</c:f>
              <c:strCache>
                <c:ptCount val="5"/>
                <c:pt idx="0">
                  <c:v> VigaLife</c:v>
                </c:pt>
                <c:pt idx="1">
                  <c:v> Proctor &amp; Wager</c:v>
                </c:pt>
                <c:pt idx="2">
                  <c:v> Fulya Beauty</c:v>
                </c:pt>
                <c:pt idx="3">
                  <c:v> SepaTextiles</c:v>
                </c:pt>
                <c:pt idx="4">
                  <c:v> Intelligent Initiative</c:v>
                </c:pt>
              </c:strCache>
            </c:strRef>
          </c:cat>
          <c:val>
            <c:numRef>
              <c:f>'pivot by mfg.'!$C$4:$C$9</c:f>
              <c:numCache>
                <c:formatCode>General</c:formatCode>
                <c:ptCount val="5"/>
                <c:pt idx="0">
                  <c:v>3428.0437000000002</c:v>
                </c:pt>
                <c:pt idx="1">
                  <c:v>2101.7049999999999</c:v>
                </c:pt>
                <c:pt idx="2">
                  <c:v>822.98099999999999</c:v>
                </c:pt>
                <c:pt idx="3">
                  <c:v>529.41039999999998</c:v>
                </c:pt>
                <c:pt idx="4">
                  <c:v>507.3048</c:v>
                </c:pt>
              </c:numCache>
            </c:numRef>
          </c:val>
          <c:extLst>
            <c:ext xmlns:c16="http://schemas.microsoft.com/office/drawing/2014/chart" uri="{C3380CC4-5D6E-409C-BE32-E72D297353CC}">
              <c16:uniqueId val="{00000001-2519-4679-90DE-67339AA3F578}"/>
            </c:ext>
          </c:extLst>
        </c:ser>
        <c:ser>
          <c:idx val="2"/>
          <c:order val="2"/>
          <c:tx>
            <c:strRef>
              <c:f>'pivot by mfg.'!$D$3</c:f>
              <c:strCache>
                <c:ptCount val="1"/>
                <c:pt idx="0">
                  <c:v>Sum of Value YTD 2024</c:v>
                </c:pt>
              </c:strCache>
            </c:strRef>
          </c:tx>
          <c:spPr>
            <a:solidFill>
              <a:schemeClr val="accent5"/>
            </a:solidFill>
            <a:ln>
              <a:noFill/>
            </a:ln>
            <a:effectLst/>
          </c:spPr>
          <c:invertIfNegative val="0"/>
          <c:cat>
            <c:strRef>
              <c:f>'pivot by mfg.'!$A$4:$A$9</c:f>
              <c:strCache>
                <c:ptCount val="5"/>
                <c:pt idx="0">
                  <c:v> VigaLife</c:v>
                </c:pt>
                <c:pt idx="1">
                  <c:v> Proctor &amp; Wager</c:v>
                </c:pt>
                <c:pt idx="2">
                  <c:v> Fulya Beauty</c:v>
                </c:pt>
                <c:pt idx="3">
                  <c:v> SepaTextiles</c:v>
                </c:pt>
                <c:pt idx="4">
                  <c:v> Intelligent Initiative</c:v>
                </c:pt>
              </c:strCache>
            </c:strRef>
          </c:cat>
          <c:val>
            <c:numRef>
              <c:f>'pivot by mfg.'!$D$4:$D$9</c:f>
              <c:numCache>
                <c:formatCode>General</c:formatCode>
                <c:ptCount val="5"/>
                <c:pt idx="0">
                  <c:v>1852.1968999999999</c:v>
                </c:pt>
                <c:pt idx="1">
                  <c:v>1233.5607</c:v>
                </c:pt>
                <c:pt idx="2">
                  <c:v>367.98759999999999</c:v>
                </c:pt>
                <c:pt idx="3">
                  <c:v>262.13749999999999</c:v>
                </c:pt>
                <c:pt idx="4">
                  <c:v>295.71379999999999</c:v>
                </c:pt>
              </c:numCache>
            </c:numRef>
          </c:val>
          <c:extLst>
            <c:ext xmlns:c16="http://schemas.microsoft.com/office/drawing/2014/chart" uri="{C3380CC4-5D6E-409C-BE32-E72D297353CC}">
              <c16:uniqueId val="{00000002-2519-4679-90DE-67339AA3F578}"/>
            </c:ext>
          </c:extLst>
        </c:ser>
        <c:dLbls>
          <c:showLegendKey val="0"/>
          <c:showVal val="0"/>
          <c:showCatName val="0"/>
          <c:showSerName val="0"/>
          <c:showPercent val="0"/>
          <c:showBubbleSize val="0"/>
        </c:dLbls>
        <c:gapWidth val="150"/>
        <c:axId val="1915716768"/>
        <c:axId val="1917263008"/>
      </c:barChart>
      <c:lineChart>
        <c:grouping val="standard"/>
        <c:varyColors val="0"/>
        <c:ser>
          <c:idx val="3"/>
          <c:order val="3"/>
          <c:tx>
            <c:strRef>
              <c:f>'pivot by mfg.'!$E$3</c:f>
              <c:strCache>
                <c:ptCount val="1"/>
                <c:pt idx="0">
                  <c:v>Sum of Total Value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by mfg.'!$A$4:$A$9</c:f>
              <c:strCache>
                <c:ptCount val="5"/>
                <c:pt idx="0">
                  <c:v> VigaLife</c:v>
                </c:pt>
                <c:pt idx="1">
                  <c:v> Proctor &amp; Wager</c:v>
                </c:pt>
                <c:pt idx="2">
                  <c:v> Fulya Beauty</c:v>
                </c:pt>
                <c:pt idx="3">
                  <c:v> SepaTextiles</c:v>
                </c:pt>
                <c:pt idx="4">
                  <c:v> Intelligent Initiative</c:v>
                </c:pt>
              </c:strCache>
            </c:strRef>
          </c:cat>
          <c:val>
            <c:numRef>
              <c:f>'pivot by mfg.'!$E$4:$E$9</c:f>
              <c:numCache>
                <c:formatCode>General</c:formatCode>
                <c:ptCount val="5"/>
                <c:pt idx="0">
                  <c:v>8621.7419000000009</c:v>
                </c:pt>
                <c:pt idx="1">
                  <c:v>5153.8051999999998</c:v>
                </c:pt>
                <c:pt idx="2">
                  <c:v>2203.8915000000002</c:v>
                </c:pt>
                <c:pt idx="3">
                  <c:v>1424.5098</c:v>
                </c:pt>
                <c:pt idx="4">
                  <c:v>1314.7995000000001</c:v>
                </c:pt>
              </c:numCache>
            </c:numRef>
          </c:val>
          <c:smooth val="0"/>
          <c:extLst>
            <c:ext xmlns:c16="http://schemas.microsoft.com/office/drawing/2014/chart" uri="{C3380CC4-5D6E-409C-BE32-E72D297353CC}">
              <c16:uniqueId val="{00000003-2519-4679-90DE-67339AA3F578}"/>
            </c:ext>
          </c:extLst>
        </c:ser>
        <c:dLbls>
          <c:showLegendKey val="0"/>
          <c:showVal val="0"/>
          <c:showCatName val="0"/>
          <c:showSerName val="0"/>
          <c:showPercent val="0"/>
          <c:showBubbleSize val="0"/>
        </c:dLbls>
        <c:marker val="1"/>
        <c:smooth val="0"/>
        <c:axId val="1915716768"/>
        <c:axId val="1917263008"/>
      </c:lineChart>
      <c:catAx>
        <c:axId val="1915716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263008"/>
        <c:crosses val="autoZero"/>
        <c:auto val="1"/>
        <c:lblAlgn val="ctr"/>
        <c:lblOffset val="100"/>
        <c:noMultiLvlLbl val="0"/>
      </c:catAx>
      <c:valAx>
        <c:axId val="19172630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7167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[Baby_Care_sourceDA1.xlsx]pivot by mfg.!PivotTable3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t>
            </a:r>
            <a:r>
              <a:rPr lang="en-IN"/>
              <a:t>Volume performace - Manufacturer</a:t>
            </a:r>
          </a:p>
        </c:rich>
      </c:tx>
      <c:layout>
        <c:manualLayout>
          <c:xMode val="edge"/>
          <c:yMode val="edge"/>
          <c:x val="0.16072949066420075"/>
          <c:y val="9.7214164018971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4029385116896"/>
          <c:y val="0.20055919325873739"/>
          <c:w val="0.57628809743977727"/>
          <c:h val="0.58441000138140631"/>
        </c:manualLayout>
      </c:layout>
      <c:barChart>
        <c:barDir val="col"/>
        <c:grouping val="clustered"/>
        <c:varyColors val="0"/>
        <c:ser>
          <c:idx val="0"/>
          <c:order val="0"/>
          <c:tx>
            <c:strRef>
              <c:f>'pivot by mfg.'!$B$15</c:f>
              <c:strCache>
                <c:ptCount val="1"/>
                <c:pt idx="0">
                  <c:v>Sum of Volume 2022</c:v>
                </c:pt>
              </c:strCache>
            </c:strRef>
          </c:tx>
          <c:spPr>
            <a:solidFill>
              <a:schemeClr val="accent1"/>
            </a:solidFill>
            <a:ln>
              <a:noFill/>
            </a:ln>
            <a:effectLst/>
          </c:spPr>
          <c:invertIfNegative val="0"/>
          <c:cat>
            <c:strRef>
              <c:f>'pivot by mfg.'!$A$16:$A$21</c:f>
              <c:strCache>
                <c:ptCount val="5"/>
                <c:pt idx="0">
                  <c:v> VigaLife</c:v>
                </c:pt>
                <c:pt idx="1">
                  <c:v> Proctor &amp; Wager</c:v>
                </c:pt>
                <c:pt idx="2">
                  <c:v> Fulya Beauty</c:v>
                </c:pt>
                <c:pt idx="3">
                  <c:v> SepaTextiles</c:v>
                </c:pt>
                <c:pt idx="4">
                  <c:v> Intelligent Initiative</c:v>
                </c:pt>
              </c:strCache>
            </c:strRef>
          </c:cat>
          <c:val>
            <c:numRef>
              <c:f>'pivot by mfg.'!$B$16:$B$21</c:f>
              <c:numCache>
                <c:formatCode>General</c:formatCode>
                <c:ptCount val="5"/>
                <c:pt idx="0">
                  <c:v>125970.25199999999</c:v>
                </c:pt>
                <c:pt idx="1">
                  <c:v>45983.127500000002</c:v>
                </c:pt>
                <c:pt idx="2">
                  <c:v>57405.585500000001</c:v>
                </c:pt>
                <c:pt idx="3">
                  <c:v>36136.764000000003</c:v>
                </c:pt>
                <c:pt idx="4">
                  <c:v>23199.701799999999</c:v>
                </c:pt>
              </c:numCache>
            </c:numRef>
          </c:val>
          <c:extLst>
            <c:ext xmlns:c16="http://schemas.microsoft.com/office/drawing/2014/chart" uri="{C3380CC4-5D6E-409C-BE32-E72D297353CC}">
              <c16:uniqueId val="{00000000-B86B-405D-ABA2-415B436D608B}"/>
            </c:ext>
          </c:extLst>
        </c:ser>
        <c:ser>
          <c:idx val="1"/>
          <c:order val="1"/>
          <c:tx>
            <c:strRef>
              <c:f>'pivot by mfg.'!$C$15</c:f>
              <c:strCache>
                <c:ptCount val="1"/>
                <c:pt idx="0">
                  <c:v>Sum of Volume 2023</c:v>
                </c:pt>
              </c:strCache>
            </c:strRef>
          </c:tx>
          <c:spPr>
            <a:solidFill>
              <a:schemeClr val="accent3"/>
            </a:solidFill>
            <a:ln>
              <a:noFill/>
            </a:ln>
            <a:effectLst/>
          </c:spPr>
          <c:invertIfNegative val="0"/>
          <c:cat>
            <c:strRef>
              <c:f>'pivot by mfg.'!$A$16:$A$21</c:f>
              <c:strCache>
                <c:ptCount val="5"/>
                <c:pt idx="0">
                  <c:v> VigaLife</c:v>
                </c:pt>
                <c:pt idx="1">
                  <c:v> Proctor &amp; Wager</c:v>
                </c:pt>
                <c:pt idx="2">
                  <c:v> Fulya Beauty</c:v>
                </c:pt>
                <c:pt idx="3">
                  <c:v> SepaTextiles</c:v>
                </c:pt>
                <c:pt idx="4">
                  <c:v> Intelligent Initiative</c:v>
                </c:pt>
              </c:strCache>
            </c:strRef>
          </c:cat>
          <c:val>
            <c:numRef>
              <c:f>'pivot by mfg.'!$C$16:$C$21</c:f>
              <c:numCache>
                <c:formatCode>General</c:formatCode>
                <c:ptCount val="5"/>
                <c:pt idx="0">
                  <c:v>127615.61199999999</c:v>
                </c:pt>
                <c:pt idx="1">
                  <c:v>53803.2785</c:v>
                </c:pt>
                <c:pt idx="2">
                  <c:v>44546.773000000001</c:v>
                </c:pt>
                <c:pt idx="3">
                  <c:v>28913.011500000001</c:v>
                </c:pt>
                <c:pt idx="4">
                  <c:v>21680.539100000002</c:v>
                </c:pt>
              </c:numCache>
            </c:numRef>
          </c:val>
          <c:extLst>
            <c:ext xmlns:c16="http://schemas.microsoft.com/office/drawing/2014/chart" uri="{C3380CC4-5D6E-409C-BE32-E72D297353CC}">
              <c16:uniqueId val="{00000001-B86B-405D-ABA2-415B436D608B}"/>
            </c:ext>
          </c:extLst>
        </c:ser>
        <c:ser>
          <c:idx val="2"/>
          <c:order val="2"/>
          <c:tx>
            <c:strRef>
              <c:f>'pivot by mfg.'!$D$15</c:f>
              <c:strCache>
                <c:ptCount val="1"/>
                <c:pt idx="0">
                  <c:v>Sum of Volume 2024</c:v>
                </c:pt>
              </c:strCache>
            </c:strRef>
          </c:tx>
          <c:spPr>
            <a:solidFill>
              <a:schemeClr val="accent5"/>
            </a:solidFill>
            <a:ln>
              <a:noFill/>
            </a:ln>
            <a:effectLst/>
          </c:spPr>
          <c:invertIfNegative val="0"/>
          <c:cat>
            <c:strRef>
              <c:f>'pivot by mfg.'!$A$16:$A$21</c:f>
              <c:strCache>
                <c:ptCount val="5"/>
                <c:pt idx="0">
                  <c:v> VigaLife</c:v>
                </c:pt>
                <c:pt idx="1">
                  <c:v> Proctor &amp; Wager</c:v>
                </c:pt>
                <c:pt idx="2">
                  <c:v> Fulya Beauty</c:v>
                </c:pt>
                <c:pt idx="3">
                  <c:v> SepaTextiles</c:v>
                </c:pt>
                <c:pt idx="4">
                  <c:v> Intelligent Initiative</c:v>
                </c:pt>
              </c:strCache>
            </c:strRef>
          </c:cat>
          <c:val>
            <c:numRef>
              <c:f>'pivot by mfg.'!$D$16:$D$21</c:f>
              <c:numCache>
                <c:formatCode>General</c:formatCode>
                <c:ptCount val="5"/>
                <c:pt idx="0">
                  <c:v>64977.618000000002</c:v>
                </c:pt>
                <c:pt idx="1">
                  <c:v>29897.358</c:v>
                </c:pt>
                <c:pt idx="2">
                  <c:v>18766.233499999998</c:v>
                </c:pt>
                <c:pt idx="3">
                  <c:v>13646.2943</c:v>
                </c:pt>
                <c:pt idx="4">
                  <c:v>11434.4841</c:v>
                </c:pt>
              </c:numCache>
            </c:numRef>
          </c:val>
          <c:extLst>
            <c:ext xmlns:c16="http://schemas.microsoft.com/office/drawing/2014/chart" uri="{C3380CC4-5D6E-409C-BE32-E72D297353CC}">
              <c16:uniqueId val="{00000002-B86B-405D-ABA2-415B436D608B}"/>
            </c:ext>
          </c:extLst>
        </c:ser>
        <c:dLbls>
          <c:showLegendKey val="0"/>
          <c:showVal val="0"/>
          <c:showCatName val="0"/>
          <c:showSerName val="0"/>
          <c:showPercent val="0"/>
          <c:showBubbleSize val="0"/>
        </c:dLbls>
        <c:gapWidth val="30"/>
        <c:axId val="1394217311"/>
        <c:axId val="1394227391"/>
      </c:barChart>
      <c:lineChart>
        <c:grouping val="standard"/>
        <c:varyColors val="0"/>
        <c:ser>
          <c:idx val="3"/>
          <c:order val="3"/>
          <c:tx>
            <c:strRef>
              <c:f>'pivot by mfg.'!$E$15</c:f>
              <c:strCache>
                <c:ptCount val="1"/>
                <c:pt idx="0">
                  <c:v>Sum of Average Volume</c:v>
                </c:pt>
              </c:strCache>
            </c:strRef>
          </c:tx>
          <c:spPr>
            <a:ln w="28575" cap="rnd">
              <a:solidFill>
                <a:schemeClr val="accent1">
                  <a:lumMod val="60000"/>
                </a:schemeClr>
              </a:solidFill>
              <a:round/>
            </a:ln>
            <a:effectLst/>
          </c:spPr>
          <c:marker>
            <c:symbol val="none"/>
          </c:marker>
          <c:cat>
            <c:strRef>
              <c:f>'pivot by mfg.'!$A$16:$A$21</c:f>
              <c:strCache>
                <c:ptCount val="5"/>
                <c:pt idx="0">
                  <c:v> VigaLife</c:v>
                </c:pt>
                <c:pt idx="1">
                  <c:v> Proctor &amp; Wager</c:v>
                </c:pt>
                <c:pt idx="2">
                  <c:v> Fulya Beauty</c:v>
                </c:pt>
                <c:pt idx="3">
                  <c:v> SepaTextiles</c:v>
                </c:pt>
                <c:pt idx="4">
                  <c:v> Intelligent Initiative</c:v>
                </c:pt>
              </c:strCache>
            </c:strRef>
          </c:cat>
          <c:val>
            <c:numRef>
              <c:f>'pivot by mfg.'!$E$16:$E$21</c:f>
              <c:numCache>
                <c:formatCode>General</c:formatCode>
                <c:ptCount val="5"/>
                <c:pt idx="0">
                  <c:v>106187.82733333333</c:v>
                </c:pt>
                <c:pt idx="1">
                  <c:v>43227.921333333332</c:v>
                </c:pt>
                <c:pt idx="2">
                  <c:v>40239.530666666666</c:v>
                </c:pt>
                <c:pt idx="3">
                  <c:v>26232.023266666667</c:v>
                </c:pt>
                <c:pt idx="4">
                  <c:v>18771.575000000001</c:v>
                </c:pt>
              </c:numCache>
            </c:numRef>
          </c:val>
          <c:smooth val="0"/>
          <c:extLst>
            <c:ext xmlns:c16="http://schemas.microsoft.com/office/drawing/2014/chart" uri="{C3380CC4-5D6E-409C-BE32-E72D297353CC}">
              <c16:uniqueId val="{00000003-B86B-405D-ABA2-415B436D608B}"/>
            </c:ext>
          </c:extLst>
        </c:ser>
        <c:ser>
          <c:idx val="4"/>
          <c:order val="4"/>
          <c:tx>
            <c:strRef>
              <c:f>'pivot by mfg.'!$F$15</c:f>
              <c:strCache>
                <c:ptCount val="1"/>
                <c:pt idx="0">
                  <c:v>Sum of Total Value</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'pivot by mfg.'!$A$16:$A$21</c:f>
              <c:strCache>
                <c:ptCount val="5"/>
                <c:pt idx="0">
                  <c:v> VigaLife</c:v>
                </c:pt>
                <c:pt idx="1">
                  <c:v> Proctor &amp; Wager</c:v>
                </c:pt>
                <c:pt idx="2">
                  <c:v> Fulya Beauty</c:v>
                </c:pt>
                <c:pt idx="3">
                  <c:v> SepaTextiles</c:v>
                </c:pt>
                <c:pt idx="4">
                  <c:v> Intelligent Initiative</c:v>
                </c:pt>
              </c:strCache>
            </c:strRef>
          </c:cat>
          <c:val>
            <c:numRef>
              <c:f>'pivot by mfg.'!$F$16:$F$21</c:f>
              <c:numCache>
                <c:formatCode>General</c:formatCode>
                <c:ptCount val="5"/>
                <c:pt idx="0">
                  <c:v>8621.7419000000009</c:v>
                </c:pt>
                <c:pt idx="1">
                  <c:v>5153.8051999999998</c:v>
                </c:pt>
                <c:pt idx="2">
                  <c:v>2203.8915000000002</c:v>
                </c:pt>
                <c:pt idx="3">
                  <c:v>1424.5098</c:v>
                </c:pt>
                <c:pt idx="4">
                  <c:v>1314.7995000000001</c:v>
                </c:pt>
              </c:numCache>
            </c:numRef>
          </c:val>
          <c:smooth val="0"/>
          <c:extLst>
            <c:ext xmlns:c16="http://schemas.microsoft.com/office/drawing/2014/chart" uri="{C3380CC4-5D6E-409C-BE32-E72D297353CC}">
              <c16:uniqueId val="{00000004-B86B-405D-ABA2-415B436D608B}"/>
            </c:ext>
          </c:extLst>
        </c:ser>
        <c:dLbls>
          <c:showLegendKey val="0"/>
          <c:showVal val="0"/>
          <c:showCatName val="0"/>
          <c:showSerName val="0"/>
          <c:showPercent val="0"/>
          <c:showBubbleSize val="0"/>
        </c:dLbls>
        <c:marker val="1"/>
        <c:smooth val="0"/>
        <c:axId val="1394217311"/>
        <c:axId val="1394227391"/>
      </c:lineChart>
      <c:catAx>
        <c:axId val="139421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227391"/>
        <c:crosses val="autoZero"/>
        <c:auto val="1"/>
        <c:lblAlgn val="ctr"/>
        <c:lblOffset val="100"/>
        <c:noMultiLvlLbl val="0"/>
      </c:catAx>
      <c:valAx>
        <c:axId val="1394227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217311"/>
        <c:crosses val="autoZero"/>
        <c:crossBetween val="between"/>
      </c:valAx>
      <c:spPr>
        <a:noFill/>
        <a:ln>
          <a:noFill/>
        </a:ln>
        <a:effectLst/>
      </c:spPr>
    </c:plotArea>
    <c:legend>
      <c:legendPos val="r"/>
      <c:layout>
        <c:manualLayout>
          <c:xMode val="edge"/>
          <c:yMode val="edge"/>
          <c:x val="0.72625045534788579"/>
          <c:y val="9.5753925496155079E-2"/>
          <c:w val="0.26900458617050094"/>
          <c:h val="0.462714002854906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[Baby_Care_sourceDA1.xlsx]pivot brand!salesbybrand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Brand</a:t>
            </a:r>
            <a:r>
              <a:rPr lang="en-IN" baseline="0"/>
              <a:t> sales performance</a:t>
            </a:r>
            <a:endParaRPr lang="en-IN"/>
          </a:p>
        </c:rich>
      </c:tx>
      <c:layout>
        <c:manualLayout>
          <c:xMode val="edge"/>
          <c:yMode val="edge"/>
          <c:x val="0.26784309380850541"/>
          <c:y val="0.186506040912138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81024133137604E-2"/>
          <c:y val="0.12214094421292832"/>
          <c:w val="0.88437518012457694"/>
          <c:h val="0.61058723578701546"/>
        </c:manualLayout>
      </c:layout>
      <c:barChart>
        <c:barDir val="col"/>
        <c:grouping val="clustered"/>
        <c:varyColors val="0"/>
        <c:ser>
          <c:idx val="0"/>
          <c:order val="0"/>
          <c:tx>
            <c:strRef>
              <c:f>'pivot brand'!$B$4</c:f>
              <c:strCache>
                <c:ptCount val="1"/>
                <c:pt idx="0">
                  <c:v>Sum of 2022</c:v>
                </c:pt>
              </c:strCache>
            </c:strRef>
          </c:tx>
          <c:spPr>
            <a:solidFill>
              <a:schemeClr val="accent1"/>
            </a:solidFill>
            <a:ln>
              <a:noFill/>
            </a:ln>
            <a:effectLst/>
          </c:spPr>
          <c:invertIfNegative val="0"/>
          <c:cat>
            <c:strRef>
              <c:f>'pivot brand'!$A$5:$A$10</c:f>
              <c:strCache>
                <c:ptCount val="5"/>
                <c:pt idx="0">
                  <c:v>BABY CREMA (VigaLife)</c:v>
                </c:pt>
                <c:pt idx="1">
                  <c:v>PAMPERS (PROCTER &amp; GAMBLE)</c:v>
                </c:pt>
                <c:pt idx="2">
                  <c:v>LINDY (Intelligent Initiative)</c:v>
                </c:pt>
                <c:pt idx="3">
                  <c:v>EVENT (AxisOn Group)</c:v>
                </c:pt>
                <c:pt idx="4">
                  <c:v>LARA (LARA KOZMETIK)</c:v>
                </c:pt>
              </c:strCache>
            </c:strRef>
          </c:cat>
          <c:val>
            <c:numRef>
              <c:f>'pivot brand'!$B$5:$B$10</c:f>
              <c:numCache>
                <c:formatCode>General</c:formatCode>
                <c:ptCount val="5"/>
                <c:pt idx="0">
                  <c:v>3341.5012999999999</c:v>
                </c:pt>
                <c:pt idx="1">
                  <c:v>1818.1666</c:v>
                </c:pt>
                <c:pt idx="2">
                  <c:v>511.78089999999997</c:v>
                </c:pt>
                <c:pt idx="3">
                  <c:v>471.6447</c:v>
                </c:pt>
                <c:pt idx="4">
                  <c:v>394.4622</c:v>
                </c:pt>
              </c:numCache>
            </c:numRef>
          </c:val>
          <c:extLst>
            <c:ext xmlns:c16="http://schemas.microsoft.com/office/drawing/2014/chart" uri="{C3380CC4-5D6E-409C-BE32-E72D297353CC}">
              <c16:uniqueId val="{00000004-2F40-486A-B167-4DFDF6B8239A}"/>
            </c:ext>
          </c:extLst>
        </c:ser>
        <c:ser>
          <c:idx val="1"/>
          <c:order val="1"/>
          <c:tx>
            <c:strRef>
              <c:f>'pivot brand'!$C$4</c:f>
              <c:strCache>
                <c:ptCount val="1"/>
                <c:pt idx="0">
                  <c:v>Sum of 2023</c:v>
                </c:pt>
              </c:strCache>
            </c:strRef>
          </c:tx>
          <c:spPr>
            <a:solidFill>
              <a:schemeClr val="accent3"/>
            </a:solidFill>
            <a:ln>
              <a:noFill/>
            </a:ln>
            <a:effectLst/>
          </c:spPr>
          <c:invertIfNegative val="0"/>
          <c:cat>
            <c:strRef>
              <c:f>'pivot brand'!$A$5:$A$10</c:f>
              <c:strCache>
                <c:ptCount val="5"/>
                <c:pt idx="0">
                  <c:v>BABY CREMA (VigaLife)</c:v>
                </c:pt>
                <c:pt idx="1">
                  <c:v>PAMPERS (PROCTER &amp; GAMBLE)</c:v>
                </c:pt>
                <c:pt idx="2">
                  <c:v>LINDY (Intelligent Initiative)</c:v>
                </c:pt>
                <c:pt idx="3">
                  <c:v>EVENT (AxisOn Group)</c:v>
                </c:pt>
                <c:pt idx="4">
                  <c:v>LARA (LARA KOZMETIK)</c:v>
                </c:pt>
              </c:strCache>
            </c:strRef>
          </c:cat>
          <c:val>
            <c:numRef>
              <c:f>'pivot brand'!$C$5:$C$10</c:f>
              <c:numCache>
                <c:formatCode>General</c:formatCode>
                <c:ptCount val="5"/>
                <c:pt idx="0">
                  <c:v>3428.0437000000002</c:v>
                </c:pt>
                <c:pt idx="1">
                  <c:v>2101.6939000000002</c:v>
                </c:pt>
                <c:pt idx="2">
                  <c:v>507.3048</c:v>
                </c:pt>
                <c:pt idx="3">
                  <c:v>448.00150000000002</c:v>
                </c:pt>
                <c:pt idx="4">
                  <c:v>406.93380000000002</c:v>
                </c:pt>
              </c:numCache>
            </c:numRef>
          </c:val>
          <c:extLst>
            <c:ext xmlns:c16="http://schemas.microsoft.com/office/drawing/2014/chart" uri="{C3380CC4-5D6E-409C-BE32-E72D297353CC}">
              <c16:uniqueId val="{00000005-2F40-486A-B167-4DFDF6B8239A}"/>
            </c:ext>
          </c:extLst>
        </c:ser>
        <c:ser>
          <c:idx val="2"/>
          <c:order val="2"/>
          <c:tx>
            <c:strRef>
              <c:f>'pivot brand'!$D$4</c:f>
              <c:strCache>
                <c:ptCount val="1"/>
                <c:pt idx="0">
                  <c:v>Sum of YTD 2024</c:v>
                </c:pt>
              </c:strCache>
            </c:strRef>
          </c:tx>
          <c:spPr>
            <a:solidFill>
              <a:schemeClr val="accent5"/>
            </a:solidFill>
            <a:ln>
              <a:noFill/>
            </a:ln>
            <a:effectLst/>
          </c:spPr>
          <c:invertIfNegative val="0"/>
          <c:cat>
            <c:strRef>
              <c:f>'pivot brand'!$A$5:$A$10</c:f>
              <c:strCache>
                <c:ptCount val="5"/>
                <c:pt idx="0">
                  <c:v>BABY CREMA (VigaLife)</c:v>
                </c:pt>
                <c:pt idx="1">
                  <c:v>PAMPERS (PROCTER &amp; GAMBLE)</c:v>
                </c:pt>
                <c:pt idx="2">
                  <c:v>LINDY (Intelligent Initiative)</c:v>
                </c:pt>
                <c:pt idx="3">
                  <c:v>EVENT (AxisOn Group)</c:v>
                </c:pt>
                <c:pt idx="4">
                  <c:v>LARA (LARA KOZMETIK)</c:v>
                </c:pt>
              </c:strCache>
            </c:strRef>
          </c:cat>
          <c:val>
            <c:numRef>
              <c:f>'pivot brand'!$D$5:$D$10</c:f>
              <c:numCache>
                <c:formatCode>General</c:formatCode>
                <c:ptCount val="5"/>
                <c:pt idx="0">
                  <c:v>1852.1968999999999</c:v>
                </c:pt>
                <c:pt idx="1">
                  <c:v>1233.5607</c:v>
                </c:pt>
                <c:pt idx="2">
                  <c:v>295.71379999999999</c:v>
                </c:pt>
                <c:pt idx="3">
                  <c:v>276.14030000000002</c:v>
                </c:pt>
                <c:pt idx="4">
                  <c:v>320.21539999999999</c:v>
                </c:pt>
              </c:numCache>
            </c:numRef>
          </c:val>
          <c:extLst>
            <c:ext xmlns:c16="http://schemas.microsoft.com/office/drawing/2014/chart" uri="{C3380CC4-5D6E-409C-BE32-E72D297353CC}">
              <c16:uniqueId val="{00000006-2F40-486A-B167-4DFDF6B8239A}"/>
            </c:ext>
          </c:extLst>
        </c:ser>
        <c:dLbls>
          <c:showLegendKey val="0"/>
          <c:showVal val="0"/>
          <c:showCatName val="0"/>
          <c:showSerName val="0"/>
          <c:showPercent val="0"/>
          <c:showBubbleSize val="0"/>
        </c:dLbls>
        <c:gapWidth val="75"/>
        <c:axId val="1515125968"/>
        <c:axId val="1515126448"/>
      </c:barChart>
      <c:lineChart>
        <c:grouping val="standard"/>
        <c:varyColors val="0"/>
        <c:ser>
          <c:idx val="3"/>
          <c:order val="3"/>
          <c:tx>
            <c:strRef>
              <c:f>'pivot brand'!$E$4</c:f>
              <c:strCache>
                <c:ptCount val="1"/>
                <c:pt idx="0">
                  <c:v>Sum of Total Value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brand'!$A$5:$A$10</c:f>
              <c:strCache>
                <c:ptCount val="5"/>
                <c:pt idx="0">
                  <c:v>BABY CREMA (VigaLife)</c:v>
                </c:pt>
                <c:pt idx="1">
                  <c:v>PAMPERS (PROCTER &amp; GAMBLE)</c:v>
                </c:pt>
                <c:pt idx="2">
                  <c:v>LINDY (Intelligent Initiative)</c:v>
                </c:pt>
                <c:pt idx="3">
                  <c:v>EVENT (AxisOn Group)</c:v>
                </c:pt>
                <c:pt idx="4">
                  <c:v>LARA (LARA KOZMETIK)</c:v>
                </c:pt>
              </c:strCache>
            </c:strRef>
          </c:cat>
          <c:val>
            <c:numRef>
              <c:f>'pivot brand'!$E$5:$E$10</c:f>
              <c:numCache>
                <c:formatCode>General</c:formatCode>
                <c:ptCount val="5"/>
                <c:pt idx="0">
                  <c:v>8621.7419000000009</c:v>
                </c:pt>
                <c:pt idx="1">
                  <c:v>5153.4212000000007</c:v>
                </c:pt>
                <c:pt idx="2">
                  <c:v>1314.7995000000001</c:v>
                </c:pt>
                <c:pt idx="3">
                  <c:v>1195.7865000000002</c:v>
                </c:pt>
                <c:pt idx="4">
                  <c:v>1121.6114</c:v>
                </c:pt>
              </c:numCache>
            </c:numRef>
          </c:val>
          <c:smooth val="0"/>
          <c:extLst>
            <c:ext xmlns:c16="http://schemas.microsoft.com/office/drawing/2014/chart" uri="{C3380CC4-5D6E-409C-BE32-E72D297353CC}">
              <c16:uniqueId val="{00000007-2F40-486A-B167-4DFDF6B8239A}"/>
            </c:ext>
          </c:extLst>
        </c:ser>
        <c:dLbls>
          <c:showLegendKey val="0"/>
          <c:showVal val="0"/>
          <c:showCatName val="0"/>
          <c:showSerName val="0"/>
          <c:showPercent val="0"/>
          <c:showBubbleSize val="0"/>
        </c:dLbls>
        <c:marker val="1"/>
        <c:smooth val="0"/>
        <c:axId val="1515125968"/>
        <c:axId val="1515126448"/>
      </c:lineChart>
      <c:catAx>
        <c:axId val="151512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126448"/>
        <c:crosses val="autoZero"/>
        <c:auto val="1"/>
        <c:lblAlgn val="ctr"/>
        <c:lblOffset val="100"/>
        <c:noMultiLvlLbl val="0"/>
      </c:catAx>
      <c:valAx>
        <c:axId val="1515126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125968"/>
        <c:crosses val="autoZero"/>
        <c:crossBetween val="between"/>
      </c:valAx>
      <c:spPr>
        <a:noFill/>
        <a:ln>
          <a:noFill/>
        </a:ln>
        <a:effectLst/>
      </c:spPr>
    </c:plotArea>
    <c:legend>
      <c:legendPos val="b"/>
      <c:layout>
        <c:manualLayout>
          <c:xMode val="edge"/>
          <c:yMode val="edge"/>
          <c:x val="9.9910845352243205E-2"/>
          <c:y val="0.86434856132090943"/>
          <c:w val="0.89999988771454942"/>
          <c:h val="0.12462157085940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762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[Baby_Care_sourceDA1.xlsx]pivot brand!PivotTable8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Brand volume performance</a:t>
            </a:r>
            <a:endParaRPr lang="en-IN"/>
          </a:p>
        </c:rich>
      </c:tx>
      <c:layout>
        <c:manualLayout>
          <c:xMode val="edge"/>
          <c:yMode val="edge"/>
          <c:x val="0.19308349660356966"/>
          <c:y val="0.11893669000717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88635163188345"/>
          <c:y val="0.20239689761963145"/>
          <c:w val="0.55330990738124775"/>
          <c:h val="0.53948142295361856"/>
        </c:manualLayout>
      </c:layout>
      <c:barChart>
        <c:barDir val="col"/>
        <c:grouping val="clustered"/>
        <c:varyColors val="0"/>
        <c:ser>
          <c:idx val="0"/>
          <c:order val="0"/>
          <c:tx>
            <c:strRef>
              <c:f>'pivot brand'!$B$18</c:f>
              <c:strCache>
                <c:ptCount val="1"/>
                <c:pt idx="0">
                  <c:v>Sum of Volume 2022</c:v>
                </c:pt>
              </c:strCache>
            </c:strRef>
          </c:tx>
          <c:spPr>
            <a:solidFill>
              <a:schemeClr val="accent1"/>
            </a:solidFill>
            <a:ln>
              <a:noFill/>
            </a:ln>
            <a:effectLst/>
          </c:spPr>
          <c:invertIfNegative val="0"/>
          <c:cat>
            <c:strRef>
              <c:f>'pivot brand'!$A$19:$A$24</c:f>
              <c:strCache>
                <c:ptCount val="5"/>
                <c:pt idx="0">
                  <c:v>BABY CREMA (VigaLife)</c:v>
                </c:pt>
                <c:pt idx="1">
                  <c:v>PAMPERS (PROCTER &amp; GAMBLE)</c:v>
                </c:pt>
                <c:pt idx="2">
                  <c:v>LINDY (Intelligent Initiative)</c:v>
                </c:pt>
                <c:pt idx="3">
                  <c:v>EVENT (AxisOn Group)</c:v>
                </c:pt>
                <c:pt idx="4">
                  <c:v>LARA (LARA KOZMETIK)</c:v>
                </c:pt>
              </c:strCache>
            </c:strRef>
          </c:cat>
          <c:val>
            <c:numRef>
              <c:f>'pivot brand'!$B$19:$B$24</c:f>
              <c:numCache>
                <c:formatCode>General</c:formatCode>
                <c:ptCount val="5"/>
                <c:pt idx="0">
                  <c:v>125970.25199999999</c:v>
                </c:pt>
                <c:pt idx="1">
                  <c:v>45975.839</c:v>
                </c:pt>
                <c:pt idx="2">
                  <c:v>23199.701799999999</c:v>
                </c:pt>
                <c:pt idx="3">
                  <c:v>13724.156499999999</c:v>
                </c:pt>
                <c:pt idx="4">
                  <c:v>18966.535500000002</c:v>
                </c:pt>
              </c:numCache>
            </c:numRef>
          </c:val>
          <c:extLst>
            <c:ext xmlns:c16="http://schemas.microsoft.com/office/drawing/2014/chart" uri="{C3380CC4-5D6E-409C-BE32-E72D297353CC}">
              <c16:uniqueId val="{00000000-F7EA-4C4C-9105-5206EC4FA403}"/>
            </c:ext>
          </c:extLst>
        </c:ser>
        <c:ser>
          <c:idx val="1"/>
          <c:order val="1"/>
          <c:tx>
            <c:strRef>
              <c:f>'pivot brand'!$C$18</c:f>
              <c:strCache>
                <c:ptCount val="1"/>
                <c:pt idx="0">
                  <c:v>Sum of Volume 2023</c:v>
                </c:pt>
              </c:strCache>
            </c:strRef>
          </c:tx>
          <c:spPr>
            <a:solidFill>
              <a:schemeClr val="accent3"/>
            </a:solidFill>
            <a:ln>
              <a:noFill/>
            </a:ln>
            <a:effectLst/>
          </c:spPr>
          <c:invertIfNegative val="0"/>
          <c:cat>
            <c:strRef>
              <c:f>'pivot brand'!$A$19:$A$24</c:f>
              <c:strCache>
                <c:ptCount val="5"/>
                <c:pt idx="0">
                  <c:v>BABY CREMA (VigaLife)</c:v>
                </c:pt>
                <c:pt idx="1">
                  <c:v>PAMPERS (PROCTER &amp; GAMBLE)</c:v>
                </c:pt>
                <c:pt idx="2">
                  <c:v>LINDY (Intelligent Initiative)</c:v>
                </c:pt>
                <c:pt idx="3">
                  <c:v>EVENT (AxisOn Group)</c:v>
                </c:pt>
                <c:pt idx="4">
                  <c:v>LARA (LARA KOZMETIK)</c:v>
                </c:pt>
              </c:strCache>
            </c:strRef>
          </c:cat>
          <c:val>
            <c:numRef>
              <c:f>'pivot brand'!$C$19:$C$24</c:f>
              <c:numCache>
                <c:formatCode>General</c:formatCode>
                <c:ptCount val="5"/>
                <c:pt idx="0">
                  <c:v>127615.61199999999</c:v>
                </c:pt>
                <c:pt idx="1">
                  <c:v>53803.039499999999</c:v>
                </c:pt>
                <c:pt idx="2">
                  <c:v>21680.539100000002</c:v>
                </c:pt>
                <c:pt idx="3">
                  <c:v>13181.351199999999</c:v>
                </c:pt>
                <c:pt idx="4">
                  <c:v>19594.108899999999</c:v>
                </c:pt>
              </c:numCache>
            </c:numRef>
          </c:val>
          <c:extLst>
            <c:ext xmlns:c16="http://schemas.microsoft.com/office/drawing/2014/chart" uri="{C3380CC4-5D6E-409C-BE32-E72D297353CC}">
              <c16:uniqueId val="{00000001-F7EA-4C4C-9105-5206EC4FA403}"/>
            </c:ext>
          </c:extLst>
        </c:ser>
        <c:ser>
          <c:idx val="2"/>
          <c:order val="2"/>
          <c:tx>
            <c:strRef>
              <c:f>'pivot brand'!$D$18</c:f>
              <c:strCache>
                <c:ptCount val="1"/>
                <c:pt idx="0">
                  <c:v>Sum of Volume YTD 2024</c:v>
                </c:pt>
              </c:strCache>
            </c:strRef>
          </c:tx>
          <c:spPr>
            <a:solidFill>
              <a:schemeClr val="accent5"/>
            </a:solidFill>
            <a:ln>
              <a:noFill/>
            </a:ln>
            <a:effectLst/>
          </c:spPr>
          <c:invertIfNegative val="0"/>
          <c:cat>
            <c:strRef>
              <c:f>'pivot brand'!$A$19:$A$24</c:f>
              <c:strCache>
                <c:ptCount val="5"/>
                <c:pt idx="0">
                  <c:v>BABY CREMA (VigaLife)</c:v>
                </c:pt>
                <c:pt idx="1">
                  <c:v>PAMPERS (PROCTER &amp; GAMBLE)</c:v>
                </c:pt>
                <c:pt idx="2">
                  <c:v>LINDY (Intelligent Initiative)</c:v>
                </c:pt>
                <c:pt idx="3">
                  <c:v>EVENT (AxisOn Group)</c:v>
                </c:pt>
                <c:pt idx="4">
                  <c:v>LARA (LARA KOZMETIK)</c:v>
                </c:pt>
              </c:strCache>
            </c:strRef>
          </c:cat>
          <c:val>
            <c:numRef>
              <c:f>'pivot brand'!$D$19:$D$24</c:f>
              <c:numCache>
                <c:formatCode>General</c:formatCode>
                <c:ptCount val="5"/>
                <c:pt idx="0">
                  <c:v>64977.618000000002</c:v>
                </c:pt>
                <c:pt idx="1">
                  <c:v>29897.358</c:v>
                </c:pt>
                <c:pt idx="2">
                  <c:v>11434.4841</c:v>
                </c:pt>
                <c:pt idx="3">
                  <c:v>8823.5241000000005</c:v>
                </c:pt>
                <c:pt idx="4">
                  <c:v>15751.087</c:v>
                </c:pt>
              </c:numCache>
            </c:numRef>
          </c:val>
          <c:extLst>
            <c:ext xmlns:c16="http://schemas.microsoft.com/office/drawing/2014/chart" uri="{C3380CC4-5D6E-409C-BE32-E72D297353CC}">
              <c16:uniqueId val="{00000002-F7EA-4C4C-9105-5206EC4FA403}"/>
            </c:ext>
          </c:extLst>
        </c:ser>
        <c:dLbls>
          <c:showLegendKey val="0"/>
          <c:showVal val="0"/>
          <c:showCatName val="0"/>
          <c:showSerName val="0"/>
          <c:showPercent val="0"/>
          <c:showBubbleSize val="0"/>
        </c:dLbls>
        <c:gapWidth val="219"/>
        <c:axId val="902043392"/>
        <c:axId val="902033792"/>
      </c:barChart>
      <c:lineChart>
        <c:grouping val="standard"/>
        <c:varyColors val="0"/>
        <c:ser>
          <c:idx val="3"/>
          <c:order val="3"/>
          <c:tx>
            <c:strRef>
              <c:f>'pivot brand'!$E$18</c:f>
              <c:strCache>
                <c:ptCount val="1"/>
                <c:pt idx="0">
                  <c:v>Sum of Total Value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brand'!$A$19:$A$24</c:f>
              <c:strCache>
                <c:ptCount val="5"/>
                <c:pt idx="0">
                  <c:v>BABY CREMA (VigaLife)</c:v>
                </c:pt>
                <c:pt idx="1">
                  <c:v>PAMPERS (PROCTER &amp; GAMBLE)</c:v>
                </c:pt>
                <c:pt idx="2">
                  <c:v>LINDY (Intelligent Initiative)</c:v>
                </c:pt>
                <c:pt idx="3">
                  <c:v>EVENT (AxisOn Group)</c:v>
                </c:pt>
                <c:pt idx="4">
                  <c:v>LARA (LARA KOZMETIK)</c:v>
                </c:pt>
              </c:strCache>
            </c:strRef>
          </c:cat>
          <c:val>
            <c:numRef>
              <c:f>'pivot brand'!$E$19:$E$24</c:f>
              <c:numCache>
                <c:formatCode>General</c:formatCode>
                <c:ptCount val="5"/>
                <c:pt idx="0">
                  <c:v>8621.7419000000009</c:v>
                </c:pt>
                <c:pt idx="1">
                  <c:v>5153.4212000000007</c:v>
                </c:pt>
                <c:pt idx="2">
                  <c:v>1314.7995000000001</c:v>
                </c:pt>
                <c:pt idx="3">
                  <c:v>1195.7865000000002</c:v>
                </c:pt>
                <c:pt idx="4">
                  <c:v>1121.6114</c:v>
                </c:pt>
              </c:numCache>
            </c:numRef>
          </c:val>
          <c:smooth val="0"/>
          <c:extLst>
            <c:ext xmlns:c16="http://schemas.microsoft.com/office/drawing/2014/chart" uri="{C3380CC4-5D6E-409C-BE32-E72D297353CC}">
              <c16:uniqueId val="{00000003-F7EA-4C4C-9105-5206EC4FA403}"/>
            </c:ext>
          </c:extLst>
        </c:ser>
        <c:ser>
          <c:idx val="4"/>
          <c:order val="4"/>
          <c:tx>
            <c:strRef>
              <c:f>'pivot brand'!$F$18</c:f>
              <c:strCache>
                <c:ptCount val="1"/>
                <c:pt idx="0">
                  <c:v>Sum of Total Volume</c:v>
                </c:pt>
              </c:strCache>
            </c:strRef>
          </c:tx>
          <c:spPr>
            <a:ln w="28575" cap="rnd">
              <a:solidFill>
                <a:schemeClr val="accent3">
                  <a:lumMod val="60000"/>
                </a:schemeClr>
              </a:solidFill>
              <a:round/>
            </a:ln>
            <a:effectLst/>
          </c:spPr>
          <c:marker>
            <c:symbol val="none"/>
          </c:marker>
          <c:cat>
            <c:strRef>
              <c:f>'pivot brand'!$A$19:$A$24</c:f>
              <c:strCache>
                <c:ptCount val="5"/>
                <c:pt idx="0">
                  <c:v>BABY CREMA (VigaLife)</c:v>
                </c:pt>
                <c:pt idx="1">
                  <c:v>PAMPERS (PROCTER &amp; GAMBLE)</c:v>
                </c:pt>
                <c:pt idx="2">
                  <c:v>LINDY (Intelligent Initiative)</c:v>
                </c:pt>
                <c:pt idx="3">
                  <c:v>EVENT (AxisOn Group)</c:v>
                </c:pt>
                <c:pt idx="4">
                  <c:v>LARA (LARA KOZMETIK)</c:v>
                </c:pt>
              </c:strCache>
            </c:strRef>
          </c:cat>
          <c:val>
            <c:numRef>
              <c:f>'pivot brand'!$F$19:$F$24</c:f>
              <c:numCache>
                <c:formatCode>General</c:formatCode>
                <c:ptCount val="5"/>
                <c:pt idx="0">
                  <c:v>318563.48200000002</c:v>
                </c:pt>
                <c:pt idx="1">
                  <c:v>129676.2365</c:v>
                </c:pt>
                <c:pt idx="2">
                  <c:v>56314.725000000006</c:v>
                </c:pt>
                <c:pt idx="3">
                  <c:v>35729.031799999997</c:v>
                </c:pt>
                <c:pt idx="4">
                  <c:v>54311.731400000004</c:v>
                </c:pt>
              </c:numCache>
            </c:numRef>
          </c:val>
          <c:smooth val="0"/>
          <c:extLst>
            <c:ext xmlns:c16="http://schemas.microsoft.com/office/drawing/2014/chart" uri="{C3380CC4-5D6E-409C-BE32-E72D297353CC}">
              <c16:uniqueId val="{00000004-F7EA-4C4C-9105-5206EC4FA403}"/>
            </c:ext>
          </c:extLst>
        </c:ser>
        <c:dLbls>
          <c:showLegendKey val="0"/>
          <c:showVal val="0"/>
          <c:showCatName val="0"/>
          <c:showSerName val="0"/>
          <c:showPercent val="0"/>
          <c:showBubbleSize val="0"/>
        </c:dLbls>
        <c:marker val="1"/>
        <c:smooth val="0"/>
        <c:axId val="902043392"/>
        <c:axId val="902033792"/>
      </c:lineChart>
      <c:catAx>
        <c:axId val="90204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33792"/>
        <c:crosses val="autoZero"/>
        <c:auto val="1"/>
        <c:lblAlgn val="ctr"/>
        <c:lblOffset val="100"/>
        <c:noMultiLvlLbl val="0"/>
      </c:catAx>
      <c:valAx>
        <c:axId val="902033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43392"/>
        <c:crosses val="autoZero"/>
        <c:crossBetween val="between"/>
      </c:valAx>
      <c:spPr>
        <a:noFill/>
        <a:ln>
          <a:noFill/>
        </a:ln>
        <a:effectLst/>
      </c:spPr>
    </c:plotArea>
    <c:legend>
      <c:legendPos val="r"/>
      <c:layout>
        <c:manualLayout>
          <c:xMode val="edge"/>
          <c:yMode val="edge"/>
          <c:x val="0.68845380223886399"/>
          <c:y val="9.4523541700144598E-2"/>
          <c:w val="0.30181383952835611"/>
          <c:h val="0.448549288481796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[Baby_Care_sourceDA1.xlsx]pivot perf care!PivotTable_salesbyprotection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Market</a:t>
            </a:r>
            <a:r>
              <a:rPr lang="en-IN" baseline="0"/>
              <a:t> a/c to Protection/Care sales over years</a:t>
            </a:r>
            <a:endParaRPr lang="en-IN"/>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01694846283748E-2"/>
          <c:y val="0.17671505999791928"/>
          <c:w val="0.72952694866630041"/>
          <c:h val="0.6502824812165533"/>
        </c:manualLayout>
      </c:layout>
      <c:barChart>
        <c:barDir val="col"/>
        <c:grouping val="clustered"/>
        <c:varyColors val="0"/>
        <c:ser>
          <c:idx val="0"/>
          <c:order val="0"/>
          <c:tx>
            <c:strRef>
              <c:f>'pivot perf care'!$B$3</c:f>
              <c:strCache>
                <c:ptCount val="1"/>
                <c:pt idx="0">
                  <c:v>Sum of 2022</c:v>
                </c:pt>
              </c:strCache>
            </c:strRef>
          </c:tx>
          <c:spPr>
            <a:solidFill>
              <a:schemeClr val="accent1"/>
            </a:solidFill>
            <a:ln>
              <a:noFill/>
            </a:ln>
            <a:effectLst/>
          </c:spPr>
          <c:invertIfNegative val="0"/>
          <c:cat>
            <c:strRef>
              <c:f>'pivot perf care'!$A$4:$A$10</c:f>
              <c:strCache>
                <c:ptCount val="6"/>
                <c:pt idx="0">
                  <c:v>PH BALANCED</c:v>
                </c:pt>
                <c:pt idx="1">
                  <c:v>ALCOHOL FREE</c:v>
                </c:pt>
                <c:pt idx="2">
                  <c:v>WITHOUT EXTRA PROTECTCARE INDICATION</c:v>
                </c:pt>
                <c:pt idx="3">
                  <c:v>SENSITIVE</c:v>
                </c:pt>
                <c:pt idx="4">
                  <c:v>HYPOALLERGENIC</c:v>
                </c:pt>
                <c:pt idx="5">
                  <c:v>ALCOHOL FREE &amp; HYPOALLERGENIC</c:v>
                </c:pt>
              </c:strCache>
            </c:strRef>
          </c:cat>
          <c:val>
            <c:numRef>
              <c:f>'pivot perf care'!$B$4:$B$10</c:f>
              <c:numCache>
                <c:formatCode>General</c:formatCode>
                <c:ptCount val="6"/>
                <c:pt idx="0">
                  <c:v>6105.1386999999986</c:v>
                </c:pt>
                <c:pt idx="1">
                  <c:v>2276.8304999999996</c:v>
                </c:pt>
                <c:pt idx="2">
                  <c:v>1969.4134999999999</c:v>
                </c:pt>
                <c:pt idx="3">
                  <c:v>1370.6339999999998</c:v>
                </c:pt>
                <c:pt idx="4">
                  <c:v>93.788700000000006</c:v>
                </c:pt>
                <c:pt idx="5">
                  <c:v>64.353499999999997</c:v>
                </c:pt>
              </c:numCache>
            </c:numRef>
          </c:val>
          <c:extLst>
            <c:ext xmlns:c16="http://schemas.microsoft.com/office/drawing/2014/chart" uri="{C3380CC4-5D6E-409C-BE32-E72D297353CC}">
              <c16:uniqueId val="{00000000-D618-4814-8DB1-92F2797D9C12}"/>
            </c:ext>
          </c:extLst>
        </c:ser>
        <c:ser>
          <c:idx val="1"/>
          <c:order val="1"/>
          <c:tx>
            <c:strRef>
              <c:f>'pivot perf care'!$C$3</c:f>
              <c:strCache>
                <c:ptCount val="1"/>
                <c:pt idx="0">
                  <c:v>Sum of 2023</c:v>
                </c:pt>
              </c:strCache>
            </c:strRef>
          </c:tx>
          <c:spPr>
            <a:solidFill>
              <a:schemeClr val="accent3"/>
            </a:solidFill>
            <a:ln>
              <a:noFill/>
            </a:ln>
            <a:effectLst/>
          </c:spPr>
          <c:invertIfNegative val="0"/>
          <c:cat>
            <c:strRef>
              <c:f>'pivot perf care'!$A$4:$A$10</c:f>
              <c:strCache>
                <c:ptCount val="6"/>
                <c:pt idx="0">
                  <c:v>PH BALANCED</c:v>
                </c:pt>
                <c:pt idx="1">
                  <c:v>ALCOHOL FREE</c:v>
                </c:pt>
                <c:pt idx="2">
                  <c:v>WITHOUT EXTRA PROTECTCARE INDICATION</c:v>
                </c:pt>
                <c:pt idx="3">
                  <c:v>SENSITIVE</c:v>
                </c:pt>
                <c:pt idx="4">
                  <c:v>HYPOALLERGENIC</c:v>
                </c:pt>
                <c:pt idx="5">
                  <c:v>ALCOHOL FREE &amp; HYPOALLERGENIC</c:v>
                </c:pt>
              </c:strCache>
            </c:strRef>
          </c:cat>
          <c:val>
            <c:numRef>
              <c:f>'pivot perf care'!$C$4:$C$10</c:f>
              <c:numCache>
                <c:formatCode>General</c:formatCode>
                <c:ptCount val="6"/>
                <c:pt idx="0">
                  <c:v>6002.9082000000008</c:v>
                </c:pt>
                <c:pt idx="1">
                  <c:v>2758.5756000000001</c:v>
                </c:pt>
                <c:pt idx="2">
                  <c:v>1850.6268000000005</c:v>
                </c:pt>
                <c:pt idx="3">
                  <c:v>1559.4185</c:v>
                </c:pt>
                <c:pt idx="4">
                  <c:v>57.919700000000006</c:v>
                </c:pt>
                <c:pt idx="5">
                  <c:v>35.398600000000002</c:v>
                </c:pt>
              </c:numCache>
            </c:numRef>
          </c:val>
          <c:extLst>
            <c:ext xmlns:c16="http://schemas.microsoft.com/office/drawing/2014/chart" uri="{C3380CC4-5D6E-409C-BE32-E72D297353CC}">
              <c16:uniqueId val="{00000001-D618-4814-8DB1-92F2797D9C12}"/>
            </c:ext>
          </c:extLst>
        </c:ser>
        <c:ser>
          <c:idx val="2"/>
          <c:order val="2"/>
          <c:tx>
            <c:strRef>
              <c:f>'pivot perf care'!$D$3</c:f>
              <c:strCache>
                <c:ptCount val="1"/>
                <c:pt idx="0">
                  <c:v>Sum of YTD 2024</c:v>
                </c:pt>
              </c:strCache>
            </c:strRef>
          </c:tx>
          <c:spPr>
            <a:solidFill>
              <a:schemeClr val="accent5"/>
            </a:solidFill>
            <a:ln>
              <a:noFill/>
            </a:ln>
            <a:effectLst/>
          </c:spPr>
          <c:invertIfNegative val="0"/>
          <c:cat>
            <c:strRef>
              <c:f>'pivot perf care'!$A$4:$A$10</c:f>
              <c:strCache>
                <c:ptCount val="6"/>
                <c:pt idx="0">
                  <c:v>PH BALANCED</c:v>
                </c:pt>
                <c:pt idx="1">
                  <c:v>ALCOHOL FREE</c:v>
                </c:pt>
                <c:pt idx="2">
                  <c:v>WITHOUT EXTRA PROTECTCARE INDICATION</c:v>
                </c:pt>
                <c:pt idx="3">
                  <c:v>SENSITIVE</c:v>
                </c:pt>
                <c:pt idx="4">
                  <c:v>HYPOALLERGENIC</c:v>
                </c:pt>
                <c:pt idx="5">
                  <c:v>ALCOHOL FREE &amp; HYPOALLERGENIC</c:v>
                </c:pt>
              </c:strCache>
            </c:strRef>
          </c:cat>
          <c:val>
            <c:numRef>
              <c:f>'pivot perf care'!$D$4:$D$10</c:f>
              <c:numCache>
                <c:formatCode>General</c:formatCode>
                <c:ptCount val="6"/>
                <c:pt idx="0">
                  <c:v>3218.6821000000004</c:v>
                </c:pt>
                <c:pt idx="1">
                  <c:v>1608.7238000000002</c:v>
                </c:pt>
                <c:pt idx="2">
                  <c:v>981.24129999999991</c:v>
                </c:pt>
                <c:pt idx="3">
                  <c:v>731.44569999999999</c:v>
                </c:pt>
                <c:pt idx="4">
                  <c:v>35.799300000000002</c:v>
                </c:pt>
                <c:pt idx="5">
                  <c:v>14.159099999999999</c:v>
                </c:pt>
              </c:numCache>
            </c:numRef>
          </c:val>
          <c:extLst>
            <c:ext xmlns:c16="http://schemas.microsoft.com/office/drawing/2014/chart" uri="{C3380CC4-5D6E-409C-BE32-E72D297353CC}">
              <c16:uniqueId val="{00000002-D618-4814-8DB1-92F2797D9C12}"/>
            </c:ext>
          </c:extLst>
        </c:ser>
        <c:dLbls>
          <c:showLegendKey val="0"/>
          <c:showVal val="0"/>
          <c:showCatName val="0"/>
          <c:showSerName val="0"/>
          <c:showPercent val="0"/>
          <c:showBubbleSize val="0"/>
        </c:dLbls>
        <c:gapWidth val="0"/>
        <c:axId val="679445440"/>
        <c:axId val="679444480"/>
      </c:barChart>
      <c:lineChart>
        <c:grouping val="standard"/>
        <c:varyColors val="0"/>
        <c:ser>
          <c:idx val="3"/>
          <c:order val="3"/>
          <c:tx>
            <c:strRef>
              <c:f>'pivot perf care'!$E$3</c:f>
              <c:strCache>
                <c:ptCount val="1"/>
                <c:pt idx="0">
                  <c:v>Sum of Total Value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perf care'!$A$4:$A$10</c:f>
              <c:strCache>
                <c:ptCount val="6"/>
                <c:pt idx="0">
                  <c:v>PH BALANCED</c:v>
                </c:pt>
                <c:pt idx="1">
                  <c:v>ALCOHOL FREE</c:v>
                </c:pt>
                <c:pt idx="2">
                  <c:v>WITHOUT EXTRA PROTECTCARE INDICATION</c:v>
                </c:pt>
                <c:pt idx="3">
                  <c:v>SENSITIVE</c:v>
                </c:pt>
                <c:pt idx="4">
                  <c:v>HYPOALLERGENIC</c:v>
                </c:pt>
                <c:pt idx="5">
                  <c:v>ALCOHOL FREE &amp; HYPOALLERGENIC</c:v>
                </c:pt>
              </c:strCache>
            </c:strRef>
          </c:cat>
          <c:val>
            <c:numRef>
              <c:f>'pivot perf care'!$E$4:$E$10</c:f>
              <c:numCache>
                <c:formatCode>General</c:formatCode>
                <c:ptCount val="6"/>
                <c:pt idx="0">
                  <c:v>15326.72900000001</c:v>
                </c:pt>
                <c:pt idx="1">
                  <c:v>6644.1299000000026</c:v>
                </c:pt>
                <c:pt idx="2">
                  <c:v>4801.2816000000003</c:v>
                </c:pt>
                <c:pt idx="3">
                  <c:v>3661.4982000000005</c:v>
                </c:pt>
                <c:pt idx="4">
                  <c:v>187.5077</c:v>
                </c:pt>
                <c:pt idx="5">
                  <c:v>113.91119999999999</c:v>
                </c:pt>
              </c:numCache>
            </c:numRef>
          </c:val>
          <c:smooth val="0"/>
          <c:extLst>
            <c:ext xmlns:c16="http://schemas.microsoft.com/office/drawing/2014/chart" uri="{C3380CC4-5D6E-409C-BE32-E72D297353CC}">
              <c16:uniqueId val="{00000004-D618-4814-8DB1-92F2797D9C12}"/>
            </c:ext>
          </c:extLst>
        </c:ser>
        <c:dLbls>
          <c:showLegendKey val="0"/>
          <c:showVal val="0"/>
          <c:showCatName val="0"/>
          <c:showSerName val="0"/>
          <c:showPercent val="0"/>
          <c:showBubbleSize val="0"/>
        </c:dLbls>
        <c:marker val="1"/>
        <c:smooth val="0"/>
        <c:axId val="1547029616"/>
        <c:axId val="1547038736"/>
      </c:lineChart>
      <c:catAx>
        <c:axId val="67944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44480"/>
        <c:crosses val="autoZero"/>
        <c:auto val="1"/>
        <c:lblAlgn val="ctr"/>
        <c:lblOffset val="100"/>
        <c:noMultiLvlLbl val="0"/>
      </c:catAx>
      <c:valAx>
        <c:axId val="67944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45440"/>
        <c:crosses val="autoZero"/>
        <c:crossBetween val="between"/>
      </c:valAx>
      <c:valAx>
        <c:axId val="15470387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029616"/>
        <c:crosses val="max"/>
        <c:crossBetween val="between"/>
      </c:valAx>
      <c:catAx>
        <c:axId val="1547029616"/>
        <c:scaling>
          <c:orientation val="minMax"/>
        </c:scaling>
        <c:delete val="1"/>
        <c:axPos val="b"/>
        <c:numFmt formatCode="General" sourceLinked="1"/>
        <c:majorTickMark val="out"/>
        <c:minorTickMark val="none"/>
        <c:tickLblPos val="nextTo"/>
        <c:crossAx val="1547038736"/>
        <c:crosses val="autoZero"/>
        <c:auto val="1"/>
        <c:lblAlgn val="ctr"/>
        <c:lblOffset val="100"/>
        <c:noMultiLvlLbl val="0"/>
      </c:catAx>
      <c:spPr>
        <a:noFill/>
        <a:ln>
          <a:noFill/>
        </a:ln>
        <a:effectLst/>
      </c:spPr>
    </c:plotArea>
    <c:legend>
      <c:legendPos val="r"/>
      <c:layout>
        <c:manualLayout>
          <c:xMode val="edge"/>
          <c:yMode val="edge"/>
          <c:x val="0.60764779930705737"/>
          <c:y val="0.13800128757490218"/>
          <c:w val="0.1728862574348749"/>
          <c:h val="0.33043292641151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[Baby_Care_sourceDA1.xlsx]Market share!PivotTable1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Market share- Brand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pieChart>
        <c:varyColors val="1"/>
        <c:ser>
          <c:idx val="0"/>
          <c:order val="0"/>
          <c:tx>
            <c:strRef>
              <c:f>'Market share'!$B$4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DE67-41C6-9F97-A1B498A703B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DE67-41C6-9F97-A1B498A703BC}"/>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DE67-41C6-9F97-A1B498A703BC}"/>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DE67-41C6-9F97-A1B498A703BC}"/>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DE67-41C6-9F97-A1B498A703BC}"/>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DE67-41C6-9F97-A1B498A703BC}"/>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DE67-41C6-9F97-A1B498A703BC}"/>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DE67-41C6-9F97-A1B498A703BC}"/>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DE67-41C6-9F97-A1B498A703BC}"/>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DE67-41C6-9F97-A1B498A703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'Market share'!$A$5:$A$15</c:f>
              <c:strCache>
                <c:ptCount val="10"/>
                <c:pt idx="0">
                  <c:v>BABY CREMA</c:v>
                </c:pt>
                <c:pt idx="1">
                  <c:v>PAMPERS</c:v>
                </c:pt>
                <c:pt idx="2">
                  <c:v>LINDY</c:v>
                </c:pt>
                <c:pt idx="3">
                  <c:v>EVENT</c:v>
                </c:pt>
                <c:pt idx="4">
                  <c:v>LARA</c:v>
                </c:pt>
                <c:pt idx="5">
                  <c:v>FRESHMAKER</c:v>
                </c:pt>
                <c:pt idx="6">
                  <c:v>MOLFIX</c:v>
                </c:pt>
                <c:pt idx="7">
                  <c:v>COTTON SOFT</c:v>
                </c:pt>
                <c:pt idx="8">
                  <c:v>RENKLI</c:v>
                </c:pt>
                <c:pt idx="9">
                  <c:v>BABY CARE</c:v>
                </c:pt>
              </c:strCache>
            </c:strRef>
          </c:cat>
          <c:val>
            <c:numRef>
              <c:f>'Market share'!$B$5:$B$15</c:f>
              <c:numCache>
                <c:formatCode>0.00%</c:formatCode>
                <c:ptCount val="10"/>
                <c:pt idx="0">
                  <c:v>0.40101264359841726</c:v>
                </c:pt>
                <c:pt idx="1">
                  <c:v>0.23970732156462166</c:v>
                </c:pt>
                <c:pt idx="2">
                  <c:v>6.1153659169281879E-2</c:v>
                </c:pt>
                <c:pt idx="3">
                  <c:v>5.5618151126825395E-2</c:v>
                </c:pt>
                <c:pt idx="4">
                  <c:v>5.2130827106753076E-2</c:v>
                </c:pt>
                <c:pt idx="5">
                  <c:v>4.3734136804095436E-2</c:v>
                </c:pt>
                <c:pt idx="6">
                  <c:v>4.2958989863573271E-2</c:v>
                </c:pt>
                <c:pt idx="7">
                  <c:v>3.564252665530402E-2</c:v>
                </c:pt>
                <c:pt idx="8">
                  <c:v>3.4841895903295207E-2</c:v>
                </c:pt>
                <c:pt idx="9">
                  <c:v>3.31998482078327E-2</c:v>
                </c:pt>
              </c:numCache>
            </c:numRef>
          </c:val>
          <c:extLst>
            <c:ext xmlns:c16="http://schemas.microsoft.com/office/drawing/2014/chart" uri="{C3380CC4-5D6E-409C-BE32-E72D297353CC}">
              <c16:uniqueId val="{00000000-18CC-43F0-990B-F4F37FE678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[Baby_Care_sourceDA1.xlsx]Market share!PivotTable2</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Market</a:t>
            </a:r>
            <a:r>
              <a:rPr lang="en-US" baseline="0"/>
              <a:t> share- Manufacturer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s>
    <c:plotArea>
      <c:layout/>
      <c:pieChart>
        <c:varyColors val="1"/>
        <c:ser>
          <c:idx val="0"/>
          <c:order val="0"/>
          <c:tx>
            <c:strRef>
              <c:f>'Market share'!$E$4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1-CA6A-4A56-9B68-66B5E0D6078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CA6A-4A56-9B68-66B5E0D6078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5-CA6A-4A56-9B68-66B5E0D60786}"/>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CA6A-4A56-9B68-66B5E0D60786}"/>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CA6A-4A56-9B68-66B5E0D60786}"/>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CA6A-4A56-9B68-66B5E0D60786}"/>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CA6A-4A56-9B68-66B5E0D60786}"/>
              </c:ext>
            </c:extLst>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CA6A-4A56-9B68-66B5E0D60786}"/>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CA6A-4A56-9B68-66B5E0D60786}"/>
              </c:ext>
            </c:extLst>
          </c:dPt>
          <c:dPt>
            <c:idx val="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CA6A-4A56-9B68-66B5E0D607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'Market share'!$D$5:$D$15</c:f>
              <c:strCache>
                <c:ptCount val="10"/>
                <c:pt idx="0">
                  <c:v> VigaLife</c:v>
                </c:pt>
                <c:pt idx="1">
                  <c:v> Proctor &amp; Wager</c:v>
                </c:pt>
                <c:pt idx="2">
                  <c:v> Fulya Beauty</c:v>
                </c:pt>
                <c:pt idx="3">
                  <c:v> SepaTextiles</c:v>
                </c:pt>
                <c:pt idx="4">
                  <c:v> Intelligent Initiative</c:v>
                </c:pt>
                <c:pt idx="5">
                  <c:v> AxisOn Group</c:v>
                </c:pt>
                <c:pt idx="6">
                  <c:v> Lara Beauty</c:v>
                </c:pt>
                <c:pt idx="7">
                  <c:v> LifeChem</c:v>
                </c:pt>
                <c:pt idx="8">
                  <c:v> LovelyCo</c:v>
                </c:pt>
                <c:pt idx="9">
                  <c:v> Giga S.A.</c:v>
                </c:pt>
              </c:strCache>
            </c:strRef>
          </c:cat>
          <c:val>
            <c:numRef>
              <c:f>'Market share'!$E$5:$E$15</c:f>
              <c:numCache>
                <c:formatCode>0.00%</c:formatCode>
                <c:ptCount val="10"/>
                <c:pt idx="0">
                  <c:v>0.36451346681564395</c:v>
                </c:pt>
                <c:pt idx="1">
                  <c:v>0.21789470614798317</c:v>
                </c:pt>
                <c:pt idx="2">
                  <c:v>9.3177038694604197E-2</c:v>
                </c:pt>
                <c:pt idx="3">
                  <c:v>6.022601502639624E-2</c:v>
                </c:pt>
                <c:pt idx="4">
                  <c:v>5.558760470051477E-2</c:v>
                </c:pt>
                <c:pt idx="5">
                  <c:v>5.0555924878563002E-2</c:v>
                </c:pt>
                <c:pt idx="6">
                  <c:v>4.7581973081669282E-2</c:v>
                </c:pt>
                <c:pt idx="7">
                  <c:v>3.9048969093729111E-2</c:v>
                </c:pt>
                <c:pt idx="8">
                  <c:v>3.8398930160180068E-2</c:v>
                </c:pt>
                <c:pt idx="9">
                  <c:v>3.3015371400716247E-2</c:v>
                </c:pt>
              </c:numCache>
            </c:numRef>
          </c:val>
          <c:extLst>
            <c:ext xmlns:c16="http://schemas.microsoft.com/office/drawing/2014/chart" uri="{C3380CC4-5D6E-409C-BE32-E72D297353CC}">
              <c16:uniqueId val="{00000000-1A38-4D1C-9628-378037827DF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[Baby_Care_sourceDA1.xlsx]Market share!PivotTable2</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Market</a:t>
            </a:r>
            <a:r>
              <a:rPr lang="en-US" baseline="0"/>
              <a:t> share- Manufacturer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s>
    <c:plotArea>
      <c:layout/>
      <c:pieChart>
        <c:varyColors val="1"/>
        <c:ser>
          <c:idx val="0"/>
          <c:order val="0"/>
          <c:tx>
            <c:strRef>
              <c:f>'Market share'!$E$4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1-7EEC-4832-B353-05C1544762C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7EEC-4832-B353-05C1544762C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5-7EEC-4832-B353-05C1544762C6}"/>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7EEC-4832-B353-05C1544762C6}"/>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7EEC-4832-B353-05C1544762C6}"/>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7EEC-4832-B353-05C1544762C6}"/>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7EEC-4832-B353-05C1544762C6}"/>
              </c:ext>
            </c:extLst>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7EEC-4832-B353-05C1544762C6}"/>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7EEC-4832-B353-05C1544762C6}"/>
              </c:ext>
            </c:extLst>
          </c:dPt>
          <c:dPt>
            <c:idx val="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7EEC-4832-B353-05C1544762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'Market share'!$D$5:$D$15</c:f>
              <c:strCache>
                <c:ptCount val="10"/>
                <c:pt idx="0">
                  <c:v> VigaLife</c:v>
                </c:pt>
                <c:pt idx="1">
                  <c:v> Proctor &amp; Wager</c:v>
                </c:pt>
                <c:pt idx="2">
                  <c:v> Fulya Beauty</c:v>
                </c:pt>
                <c:pt idx="3">
                  <c:v> SepaTextiles</c:v>
                </c:pt>
                <c:pt idx="4">
                  <c:v> Intelligent Initiative</c:v>
                </c:pt>
                <c:pt idx="5">
                  <c:v> AxisOn Group</c:v>
                </c:pt>
                <c:pt idx="6">
                  <c:v> Lara Beauty</c:v>
                </c:pt>
                <c:pt idx="7">
                  <c:v> LifeChem</c:v>
                </c:pt>
                <c:pt idx="8">
                  <c:v> LovelyCo</c:v>
                </c:pt>
                <c:pt idx="9">
                  <c:v> Giga S.A.</c:v>
                </c:pt>
              </c:strCache>
            </c:strRef>
          </c:cat>
          <c:val>
            <c:numRef>
              <c:f>'Market share'!$E$5:$E$15</c:f>
              <c:numCache>
                <c:formatCode>0.00%</c:formatCode>
                <c:ptCount val="10"/>
                <c:pt idx="0">
                  <c:v>0.36451346681564395</c:v>
                </c:pt>
                <c:pt idx="1">
                  <c:v>0.21789470614798317</c:v>
                </c:pt>
                <c:pt idx="2">
                  <c:v>9.3177038694604197E-2</c:v>
                </c:pt>
                <c:pt idx="3">
                  <c:v>6.022601502639624E-2</c:v>
                </c:pt>
                <c:pt idx="4">
                  <c:v>5.558760470051477E-2</c:v>
                </c:pt>
                <c:pt idx="5">
                  <c:v>5.0555924878563002E-2</c:v>
                </c:pt>
                <c:pt idx="6">
                  <c:v>4.7581973081669282E-2</c:v>
                </c:pt>
                <c:pt idx="7">
                  <c:v>3.9048969093729111E-2</c:v>
                </c:pt>
                <c:pt idx="8">
                  <c:v>3.8398930160180068E-2</c:v>
                </c:pt>
                <c:pt idx="9">
                  <c:v>3.3015371400716247E-2</c:v>
                </c:pt>
              </c:numCache>
            </c:numRef>
          </c:val>
          <c:extLst>
            <c:ext xmlns:c16="http://schemas.microsoft.com/office/drawing/2014/chart" uri="{C3380CC4-5D6E-409C-BE32-E72D297353CC}">
              <c16:uniqueId val="{00000014-7EEC-4832-B353-05C1544762C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[Baby_Care_sourceDA1.xlsx]pivot by mfg.!PivotTable_salesbymanufacturer</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performance -Manufacturer</a:t>
            </a:r>
            <a:endParaRPr lang="en-IN"/>
          </a:p>
        </c:rich>
      </c:tx>
      <c:layout>
        <c:manualLayout>
          <c:xMode val="edge"/>
          <c:yMode val="edge"/>
          <c:x val="0.18566487775790103"/>
          <c:y val="0.1280595739486052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01154104395264E-2"/>
          <c:y val="0.11255569797961301"/>
          <c:w val="0.59196277567271893"/>
          <c:h val="0.69642190075077814"/>
        </c:manualLayout>
      </c:layout>
      <c:barChart>
        <c:barDir val="col"/>
        <c:grouping val="clustered"/>
        <c:varyColors val="0"/>
        <c:ser>
          <c:idx val="0"/>
          <c:order val="0"/>
          <c:tx>
            <c:strRef>
              <c:f>'pivot by mfg.'!$B$3</c:f>
              <c:strCache>
                <c:ptCount val="1"/>
                <c:pt idx="0">
                  <c:v>Sum of Value 2022</c:v>
                </c:pt>
              </c:strCache>
            </c:strRef>
          </c:tx>
          <c:spPr>
            <a:solidFill>
              <a:schemeClr val="accent1"/>
            </a:solidFill>
            <a:ln>
              <a:noFill/>
            </a:ln>
            <a:effectLst/>
          </c:spPr>
          <c:invertIfNegative val="0"/>
          <c:cat>
            <c:strRef>
              <c:f>'pivot by mfg.'!$A$4:$A$9</c:f>
              <c:strCache>
                <c:ptCount val="5"/>
                <c:pt idx="0">
                  <c:v> VigaLife</c:v>
                </c:pt>
                <c:pt idx="1">
                  <c:v> Proctor &amp; Wager</c:v>
                </c:pt>
                <c:pt idx="2">
                  <c:v> Fulya Beauty</c:v>
                </c:pt>
                <c:pt idx="3">
                  <c:v> SepaTextiles</c:v>
                </c:pt>
                <c:pt idx="4">
                  <c:v> Intelligent Initiative</c:v>
                </c:pt>
              </c:strCache>
            </c:strRef>
          </c:cat>
          <c:val>
            <c:numRef>
              <c:f>'pivot by mfg.'!$B$4:$B$9</c:f>
              <c:numCache>
                <c:formatCode>General</c:formatCode>
                <c:ptCount val="5"/>
                <c:pt idx="0">
                  <c:v>3341.5012999999999</c:v>
                </c:pt>
                <c:pt idx="1">
                  <c:v>1818.5395000000001</c:v>
                </c:pt>
                <c:pt idx="2">
                  <c:v>1012.9229</c:v>
                </c:pt>
                <c:pt idx="3">
                  <c:v>632.96190000000001</c:v>
                </c:pt>
                <c:pt idx="4">
                  <c:v>511.78089999999997</c:v>
                </c:pt>
              </c:numCache>
            </c:numRef>
          </c:val>
          <c:extLst>
            <c:ext xmlns:c16="http://schemas.microsoft.com/office/drawing/2014/chart" uri="{C3380CC4-5D6E-409C-BE32-E72D297353CC}">
              <c16:uniqueId val="{00000000-BAF3-48EE-B907-FD9CA09C23F1}"/>
            </c:ext>
          </c:extLst>
        </c:ser>
        <c:ser>
          <c:idx val="1"/>
          <c:order val="1"/>
          <c:tx>
            <c:strRef>
              <c:f>'pivot by mfg.'!$C$3</c:f>
              <c:strCache>
                <c:ptCount val="1"/>
                <c:pt idx="0">
                  <c:v>Sum of Value 2023</c:v>
                </c:pt>
              </c:strCache>
            </c:strRef>
          </c:tx>
          <c:spPr>
            <a:solidFill>
              <a:schemeClr val="accent3"/>
            </a:solidFill>
            <a:ln>
              <a:noFill/>
            </a:ln>
            <a:effectLst/>
          </c:spPr>
          <c:invertIfNegative val="0"/>
          <c:cat>
            <c:strRef>
              <c:f>'pivot by mfg.'!$A$4:$A$9</c:f>
              <c:strCache>
                <c:ptCount val="5"/>
                <c:pt idx="0">
                  <c:v> VigaLife</c:v>
                </c:pt>
                <c:pt idx="1">
                  <c:v> Proctor &amp; Wager</c:v>
                </c:pt>
                <c:pt idx="2">
                  <c:v> Fulya Beauty</c:v>
                </c:pt>
                <c:pt idx="3">
                  <c:v> SepaTextiles</c:v>
                </c:pt>
                <c:pt idx="4">
                  <c:v> Intelligent Initiative</c:v>
                </c:pt>
              </c:strCache>
            </c:strRef>
          </c:cat>
          <c:val>
            <c:numRef>
              <c:f>'pivot by mfg.'!$C$4:$C$9</c:f>
              <c:numCache>
                <c:formatCode>General</c:formatCode>
                <c:ptCount val="5"/>
                <c:pt idx="0">
                  <c:v>3428.0437000000002</c:v>
                </c:pt>
                <c:pt idx="1">
                  <c:v>2101.7049999999999</c:v>
                </c:pt>
                <c:pt idx="2">
                  <c:v>822.98099999999999</c:v>
                </c:pt>
                <c:pt idx="3">
                  <c:v>529.41039999999998</c:v>
                </c:pt>
                <c:pt idx="4">
                  <c:v>507.3048</c:v>
                </c:pt>
              </c:numCache>
            </c:numRef>
          </c:val>
          <c:extLst>
            <c:ext xmlns:c16="http://schemas.microsoft.com/office/drawing/2014/chart" uri="{C3380CC4-5D6E-409C-BE32-E72D297353CC}">
              <c16:uniqueId val="{00000001-BAF3-48EE-B907-FD9CA09C23F1}"/>
            </c:ext>
          </c:extLst>
        </c:ser>
        <c:ser>
          <c:idx val="2"/>
          <c:order val="2"/>
          <c:tx>
            <c:strRef>
              <c:f>'pivot by mfg.'!$D$3</c:f>
              <c:strCache>
                <c:ptCount val="1"/>
                <c:pt idx="0">
                  <c:v>Sum of Value YTD 2024</c:v>
                </c:pt>
              </c:strCache>
            </c:strRef>
          </c:tx>
          <c:spPr>
            <a:solidFill>
              <a:schemeClr val="accent5"/>
            </a:solidFill>
            <a:ln>
              <a:noFill/>
            </a:ln>
            <a:effectLst/>
          </c:spPr>
          <c:invertIfNegative val="0"/>
          <c:cat>
            <c:strRef>
              <c:f>'pivot by mfg.'!$A$4:$A$9</c:f>
              <c:strCache>
                <c:ptCount val="5"/>
                <c:pt idx="0">
                  <c:v> VigaLife</c:v>
                </c:pt>
                <c:pt idx="1">
                  <c:v> Proctor &amp; Wager</c:v>
                </c:pt>
                <c:pt idx="2">
                  <c:v> Fulya Beauty</c:v>
                </c:pt>
                <c:pt idx="3">
                  <c:v> SepaTextiles</c:v>
                </c:pt>
                <c:pt idx="4">
                  <c:v> Intelligent Initiative</c:v>
                </c:pt>
              </c:strCache>
            </c:strRef>
          </c:cat>
          <c:val>
            <c:numRef>
              <c:f>'pivot by mfg.'!$D$4:$D$9</c:f>
              <c:numCache>
                <c:formatCode>General</c:formatCode>
                <c:ptCount val="5"/>
                <c:pt idx="0">
                  <c:v>1852.1968999999999</c:v>
                </c:pt>
                <c:pt idx="1">
                  <c:v>1233.5607</c:v>
                </c:pt>
                <c:pt idx="2">
                  <c:v>367.98759999999999</c:v>
                </c:pt>
                <c:pt idx="3">
                  <c:v>262.13749999999999</c:v>
                </c:pt>
                <c:pt idx="4">
                  <c:v>295.71379999999999</c:v>
                </c:pt>
              </c:numCache>
            </c:numRef>
          </c:val>
          <c:extLst>
            <c:ext xmlns:c16="http://schemas.microsoft.com/office/drawing/2014/chart" uri="{C3380CC4-5D6E-409C-BE32-E72D297353CC}">
              <c16:uniqueId val="{00000002-BAF3-48EE-B907-FD9CA09C23F1}"/>
            </c:ext>
          </c:extLst>
        </c:ser>
        <c:dLbls>
          <c:showLegendKey val="0"/>
          <c:showVal val="0"/>
          <c:showCatName val="0"/>
          <c:showSerName val="0"/>
          <c:showPercent val="0"/>
          <c:showBubbleSize val="0"/>
        </c:dLbls>
        <c:gapWidth val="150"/>
        <c:axId val="1915716768"/>
        <c:axId val="1917263008"/>
      </c:barChart>
      <c:lineChart>
        <c:grouping val="standard"/>
        <c:varyColors val="0"/>
        <c:ser>
          <c:idx val="3"/>
          <c:order val="3"/>
          <c:tx>
            <c:strRef>
              <c:f>'pivot by mfg.'!$E$3</c:f>
              <c:strCache>
                <c:ptCount val="1"/>
                <c:pt idx="0">
                  <c:v>Sum of Total Value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by mfg.'!$A$4:$A$9</c:f>
              <c:strCache>
                <c:ptCount val="5"/>
                <c:pt idx="0">
                  <c:v> VigaLife</c:v>
                </c:pt>
                <c:pt idx="1">
                  <c:v> Proctor &amp; Wager</c:v>
                </c:pt>
                <c:pt idx="2">
                  <c:v> Fulya Beauty</c:v>
                </c:pt>
                <c:pt idx="3">
                  <c:v> SepaTextiles</c:v>
                </c:pt>
                <c:pt idx="4">
                  <c:v> Intelligent Initiative</c:v>
                </c:pt>
              </c:strCache>
            </c:strRef>
          </c:cat>
          <c:val>
            <c:numRef>
              <c:f>'pivot by mfg.'!$E$4:$E$9</c:f>
              <c:numCache>
                <c:formatCode>General</c:formatCode>
                <c:ptCount val="5"/>
                <c:pt idx="0">
                  <c:v>8621.7419000000009</c:v>
                </c:pt>
                <c:pt idx="1">
                  <c:v>5153.8051999999998</c:v>
                </c:pt>
                <c:pt idx="2">
                  <c:v>2203.8915000000002</c:v>
                </c:pt>
                <c:pt idx="3">
                  <c:v>1424.5098</c:v>
                </c:pt>
                <c:pt idx="4">
                  <c:v>1314.7995000000001</c:v>
                </c:pt>
              </c:numCache>
            </c:numRef>
          </c:val>
          <c:smooth val="0"/>
          <c:extLst>
            <c:ext xmlns:c16="http://schemas.microsoft.com/office/drawing/2014/chart" uri="{C3380CC4-5D6E-409C-BE32-E72D297353CC}">
              <c16:uniqueId val="{00000003-BAF3-48EE-B907-FD9CA09C23F1}"/>
            </c:ext>
          </c:extLst>
        </c:ser>
        <c:dLbls>
          <c:showLegendKey val="0"/>
          <c:showVal val="0"/>
          <c:showCatName val="0"/>
          <c:showSerName val="0"/>
          <c:showPercent val="0"/>
          <c:showBubbleSize val="0"/>
        </c:dLbls>
        <c:marker val="1"/>
        <c:smooth val="0"/>
        <c:axId val="1915716768"/>
        <c:axId val="1917263008"/>
      </c:lineChart>
      <c:catAx>
        <c:axId val="1915716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263008"/>
        <c:crosses val="autoZero"/>
        <c:auto val="1"/>
        <c:lblAlgn val="ctr"/>
        <c:lblOffset val="100"/>
        <c:noMultiLvlLbl val="0"/>
      </c:catAx>
      <c:valAx>
        <c:axId val="19172630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7167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Manufacturer Contributions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Mgf!$B$7:$B$12</c:f>
              <c:strCache>
                <c:ptCount val="6"/>
                <c:pt idx="0">
                  <c:v> VigaLife</c:v>
                </c:pt>
                <c:pt idx="1">
                  <c:v> Proctor &amp; Wager</c:v>
                </c:pt>
                <c:pt idx="2">
                  <c:v> Fulya Beauty</c:v>
                </c:pt>
                <c:pt idx="3">
                  <c:v> SepaTextiles</c:v>
                </c:pt>
                <c:pt idx="4">
                  <c:v> Intelligent Initiative</c:v>
                </c:pt>
                <c:pt idx="5">
                  <c:v> AxisOn Group</c:v>
                </c:pt>
              </c:strCache>
            </c:strRef>
          </c:cat>
          <c:val>
            <c:numRef>
              <c:f>Mgf!$L$7:$L$12</c:f>
              <c:numCache>
                <c:formatCode>0.00%</c:formatCode>
                <c:ptCount val="6"/>
                <c:pt idx="0">
                  <c:v>2.5899256720325163E-2</c:v>
                </c:pt>
                <c:pt idx="1">
                  <c:v>0.15571039287296198</c:v>
                </c:pt>
                <c:pt idx="2">
                  <c:v>-0.18751861568141073</c:v>
                </c:pt>
                <c:pt idx="3">
                  <c:v>-0.16359831452730414</c:v>
                </c:pt>
                <c:pt idx="4">
                  <c:v>-8.7461255392688054E-3</c:v>
                </c:pt>
                <c:pt idx="5">
                  <c:v>-5.0129260436934789E-2</c:v>
                </c:pt>
              </c:numCache>
            </c:numRef>
          </c:val>
          <c:extLst>
            <c:ext xmlns:c16="http://schemas.microsoft.com/office/drawing/2014/chart" uri="{C3380CC4-5D6E-409C-BE32-E72D297353CC}">
              <c16:uniqueId val="{00000000-1AC2-41E7-B30F-123C234CF225}"/>
            </c:ext>
          </c:extLst>
        </c:ser>
        <c:dLbls>
          <c:dLblPos val="outEnd"/>
          <c:showLegendKey val="0"/>
          <c:showVal val="1"/>
          <c:showCatName val="0"/>
          <c:showSerName val="0"/>
          <c:showPercent val="0"/>
          <c:showBubbleSize val="0"/>
        </c:dLbls>
        <c:gapWidth val="219"/>
        <c:overlap val="-27"/>
        <c:axId val="1326515296"/>
        <c:axId val="1326502336"/>
      </c:barChart>
      <c:catAx>
        <c:axId val="132651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502336"/>
        <c:crosses val="autoZero"/>
        <c:auto val="1"/>
        <c:lblAlgn val="ctr"/>
        <c:lblOffset val="100"/>
        <c:noMultiLvlLbl val="0"/>
      </c:catAx>
      <c:valAx>
        <c:axId val="13265023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515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[Baby_Care_sourceDA1.xlsx]pivot perf care!PivotTable_salesbyprotection</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Market</a:t>
            </a:r>
            <a:r>
              <a:rPr lang="en-IN" baseline="0"/>
              <a:t> a/c to Protection/Care sales over years</a:t>
            </a:r>
            <a:endParaRPr lang="en-IN"/>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01694846283748E-2"/>
          <c:y val="0.17671505999791928"/>
          <c:w val="0.72952694866630041"/>
          <c:h val="0.6502824812165533"/>
        </c:manualLayout>
      </c:layout>
      <c:barChart>
        <c:barDir val="col"/>
        <c:grouping val="clustered"/>
        <c:varyColors val="0"/>
        <c:ser>
          <c:idx val="0"/>
          <c:order val="0"/>
          <c:tx>
            <c:strRef>
              <c:f>'pivot perf care'!$B$3</c:f>
              <c:strCache>
                <c:ptCount val="1"/>
                <c:pt idx="0">
                  <c:v>Sum of 2022</c:v>
                </c:pt>
              </c:strCache>
            </c:strRef>
          </c:tx>
          <c:spPr>
            <a:solidFill>
              <a:schemeClr val="accent1"/>
            </a:solidFill>
            <a:ln>
              <a:noFill/>
            </a:ln>
            <a:effectLst/>
          </c:spPr>
          <c:invertIfNegative val="0"/>
          <c:cat>
            <c:strRef>
              <c:f>'pivot perf care'!$A$4:$A$10</c:f>
              <c:strCache>
                <c:ptCount val="6"/>
                <c:pt idx="0">
                  <c:v>PH BALANCED</c:v>
                </c:pt>
                <c:pt idx="1">
                  <c:v>ALCOHOL FREE</c:v>
                </c:pt>
                <c:pt idx="2">
                  <c:v>WITHOUT EXTRA PROTECTCARE INDICATION</c:v>
                </c:pt>
                <c:pt idx="3">
                  <c:v>SENSITIVE</c:v>
                </c:pt>
                <c:pt idx="4">
                  <c:v>HYPOALLERGENIC</c:v>
                </c:pt>
                <c:pt idx="5">
                  <c:v>ALCOHOL FREE &amp; HYPOALLERGENIC</c:v>
                </c:pt>
              </c:strCache>
            </c:strRef>
          </c:cat>
          <c:val>
            <c:numRef>
              <c:f>'pivot perf care'!$B$4:$B$10</c:f>
              <c:numCache>
                <c:formatCode>General</c:formatCode>
                <c:ptCount val="6"/>
                <c:pt idx="0">
                  <c:v>6105.1386999999986</c:v>
                </c:pt>
                <c:pt idx="1">
                  <c:v>2276.8304999999996</c:v>
                </c:pt>
                <c:pt idx="2">
                  <c:v>1969.4134999999999</c:v>
                </c:pt>
                <c:pt idx="3">
                  <c:v>1370.6339999999998</c:v>
                </c:pt>
                <c:pt idx="4">
                  <c:v>93.788700000000006</c:v>
                </c:pt>
                <c:pt idx="5">
                  <c:v>64.353499999999997</c:v>
                </c:pt>
              </c:numCache>
            </c:numRef>
          </c:val>
          <c:extLst>
            <c:ext xmlns:c16="http://schemas.microsoft.com/office/drawing/2014/chart" uri="{C3380CC4-5D6E-409C-BE32-E72D297353CC}">
              <c16:uniqueId val="{00000000-84DF-41A6-88CD-D73308C9832A}"/>
            </c:ext>
          </c:extLst>
        </c:ser>
        <c:ser>
          <c:idx val="1"/>
          <c:order val="1"/>
          <c:tx>
            <c:strRef>
              <c:f>'pivot perf care'!$C$3</c:f>
              <c:strCache>
                <c:ptCount val="1"/>
                <c:pt idx="0">
                  <c:v>Sum of 2023</c:v>
                </c:pt>
              </c:strCache>
            </c:strRef>
          </c:tx>
          <c:spPr>
            <a:solidFill>
              <a:schemeClr val="accent3"/>
            </a:solidFill>
            <a:ln>
              <a:noFill/>
            </a:ln>
            <a:effectLst/>
          </c:spPr>
          <c:invertIfNegative val="0"/>
          <c:cat>
            <c:strRef>
              <c:f>'pivot perf care'!$A$4:$A$10</c:f>
              <c:strCache>
                <c:ptCount val="6"/>
                <c:pt idx="0">
                  <c:v>PH BALANCED</c:v>
                </c:pt>
                <c:pt idx="1">
                  <c:v>ALCOHOL FREE</c:v>
                </c:pt>
                <c:pt idx="2">
                  <c:v>WITHOUT EXTRA PROTECTCARE INDICATION</c:v>
                </c:pt>
                <c:pt idx="3">
                  <c:v>SENSITIVE</c:v>
                </c:pt>
                <c:pt idx="4">
                  <c:v>HYPOALLERGENIC</c:v>
                </c:pt>
                <c:pt idx="5">
                  <c:v>ALCOHOL FREE &amp; HYPOALLERGENIC</c:v>
                </c:pt>
              </c:strCache>
            </c:strRef>
          </c:cat>
          <c:val>
            <c:numRef>
              <c:f>'pivot perf care'!$C$4:$C$10</c:f>
              <c:numCache>
                <c:formatCode>General</c:formatCode>
                <c:ptCount val="6"/>
                <c:pt idx="0">
                  <c:v>6002.9082000000008</c:v>
                </c:pt>
                <c:pt idx="1">
                  <c:v>2758.5756000000001</c:v>
                </c:pt>
                <c:pt idx="2">
                  <c:v>1850.6268000000005</c:v>
                </c:pt>
                <c:pt idx="3">
                  <c:v>1559.4185</c:v>
                </c:pt>
                <c:pt idx="4">
                  <c:v>57.919700000000006</c:v>
                </c:pt>
                <c:pt idx="5">
                  <c:v>35.398600000000002</c:v>
                </c:pt>
              </c:numCache>
            </c:numRef>
          </c:val>
          <c:extLst>
            <c:ext xmlns:c16="http://schemas.microsoft.com/office/drawing/2014/chart" uri="{C3380CC4-5D6E-409C-BE32-E72D297353CC}">
              <c16:uniqueId val="{00000001-84DF-41A6-88CD-D73308C9832A}"/>
            </c:ext>
          </c:extLst>
        </c:ser>
        <c:ser>
          <c:idx val="2"/>
          <c:order val="2"/>
          <c:tx>
            <c:strRef>
              <c:f>'pivot perf care'!$D$3</c:f>
              <c:strCache>
                <c:ptCount val="1"/>
                <c:pt idx="0">
                  <c:v>Sum of YTD 2024</c:v>
                </c:pt>
              </c:strCache>
            </c:strRef>
          </c:tx>
          <c:spPr>
            <a:solidFill>
              <a:schemeClr val="accent5"/>
            </a:solidFill>
            <a:ln>
              <a:noFill/>
            </a:ln>
            <a:effectLst/>
          </c:spPr>
          <c:invertIfNegative val="0"/>
          <c:cat>
            <c:strRef>
              <c:f>'pivot perf care'!$A$4:$A$10</c:f>
              <c:strCache>
                <c:ptCount val="6"/>
                <c:pt idx="0">
                  <c:v>PH BALANCED</c:v>
                </c:pt>
                <c:pt idx="1">
                  <c:v>ALCOHOL FREE</c:v>
                </c:pt>
                <c:pt idx="2">
                  <c:v>WITHOUT EXTRA PROTECTCARE INDICATION</c:v>
                </c:pt>
                <c:pt idx="3">
                  <c:v>SENSITIVE</c:v>
                </c:pt>
                <c:pt idx="4">
                  <c:v>HYPOALLERGENIC</c:v>
                </c:pt>
                <c:pt idx="5">
                  <c:v>ALCOHOL FREE &amp; HYPOALLERGENIC</c:v>
                </c:pt>
              </c:strCache>
            </c:strRef>
          </c:cat>
          <c:val>
            <c:numRef>
              <c:f>'pivot perf care'!$D$4:$D$10</c:f>
              <c:numCache>
                <c:formatCode>General</c:formatCode>
                <c:ptCount val="6"/>
                <c:pt idx="0">
                  <c:v>3218.6821000000004</c:v>
                </c:pt>
                <c:pt idx="1">
                  <c:v>1608.7238000000002</c:v>
                </c:pt>
                <c:pt idx="2">
                  <c:v>981.24129999999991</c:v>
                </c:pt>
                <c:pt idx="3">
                  <c:v>731.44569999999999</c:v>
                </c:pt>
                <c:pt idx="4">
                  <c:v>35.799300000000002</c:v>
                </c:pt>
                <c:pt idx="5">
                  <c:v>14.159099999999999</c:v>
                </c:pt>
              </c:numCache>
            </c:numRef>
          </c:val>
          <c:extLst>
            <c:ext xmlns:c16="http://schemas.microsoft.com/office/drawing/2014/chart" uri="{C3380CC4-5D6E-409C-BE32-E72D297353CC}">
              <c16:uniqueId val="{00000002-84DF-41A6-88CD-D73308C9832A}"/>
            </c:ext>
          </c:extLst>
        </c:ser>
        <c:dLbls>
          <c:showLegendKey val="0"/>
          <c:showVal val="0"/>
          <c:showCatName val="0"/>
          <c:showSerName val="0"/>
          <c:showPercent val="0"/>
          <c:showBubbleSize val="0"/>
        </c:dLbls>
        <c:gapWidth val="0"/>
        <c:axId val="679445440"/>
        <c:axId val="679444480"/>
      </c:barChart>
      <c:lineChart>
        <c:grouping val="standard"/>
        <c:varyColors val="0"/>
        <c:ser>
          <c:idx val="3"/>
          <c:order val="3"/>
          <c:tx>
            <c:strRef>
              <c:f>'pivot perf care'!$E$3</c:f>
              <c:strCache>
                <c:ptCount val="1"/>
                <c:pt idx="0">
                  <c:v>Sum of Total Value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perf care'!$A$4:$A$10</c:f>
              <c:strCache>
                <c:ptCount val="6"/>
                <c:pt idx="0">
                  <c:v>PH BALANCED</c:v>
                </c:pt>
                <c:pt idx="1">
                  <c:v>ALCOHOL FREE</c:v>
                </c:pt>
                <c:pt idx="2">
                  <c:v>WITHOUT EXTRA PROTECTCARE INDICATION</c:v>
                </c:pt>
                <c:pt idx="3">
                  <c:v>SENSITIVE</c:v>
                </c:pt>
                <c:pt idx="4">
                  <c:v>HYPOALLERGENIC</c:v>
                </c:pt>
                <c:pt idx="5">
                  <c:v>ALCOHOL FREE &amp; HYPOALLERGENIC</c:v>
                </c:pt>
              </c:strCache>
            </c:strRef>
          </c:cat>
          <c:val>
            <c:numRef>
              <c:f>'pivot perf care'!$E$4:$E$10</c:f>
              <c:numCache>
                <c:formatCode>General</c:formatCode>
                <c:ptCount val="6"/>
                <c:pt idx="0">
                  <c:v>15326.72900000001</c:v>
                </c:pt>
                <c:pt idx="1">
                  <c:v>6644.1299000000026</c:v>
                </c:pt>
                <c:pt idx="2">
                  <c:v>4801.2816000000003</c:v>
                </c:pt>
                <c:pt idx="3">
                  <c:v>3661.4982000000005</c:v>
                </c:pt>
                <c:pt idx="4">
                  <c:v>187.5077</c:v>
                </c:pt>
                <c:pt idx="5">
                  <c:v>113.91119999999999</c:v>
                </c:pt>
              </c:numCache>
            </c:numRef>
          </c:val>
          <c:smooth val="0"/>
          <c:extLst>
            <c:ext xmlns:c16="http://schemas.microsoft.com/office/drawing/2014/chart" uri="{C3380CC4-5D6E-409C-BE32-E72D297353CC}">
              <c16:uniqueId val="{00000003-84DF-41A6-88CD-D73308C9832A}"/>
            </c:ext>
          </c:extLst>
        </c:ser>
        <c:dLbls>
          <c:showLegendKey val="0"/>
          <c:showVal val="0"/>
          <c:showCatName val="0"/>
          <c:showSerName val="0"/>
          <c:showPercent val="0"/>
          <c:showBubbleSize val="0"/>
        </c:dLbls>
        <c:marker val="1"/>
        <c:smooth val="0"/>
        <c:axId val="1547029616"/>
        <c:axId val="1547038736"/>
      </c:lineChart>
      <c:catAx>
        <c:axId val="67944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44480"/>
        <c:crosses val="autoZero"/>
        <c:auto val="1"/>
        <c:lblAlgn val="ctr"/>
        <c:lblOffset val="100"/>
        <c:noMultiLvlLbl val="0"/>
      </c:catAx>
      <c:valAx>
        <c:axId val="67944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45440"/>
        <c:crosses val="autoZero"/>
        <c:crossBetween val="between"/>
      </c:valAx>
      <c:valAx>
        <c:axId val="15470387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029616"/>
        <c:crosses val="max"/>
        <c:crossBetween val="between"/>
      </c:valAx>
      <c:catAx>
        <c:axId val="1547029616"/>
        <c:scaling>
          <c:orientation val="minMax"/>
        </c:scaling>
        <c:delete val="1"/>
        <c:axPos val="b"/>
        <c:numFmt formatCode="General" sourceLinked="1"/>
        <c:majorTickMark val="out"/>
        <c:minorTickMark val="none"/>
        <c:tickLblPos val="nextTo"/>
        <c:crossAx val="15470387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0</xdr:col>
      <xdr:colOff>47625</xdr:colOff>
      <xdr:row>0</xdr:row>
      <xdr:rowOff>38098</xdr:rowOff>
    </xdr:from>
    <xdr:to>
      <xdr:col>1</xdr:col>
      <xdr:colOff>333375</xdr:colOff>
      <xdr:row>4</xdr:row>
      <xdr:rowOff>76199</xdr:rowOff>
    </xdr:to>
    <mc:AlternateContent xmlns:mc="http://schemas.openxmlformats.org/markup-compatibility/2006" xmlns:sle15="http://schemas.microsoft.com/office/drawing/2012/slicer">
      <mc:Choice Requires="sle15">
        <xdr:graphicFrame macro="">
          <xdr:nvGraphicFramePr>
            <xdr:cNvPr id="4" name="BRAND 1">
              <a:extLst>
                <a:ext uri="{FF2B5EF4-FFF2-40B4-BE49-F238E27FC236}">
                  <a16:creationId xmlns:a16="http://schemas.microsoft.com/office/drawing/2014/main" id="{DDB4A2A5-2D0A-CE9B-0A83-844E5908819D}"/>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47625" y="38098"/>
              <a:ext cx="3724275" cy="64770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523875</xdr:colOff>
      <xdr:row>9</xdr:row>
      <xdr:rowOff>104775</xdr:rowOff>
    </xdr:from>
    <xdr:to>
      <xdr:col>15</xdr:col>
      <xdr:colOff>523875</xdr:colOff>
      <xdr:row>14</xdr:row>
      <xdr:rowOff>47624</xdr:rowOff>
    </xdr:to>
    <mc:AlternateContent xmlns:mc="http://schemas.openxmlformats.org/markup-compatibility/2006" xmlns:sle15="http://schemas.microsoft.com/office/drawing/2012/slicer">
      <mc:Choice Requires="sle15">
        <xdr:graphicFrame macro="">
          <xdr:nvGraphicFramePr>
            <xdr:cNvPr id="5" name="PACKAGE TYPE 1">
              <a:extLst>
                <a:ext uri="{FF2B5EF4-FFF2-40B4-BE49-F238E27FC236}">
                  <a16:creationId xmlns:a16="http://schemas.microsoft.com/office/drawing/2014/main" id="{3DADE464-5E41-4D66-7057-34263D0137CC}"/>
                </a:ext>
              </a:extLst>
            </xdr:cNvPr>
            <xdr:cNvGraphicFramePr/>
          </xdr:nvGraphicFramePr>
          <xdr:xfrm>
            <a:off x="0" y="0"/>
            <a:ext cx="0" cy="0"/>
          </xdr:xfrm>
          <a:graphic>
            <a:graphicData uri="http://schemas.microsoft.com/office/drawing/2010/slicer">
              <sle:slicer xmlns:sle="http://schemas.microsoft.com/office/drawing/2010/slicer" name="PACKAGE TYPE 1"/>
            </a:graphicData>
          </a:graphic>
        </xdr:graphicFrame>
      </mc:Choice>
      <mc:Fallback xmlns="">
        <xdr:sp macro="" textlink="">
          <xdr:nvSpPr>
            <xdr:cNvPr id="0" name=""/>
            <xdr:cNvSpPr>
              <a:spLocks noTextEdit="1"/>
            </xdr:cNvSpPr>
          </xdr:nvSpPr>
          <xdr:spPr>
            <a:xfrm>
              <a:off x="15449550" y="1914525"/>
              <a:ext cx="1828800" cy="8762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371477</xdr:colOff>
      <xdr:row>0</xdr:row>
      <xdr:rowOff>28576</xdr:rowOff>
    </xdr:from>
    <xdr:to>
      <xdr:col>8</xdr:col>
      <xdr:colOff>438150</xdr:colOff>
      <xdr:row>5</xdr:row>
      <xdr:rowOff>123826</xdr:rowOff>
    </xdr:to>
    <mc:AlternateContent xmlns:mc="http://schemas.openxmlformats.org/markup-compatibility/2006" xmlns:sle15="http://schemas.microsoft.com/office/drawing/2012/slicer">
      <mc:Choice Requires="sle15">
        <xdr:graphicFrame macro="">
          <xdr:nvGraphicFramePr>
            <xdr:cNvPr id="6" name="PROTECTION / CARE">
              <a:extLst>
                <a:ext uri="{FF2B5EF4-FFF2-40B4-BE49-F238E27FC236}">
                  <a16:creationId xmlns:a16="http://schemas.microsoft.com/office/drawing/2014/main" id="{C16AF754-EEA3-96FC-FCE7-EC36894D4808}"/>
                </a:ext>
              </a:extLst>
            </xdr:cNvPr>
            <xdr:cNvGraphicFramePr/>
          </xdr:nvGraphicFramePr>
          <xdr:xfrm>
            <a:off x="0" y="0"/>
            <a:ext cx="0" cy="0"/>
          </xdr:xfrm>
          <a:graphic>
            <a:graphicData uri="http://schemas.microsoft.com/office/drawing/2010/slicer">
              <sle:slicer xmlns:sle="http://schemas.microsoft.com/office/drawing/2010/slicer" name="PROTECTION / CARE"/>
            </a:graphicData>
          </a:graphic>
        </xdr:graphicFrame>
      </mc:Choice>
      <mc:Fallback xmlns="">
        <xdr:sp macro="" textlink="">
          <xdr:nvSpPr>
            <xdr:cNvPr id="0" name=""/>
            <xdr:cNvSpPr>
              <a:spLocks noTextEdit="1"/>
            </xdr:cNvSpPr>
          </xdr:nvSpPr>
          <xdr:spPr>
            <a:xfrm>
              <a:off x="3810002" y="28576"/>
              <a:ext cx="5362574" cy="8572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600073</xdr:colOff>
      <xdr:row>9</xdr:row>
      <xdr:rowOff>95251</xdr:rowOff>
    </xdr:from>
    <xdr:to>
      <xdr:col>21</xdr:col>
      <xdr:colOff>57150</xdr:colOff>
      <xdr:row>21</xdr:row>
      <xdr:rowOff>57150</xdr:rowOff>
    </xdr:to>
    <mc:AlternateContent xmlns:mc="http://schemas.openxmlformats.org/markup-compatibility/2006" xmlns:sle15="http://schemas.microsoft.com/office/drawing/2012/slicer">
      <mc:Choice Requires="sle15">
        <xdr:graphicFrame macro="">
          <xdr:nvGraphicFramePr>
            <xdr:cNvPr id="7" name="PACKAGE SIZE 1">
              <a:extLst>
                <a:ext uri="{FF2B5EF4-FFF2-40B4-BE49-F238E27FC236}">
                  <a16:creationId xmlns:a16="http://schemas.microsoft.com/office/drawing/2014/main" id="{FB4519C4-B5E8-D57A-790E-7F88FCC92C72}"/>
                </a:ext>
              </a:extLst>
            </xdr:cNvPr>
            <xdr:cNvGraphicFramePr/>
          </xdr:nvGraphicFramePr>
          <xdr:xfrm>
            <a:off x="0" y="0"/>
            <a:ext cx="0" cy="0"/>
          </xdr:xfrm>
          <a:graphic>
            <a:graphicData uri="http://schemas.microsoft.com/office/drawing/2010/slicer">
              <sle:slicer xmlns:sle="http://schemas.microsoft.com/office/drawing/2010/slicer" name="PACKAGE SIZE 1"/>
            </a:graphicData>
          </a:graphic>
        </xdr:graphicFrame>
      </mc:Choice>
      <mc:Fallback xmlns="">
        <xdr:sp macro="" textlink="">
          <xdr:nvSpPr>
            <xdr:cNvPr id="0" name=""/>
            <xdr:cNvSpPr>
              <a:spLocks noTextEdit="1"/>
            </xdr:cNvSpPr>
          </xdr:nvSpPr>
          <xdr:spPr>
            <a:xfrm>
              <a:off x="17354548" y="1905001"/>
              <a:ext cx="3114677" cy="221932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452438</xdr:colOff>
      <xdr:row>0</xdr:row>
      <xdr:rowOff>152400</xdr:rowOff>
    </xdr:from>
    <xdr:to>
      <xdr:col>22</xdr:col>
      <xdr:colOff>390526</xdr:colOff>
      <xdr:row>12</xdr:row>
      <xdr:rowOff>47624</xdr:rowOff>
    </xdr:to>
    <xdr:graphicFrame macro="">
      <xdr:nvGraphicFramePr>
        <xdr:cNvPr id="2" name="Chart 1">
          <a:extLst>
            <a:ext uri="{FF2B5EF4-FFF2-40B4-BE49-F238E27FC236}">
              <a16:creationId xmlns:a16="http://schemas.microsoft.com/office/drawing/2014/main" id="{04A4CC55-0D1C-CB81-3B3C-1D539F9A2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457200</xdr:colOff>
      <xdr:row>13</xdr:row>
      <xdr:rowOff>66675</xdr:rowOff>
    </xdr:from>
    <xdr:to>
      <xdr:col>23</xdr:col>
      <xdr:colOff>38100</xdr:colOff>
      <xdr:row>19</xdr:row>
      <xdr:rowOff>123825</xdr:rowOff>
    </xdr:to>
    <xdr:sp macro="" textlink="">
      <xdr:nvSpPr>
        <xdr:cNvPr id="3" name="Rectangle 2">
          <a:extLst>
            <a:ext uri="{FF2B5EF4-FFF2-40B4-BE49-F238E27FC236}">
              <a16:creationId xmlns:a16="http://schemas.microsoft.com/office/drawing/2014/main" id="{C70F4990-F964-E309-1D23-04F3FA51193B}"/>
            </a:ext>
          </a:extLst>
        </xdr:cNvPr>
        <xdr:cNvSpPr/>
      </xdr:nvSpPr>
      <xdr:spPr>
        <a:xfrm>
          <a:off x="12677775" y="2590800"/>
          <a:ext cx="4829175" cy="120015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cap="none" spc="0">
              <a:ln>
                <a:noFill/>
              </a:ln>
              <a:solidFill>
                <a:schemeClr val="tx1"/>
              </a:solidFill>
              <a:effectLst/>
            </a:rPr>
            <a:t>Value</a:t>
          </a:r>
          <a:r>
            <a:rPr lang="en-IN" sz="1100" b="0" cap="none" spc="0" baseline="0">
              <a:ln>
                <a:noFill/>
              </a:ln>
              <a:solidFill>
                <a:schemeClr val="tx1"/>
              </a:solidFill>
              <a:effectLst/>
            </a:rPr>
            <a:t> growth = +3.23 % (1016.06 K Gain)</a:t>
          </a:r>
        </a:p>
        <a:p>
          <a:pPr algn="l"/>
          <a:r>
            <a:rPr lang="en-IN" sz="1100" b="0" cap="none" spc="0" baseline="0">
              <a:ln>
                <a:noFill/>
              </a:ln>
              <a:solidFill>
                <a:schemeClr val="tx1"/>
              </a:solidFill>
              <a:effectLst/>
            </a:rPr>
            <a:t>Volume growth = -0.5 %  (1195 M              1188 M units )</a:t>
          </a:r>
        </a:p>
        <a:p>
          <a:pPr algn="l"/>
          <a:endParaRPr lang="en-IN" sz="1100" b="0" cap="none" spc="0" baseline="0">
            <a:ln>
              <a:noFill/>
            </a:ln>
            <a:solidFill>
              <a:schemeClr val="tx1"/>
            </a:solidFill>
            <a:effectLst/>
          </a:endParaRPr>
        </a:p>
        <a:p>
          <a:pPr algn="l"/>
          <a:r>
            <a:rPr lang="en-IN" sz="1100" b="0" cap="none" spc="0" baseline="0">
              <a:ln>
                <a:noFill/>
              </a:ln>
              <a:solidFill>
                <a:schemeClr val="tx1"/>
              </a:solidFill>
              <a:effectLst/>
            </a:rPr>
            <a:t>Driver : Price increases  (Value Up despite volume down )</a:t>
          </a:r>
        </a:p>
        <a:p>
          <a:pPr algn="l"/>
          <a:endParaRPr lang="en-IN" sz="1100" b="0" cap="none" spc="0" baseline="0">
            <a:ln>
              <a:noFill/>
            </a:ln>
            <a:solidFill>
              <a:schemeClr val="tx1"/>
            </a:solidFill>
            <a:effectLst/>
          </a:endParaRPr>
        </a:p>
        <a:p>
          <a:pPr algn="l"/>
          <a:r>
            <a:rPr lang="en-IN" sz="1100" b="0" cap="none" spc="0" baseline="0">
              <a:ln>
                <a:noFill/>
              </a:ln>
              <a:solidFill>
                <a:schemeClr val="tx1"/>
              </a:solidFill>
              <a:effectLst/>
            </a:rPr>
            <a:t>Vigalife's steady growth offset fulya decline.</a:t>
          </a:r>
          <a:endParaRPr lang="en-IN" sz="1100" b="0" cap="none" spc="0">
            <a:ln>
              <a:noFill/>
            </a:ln>
            <a:solidFill>
              <a:schemeClr val="tx1"/>
            </a:solidFill>
            <a:effectLst/>
          </a:endParaRPr>
        </a:p>
      </xdr:txBody>
    </xdr:sp>
    <xdr:clientData/>
  </xdr:twoCellAnchor>
  <xdr:twoCellAnchor>
    <xdr:from>
      <xdr:col>18</xdr:col>
      <xdr:colOff>381000</xdr:colOff>
      <xdr:row>15</xdr:row>
      <xdr:rowOff>0</xdr:rowOff>
    </xdr:from>
    <xdr:to>
      <xdr:col>19</xdr:col>
      <xdr:colOff>9525</xdr:colOff>
      <xdr:row>15</xdr:row>
      <xdr:rowOff>9525</xdr:rowOff>
    </xdr:to>
    <xdr:cxnSp macro="">
      <xdr:nvCxnSpPr>
        <xdr:cNvPr id="5" name="Straight Arrow Connector 4">
          <a:extLst>
            <a:ext uri="{FF2B5EF4-FFF2-40B4-BE49-F238E27FC236}">
              <a16:creationId xmlns:a16="http://schemas.microsoft.com/office/drawing/2014/main" id="{D4925C8E-452D-7A9E-C1D2-C8D447D14636}"/>
            </a:ext>
          </a:extLst>
        </xdr:cNvPr>
        <xdr:cNvCxnSpPr/>
      </xdr:nvCxnSpPr>
      <xdr:spPr>
        <a:xfrm>
          <a:off x="14801850" y="2905125"/>
          <a:ext cx="2381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180975</xdr:colOff>
      <xdr:row>0</xdr:row>
      <xdr:rowOff>76200</xdr:rowOff>
    </xdr:from>
    <xdr:to>
      <xdr:col>10</xdr:col>
      <xdr:colOff>942975</xdr:colOff>
      <xdr:row>13</xdr:row>
      <xdr:rowOff>47625</xdr:rowOff>
    </xdr:to>
    <xdr:graphicFrame macro="">
      <xdr:nvGraphicFramePr>
        <xdr:cNvPr id="4" name="Chart 3">
          <a:extLst>
            <a:ext uri="{FF2B5EF4-FFF2-40B4-BE49-F238E27FC236}">
              <a16:creationId xmlns:a16="http://schemas.microsoft.com/office/drawing/2014/main" id="{0E9363A4-1FA5-B73C-06C2-BE20B9379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161925</xdr:colOff>
      <xdr:row>14</xdr:row>
      <xdr:rowOff>9525</xdr:rowOff>
    </xdr:from>
    <xdr:to>
      <xdr:col>10</xdr:col>
      <xdr:colOff>1095375</xdr:colOff>
      <xdr:row>28</xdr:row>
      <xdr:rowOff>57150</xdr:rowOff>
    </xdr:to>
    <xdr:graphicFrame macro="">
      <xdr:nvGraphicFramePr>
        <xdr:cNvPr id="3" name="Chart 1">
          <a:extLst>
            <a:ext uri="{FF2B5EF4-FFF2-40B4-BE49-F238E27FC236}">
              <a16:creationId xmlns:a16="http://schemas.microsoft.com/office/drawing/2014/main" id="{477A8E25-26C7-7143-7E90-2E79FCD5B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57150</xdr:colOff>
      <xdr:row>10</xdr:row>
      <xdr:rowOff>133348</xdr:rowOff>
    </xdr:from>
    <xdr:ext cx="2628900" cy="264560"/>
    <xdr:sp macro="" textlink="">
      <xdr:nvSpPr>
        <xdr:cNvPr id="5" name="TextBox 4">
          <a:extLst>
            <a:ext uri="{FF2B5EF4-FFF2-40B4-BE49-F238E27FC236}">
              <a16:creationId xmlns:a16="http://schemas.microsoft.com/office/drawing/2014/main" id="{F676746A-7799-2196-6653-B872001517F2}"/>
            </a:ext>
          </a:extLst>
        </xdr:cNvPr>
        <xdr:cNvSpPr txBox="1"/>
      </xdr:nvSpPr>
      <xdr:spPr>
        <a:xfrm>
          <a:off x="1352550" y="2047873"/>
          <a:ext cx="2628900" cy="264560"/>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Conclusion: Vigalife</a:t>
          </a:r>
          <a:r>
            <a:rPr lang="en-IN" sz="1100" baseline="0"/>
            <a:t> dominates the market</a:t>
          </a:r>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6</xdr:col>
      <xdr:colOff>342901</xdr:colOff>
      <xdr:row>0</xdr:row>
      <xdr:rowOff>0</xdr:rowOff>
    </xdr:from>
    <xdr:to>
      <xdr:col>10</xdr:col>
      <xdr:colOff>1076325</xdr:colOff>
      <xdr:row>16</xdr:row>
      <xdr:rowOff>171451</xdr:rowOff>
    </xdr:to>
    <xdr:graphicFrame macro="">
      <xdr:nvGraphicFramePr>
        <xdr:cNvPr id="5" name="Chart 4">
          <a:extLst>
            <a:ext uri="{FF2B5EF4-FFF2-40B4-BE49-F238E27FC236}">
              <a16:creationId xmlns:a16="http://schemas.microsoft.com/office/drawing/2014/main" id="{128A73F9-AEA4-5BA7-3244-9F26069BC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447675</xdr:colOff>
      <xdr:row>17</xdr:row>
      <xdr:rowOff>104775</xdr:rowOff>
    </xdr:from>
    <xdr:to>
      <xdr:col>10</xdr:col>
      <xdr:colOff>1047751</xdr:colOff>
      <xdr:row>32</xdr:row>
      <xdr:rowOff>0</xdr:rowOff>
    </xdr:to>
    <xdr:graphicFrame macro="">
      <xdr:nvGraphicFramePr>
        <xdr:cNvPr id="2" name="Chart 1">
          <a:extLst>
            <a:ext uri="{FF2B5EF4-FFF2-40B4-BE49-F238E27FC236}">
              <a16:creationId xmlns:a16="http://schemas.microsoft.com/office/drawing/2014/main" id="{432310E6-6B27-FCEA-685E-684E7FBBD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152400</xdr:colOff>
      <xdr:row>12</xdr:row>
      <xdr:rowOff>66675</xdr:rowOff>
    </xdr:from>
    <xdr:ext cx="4695516" cy="264560"/>
    <xdr:sp macro="" textlink="">
      <xdr:nvSpPr>
        <xdr:cNvPr id="3" name="TextBox 2">
          <a:extLst>
            <a:ext uri="{FF2B5EF4-FFF2-40B4-BE49-F238E27FC236}">
              <a16:creationId xmlns:a16="http://schemas.microsoft.com/office/drawing/2014/main" id="{623F2547-066F-4436-9CCC-972F83A68326}"/>
            </a:ext>
          </a:extLst>
        </xdr:cNvPr>
        <xdr:cNvSpPr txBox="1"/>
      </xdr:nvSpPr>
      <xdr:spPr>
        <a:xfrm>
          <a:off x="2114550" y="2371725"/>
          <a:ext cx="4695516" cy="264560"/>
        </a:xfrm>
        <a:prstGeom prst="rect">
          <a:avLst/>
        </a:prstGeom>
        <a:solidFill>
          <a:schemeClr val="accent4"/>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Conclusion: BABY CREMA Brand</a:t>
          </a:r>
          <a:r>
            <a:rPr lang="en-IN" sz="1100" baseline="0"/>
            <a:t> that </a:t>
          </a:r>
          <a:r>
            <a:rPr lang="en-IN" sz="1100"/>
            <a:t>dominates</a:t>
          </a:r>
          <a:r>
            <a:rPr lang="en-IN" sz="1100" baseline="0"/>
            <a:t> market in sales&amp; volume wise.</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4</xdr:col>
      <xdr:colOff>28575</xdr:colOff>
      <xdr:row>13</xdr:row>
      <xdr:rowOff>180975</xdr:rowOff>
    </xdr:from>
    <xdr:ext cx="3467100" cy="953466"/>
    <xdr:sp macro="" textlink="">
      <xdr:nvSpPr>
        <xdr:cNvPr id="5" name="TextBox 4">
          <a:extLst>
            <a:ext uri="{FF2B5EF4-FFF2-40B4-BE49-F238E27FC236}">
              <a16:creationId xmlns:a16="http://schemas.microsoft.com/office/drawing/2014/main" id="{48ED6006-686D-42D9-B8A0-24D55F874FE5}"/>
            </a:ext>
          </a:extLst>
        </xdr:cNvPr>
        <xdr:cNvSpPr txBox="1"/>
      </xdr:nvSpPr>
      <xdr:spPr>
        <a:xfrm>
          <a:off x="3190875" y="2762250"/>
          <a:ext cx="3467100" cy="953466"/>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Conclusion: Package size 72 &amp; 120 Dominates Sales</a:t>
          </a:r>
        </a:p>
        <a:p>
          <a:r>
            <a:rPr lang="en-IN" sz="1100"/>
            <a:t>Top 3 sizes are</a:t>
          </a:r>
          <a:r>
            <a:rPr lang="en-IN" sz="1100" baseline="0"/>
            <a:t> size: 72, 120, 64</a:t>
          </a:r>
        </a:p>
        <a:p>
          <a:endParaRPr lang="en-IN" sz="1100" baseline="0"/>
        </a:p>
        <a:p>
          <a:r>
            <a:rPr lang="en-IN" sz="1100" baseline="0"/>
            <a:t>Bag 72 - Major Growth driver</a:t>
          </a:r>
        </a:p>
        <a:p>
          <a:r>
            <a:rPr lang="en-IN" sz="1100" baseline="0"/>
            <a:t>       120 - Strong Performer</a:t>
          </a:r>
        </a:p>
      </xdr:txBody>
    </xdr:sp>
    <xdr:clientData/>
  </xdr:oneCellAnchor>
  <xdr:twoCellAnchor editAs="oneCell">
    <xdr:from>
      <xdr:col>4</xdr:col>
      <xdr:colOff>47625</xdr:colOff>
      <xdr:row>1</xdr:row>
      <xdr:rowOff>0</xdr:rowOff>
    </xdr:from>
    <xdr:to>
      <xdr:col>6</xdr:col>
      <xdr:colOff>981075</xdr:colOff>
      <xdr:row>12</xdr:row>
      <xdr:rowOff>85725</xdr:rowOff>
    </xdr:to>
    <mc:AlternateContent xmlns:mc="http://schemas.openxmlformats.org/markup-compatibility/2006" xmlns:a14="http://schemas.microsoft.com/office/drawing/2010/main">
      <mc:Choice Requires="a14">
        <xdr:graphicFrame macro="">
          <xdr:nvGraphicFramePr>
            <xdr:cNvPr id="3" name="PACKAGE SIZE 2">
              <a:extLst>
                <a:ext uri="{FF2B5EF4-FFF2-40B4-BE49-F238E27FC236}">
                  <a16:creationId xmlns:a16="http://schemas.microsoft.com/office/drawing/2014/main" id="{EA06E9E9-3191-AA2B-0958-FF16B905B8F8}"/>
                </a:ext>
              </a:extLst>
            </xdr:cNvPr>
            <xdr:cNvGraphicFramePr/>
          </xdr:nvGraphicFramePr>
          <xdr:xfrm>
            <a:off x="0" y="0"/>
            <a:ext cx="0" cy="0"/>
          </xdr:xfrm>
          <a:graphic>
            <a:graphicData uri="http://schemas.microsoft.com/office/drawing/2010/slicer">
              <sle:slicer xmlns:sle="http://schemas.microsoft.com/office/drawing/2010/slicer" name="PACKAGE SIZE 2"/>
            </a:graphicData>
          </a:graphic>
        </xdr:graphicFrame>
      </mc:Choice>
      <mc:Fallback xmlns="">
        <xdr:sp macro="" textlink="">
          <xdr:nvSpPr>
            <xdr:cNvPr id="0" name=""/>
            <xdr:cNvSpPr>
              <a:spLocks noTextEdit="1"/>
            </xdr:cNvSpPr>
          </xdr:nvSpPr>
          <xdr:spPr>
            <a:xfrm>
              <a:off x="3209925" y="200025"/>
              <a:ext cx="3143250" cy="2276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133351</xdr:colOff>
      <xdr:row>11</xdr:row>
      <xdr:rowOff>38101</xdr:rowOff>
    </xdr:from>
    <xdr:to>
      <xdr:col>6</xdr:col>
      <xdr:colOff>111151</xdr:colOff>
      <xdr:row>26</xdr:row>
      <xdr:rowOff>179261</xdr:rowOff>
    </xdr:to>
    <xdr:graphicFrame macro="">
      <xdr:nvGraphicFramePr>
        <xdr:cNvPr id="11" name="Chart 10">
          <a:extLst>
            <a:ext uri="{FF2B5EF4-FFF2-40B4-BE49-F238E27FC236}">
              <a16:creationId xmlns:a16="http://schemas.microsoft.com/office/drawing/2014/main" id="{ADB3EA83-D905-2982-14B8-7AF8A2D7F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oneCellAnchor>
    <xdr:from>
      <xdr:col>4</xdr:col>
      <xdr:colOff>1133476</xdr:colOff>
      <xdr:row>0</xdr:row>
      <xdr:rowOff>66675</xdr:rowOff>
    </xdr:from>
    <xdr:ext cx="3152774" cy="264560"/>
    <xdr:sp macro="" textlink="">
      <xdr:nvSpPr>
        <xdr:cNvPr id="15" name="TextBox 14">
          <a:extLst>
            <a:ext uri="{FF2B5EF4-FFF2-40B4-BE49-F238E27FC236}">
              <a16:creationId xmlns:a16="http://schemas.microsoft.com/office/drawing/2014/main" id="{7248496F-EACC-5FB9-FA72-1001DB32A12B}"/>
            </a:ext>
          </a:extLst>
        </xdr:cNvPr>
        <xdr:cNvSpPr txBox="1"/>
      </xdr:nvSpPr>
      <xdr:spPr>
        <a:xfrm>
          <a:off x="6410326" y="66675"/>
          <a:ext cx="3152774" cy="264560"/>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Conclusion:</a:t>
          </a:r>
          <a:r>
            <a:rPr lang="en-IN" sz="1100" baseline="0"/>
            <a:t> PH Balanced sales dominate the market</a:t>
          </a:r>
        </a:p>
      </xdr:txBody>
    </xdr:sp>
    <xdr:clientData/>
  </xdr:oneCellAnchor>
  <xdr:twoCellAnchor editAs="oneCell">
    <xdr:from>
      <xdr:col>12</xdr:col>
      <xdr:colOff>142875</xdr:colOff>
      <xdr:row>0</xdr:row>
      <xdr:rowOff>57150</xdr:rowOff>
    </xdr:from>
    <xdr:to>
      <xdr:col>14</xdr:col>
      <xdr:colOff>333374</xdr:colOff>
      <xdr:row>9</xdr:row>
      <xdr:rowOff>76200</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AFA93D01-09AA-33EC-4CA4-5BAF31E6C5F4}"/>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677400" y="57150"/>
              <a:ext cx="1323974"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371475</xdr:colOff>
      <xdr:row>5</xdr:row>
      <xdr:rowOff>85725</xdr:rowOff>
    </xdr:from>
    <xdr:to>
      <xdr:col>14</xdr:col>
      <xdr:colOff>2200275</xdr:colOff>
      <xdr:row>18</xdr:row>
      <xdr:rowOff>133350</xdr:rowOff>
    </xdr:to>
    <mc:AlternateContent xmlns:mc="http://schemas.openxmlformats.org/markup-compatibility/2006" xmlns:a14="http://schemas.microsoft.com/office/drawing/2010/main">
      <mc:Choice Requires="a14">
        <xdr:graphicFrame macro="">
          <xdr:nvGraphicFramePr>
            <xdr:cNvPr id="3" name="MANUFACTURER2">
              <a:extLst>
                <a:ext uri="{FF2B5EF4-FFF2-40B4-BE49-F238E27FC236}">
                  <a16:creationId xmlns:a16="http://schemas.microsoft.com/office/drawing/2014/main" id="{D9D22091-0D0B-B1D2-DFD9-6F7845B0A5CF}"/>
                </a:ext>
              </a:extLst>
            </xdr:cNvPr>
            <xdr:cNvGraphicFramePr/>
          </xdr:nvGraphicFramePr>
          <xdr:xfrm>
            <a:off x="0" y="0"/>
            <a:ext cx="0" cy="0"/>
          </xdr:xfrm>
          <a:graphic>
            <a:graphicData uri="http://schemas.microsoft.com/office/drawing/2010/slicer">
              <sle:slicer xmlns:sle="http://schemas.microsoft.com/office/drawing/2010/slicer" name="MANUFACTURER2"/>
            </a:graphicData>
          </a:graphic>
        </xdr:graphicFrame>
      </mc:Choice>
      <mc:Fallback xmlns="">
        <xdr:sp macro="" textlink="">
          <xdr:nvSpPr>
            <xdr:cNvPr id="0" name=""/>
            <xdr:cNvSpPr>
              <a:spLocks noTextEdit="1"/>
            </xdr:cNvSpPr>
          </xdr:nvSpPr>
          <xdr:spPr>
            <a:xfrm>
              <a:off x="11039475" y="1057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381000</xdr:colOff>
      <xdr:row>0</xdr:row>
      <xdr:rowOff>57150</xdr:rowOff>
    </xdr:from>
    <xdr:to>
      <xdr:col>14</xdr:col>
      <xdr:colOff>1847849</xdr:colOff>
      <xdr:row>5</xdr:row>
      <xdr:rowOff>47625</xdr:rowOff>
    </xdr:to>
    <mc:AlternateContent xmlns:mc="http://schemas.openxmlformats.org/markup-compatibility/2006" xmlns:a14="http://schemas.microsoft.com/office/drawing/2010/main">
      <mc:Choice Requires="a14">
        <xdr:graphicFrame macro="">
          <xdr:nvGraphicFramePr>
            <xdr:cNvPr id="4" name="Package Type">
              <a:extLst>
                <a:ext uri="{FF2B5EF4-FFF2-40B4-BE49-F238E27FC236}">
                  <a16:creationId xmlns:a16="http://schemas.microsoft.com/office/drawing/2014/main" id="{8C54296D-4909-11B2-C1D2-CDED51684EFC}"/>
                </a:ext>
              </a:extLst>
            </xdr:cNvPr>
            <xdr:cNvGraphicFramePr/>
          </xdr:nvGraphicFramePr>
          <xdr:xfrm>
            <a:off x="0" y="0"/>
            <a:ext cx="0" cy="0"/>
          </xdr:xfrm>
          <a:graphic>
            <a:graphicData uri="http://schemas.microsoft.com/office/drawing/2010/slicer">
              <sle:slicer xmlns:sle="http://schemas.microsoft.com/office/drawing/2010/slicer" name="Package Type"/>
            </a:graphicData>
          </a:graphic>
        </xdr:graphicFrame>
      </mc:Choice>
      <mc:Fallback xmlns="">
        <xdr:sp macro="" textlink="">
          <xdr:nvSpPr>
            <xdr:cNvPr id="0" name=""/>
            <xdr:cNvSpPr>
              <a:spLocks noTextEdit="1"/>
            </xdr:cNvSpPr>
          </xdr:nvSpPr>
          <xdr:spPr>
            <a:xfrm>
              <a:off x="11049000" y="57150"/>
              <a:ext cx="1466849"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xdr:colOff>
      <xdr:row>9</xdr:row>
      <xdr:rowOff>95250</xdr:rowOff>
    </xdr:from>
    <xdr:to>
      <xdr:col>14</xdr:col>
      <xdr:colOff>352425</xdr:colOff>
      <xdr:row>19</xdr:row>
      <xdr:rowOff>180975</xdr:rowOff>
    </xdr:to>
    <mc:AlternateContent xmlns:mc="http://schemas.openxmlformats.org/markup-compatibility/2006" xmlns:a14="http://schemas.microsoft.com/office/drawing/2010/main">
      <mc:Choice Requires="a14">
        <xdr:graphicFrame macro="">
          <xdr:nvGraphicFramePr>
            <xdr:cNvPr id="5" name="Protection/Care">
              <a:extLst>
                <a:ext uri="{FF2B5EF4-FFF2-40B4-BE49-F238E27FC236}">
                  <a16:creationId xmlns:a16="http://schemas.microsoft.com/office/drawing/2014/main" id="{020F9460-0CFE-73EE-1082-D822E40DD7BB}"/>
                </a:ext>
              </a:extLst>
            </xdr:cNvPr>
            <xdr:cNvGraphicFramePr/>
          </xdr:nvGraphicFramePr>
          <xdr:xfrm>
            <a:off x="0" y="0"/>
            <a:ext cx="0" cy="0"/>
          </xdr:xfrm>
          <a:graphic>
            <a:graphicData uri="http://schemas.microsoft.com/office/drawing/2010/slicer">
              <sle:slicer xmlns:sle="http://schemas.microsoft.com/office/drawing/2010/slicer" name="Protection/Care"/>
            </a:graphicData>
          </a:graphic>
        </xdr:graphicFrame>
      </mc:Choice>
      <mc:Fallback xmlns="">
        <xdr:sp macro="" textlink="">
          <xdr:nvSpPr>
            <xdr:cNvPr id="0" name=""/>
            <xdr:cNvSpPr>
              <a:spLocks noTextEdit="1"/>
            </xdr:cNvSpPr>
          </xdr:nvSpPr>
          <xdr:spPr>
            <a:xfrm>
              <a:off x="8591550" y="1828800"/>
              <a:ext cx="2428875"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228600</xdr:colOff>
      <xdr:row>0</xdr:row>
      <xdr:rowOff>133350</xdr:rowOff>
    </xdr:from>
    <xdr:to>
      <xdr:col>12</xdr:col>
      <xdr:colOff>504825</xdr:colOff>
      <xdr:row>15</xdr:row>
      <xdr:rowOff>9525</xdr:rowOff>
    </xdr:to>
    <xdr:graphicFrame macro="">
      <xdr:nvGraphicFramePr>
        <xdr:cNvPr id="2" name="Chart 1">
          <a:extLst>
            <a:ext uri="{FF2B5EF4-FFF2-40B4-BE49-F238E27FC236}">
              <a16:creationId xmlns:a16="http://schemas.microsoft.com/office/drawing/2014/main" id="{51BB7219-F5FC-0509-019A-3A68EEDE8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15</xdr:row>
      <xdr:rowOff>114300</xdr:rowOff>
    </xdr:from>
    <xdr:to>
      <xdr:col>12</xdr:col>
      <xdr:colOff>371475</xdr:colOff>
      <xdr:row>30</xdr:row>
      <xdr:rowOff>0</xdr:rowOff>
    </xdr:to>
    <xdr:graphicFrame macro="">
      <xdr:nvGraphicFramePr>
        <xdr:cNvPr id="3" name="Chart 2">
          <a:extLst>
            <a:ext uri="{FF2B5EF4-FFF2-40B4-BE49-F238E27FC236}">
              <a16:creationId xmlns:a16="http://schemas.microsoft.com/office/drawing/2014/main" id="{F09E7528-5162-5E81-A4C4-75BA94753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447676</xdr:colOff>
      <xdr:row>15</xdr:row>
      <xdr:rowOff>9526</xdr:rowOff>
    </xdr:from>
    <xdr:to>
      <xdr:col>11</xdr:col>
      <xdr:colOff>533400</xdr:colOff>
      <xdr:row>25</xdr:row>
      <xdr:rowOff>111124</xdr:rowOff>
    </xdr:to>
    <xdr:graphicFrame macro="">
      <xdr:nvGraphicFramePr>
        <xdr:cNvPr id="5" name="Chart 4">
          <a:extLst>
            <a:ext uri="{FF2B5EF4-FFF2-40B4-BE49-F238E27FC236}">
              <a16:creationId xmlns:a16="http://schemas.microsoft.com/office/drawing/2014/main" id="{3BE8F80E-95FB-4ECF-AA85-C2E879AA9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15</xdr:row>
      <xdr:rowOff>9527</xdr:rowOff>
    </xdr:from>
    <xdr:to>
      <xdr:col>6</xdr:col>
      <xdr:colOff>380999</xdr:colOff>
      <xdr:row>25</xdr:row>
      <xdr:rowOff>50800</xdr:rowOff>
    </xdr:to>
    <xdr:graphicFrame macro="">
      <xdr:nvGraphicFramePr>
        <xdr:cNvPr id="3" name="Chart 2">
          <a:extLst>
            <a:ext uri="{FF2B5EF4-FFF2-40B4-BE49-F238E27FC236}">
              <a16:creationId xmlns:a16="http://schemas.microsoft.com/office/drawing/2014/main" id="{9F639C9C-7758-4BA6-8880-8A201B9EC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247651</xdr:colOff>
      <xdr:row>5</xdr:row>
      <xdr:rowOff>66676</xdr:rowOff>
    </xdr:from>
    <xdr:to>
      <xdr:col>10</xdr:col>
      <xdr:colOff>28576</xdr:colOff>
      <xdr:row>14</xdr:row>
      <xdr:rowOff>114300</xdr:rowOff>
    </xdr:to>
    <xdr:graphicFrame macro="">
      <xdr:nvGraphicFramePr>
        <xdr:cNvPr id="7" name="Chart 6">
          <a:extLst>
            <a:ext uri="{FF2B5EF4-FFF2-40B4-BE49-F238E27FC236}">
              <a16:creationId xmlns:a16="http://schemas.microsoft.com/office/drawing/2014/main" id="{EDC1B072-EBD7-49F4-8AE5-65629FF3E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104775</xdr:colOff>
      <xdr:row>1</xdr:row>
      <xdr:rowOff>28575</xdr:rowOff>
    </xdr:from>
    <xdr:to>
      <xdr:col>17</xdr:col>
      <xdr:colOff>371474</xdr:colOff>
      <xdr:row>14</xdr:row>
      <xdr:rowOff>161925</xdr:rowOff>
    </xdr:to>
    <xdr:graphicFrame macro="">
      <xdr:nvGraphicFramePr>
        <xdr:cNvPr id="4" name="Chart 3">
          <a:extLst>
            <a:ext uri="{FF2B5EF4-FFF2-40B4-BE49-F238E27FC236}">
              <a16:creationId xmlns:a16="http://schemas.microsoft.com/office/drawing/2014/main" id="{BFF42F4D-CE53-4E63-93A9-B39FC6DA1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fPrintsWithSheet="0"/>
  </xdr:twoCellAnchor>
  <xdr:twoCellAnchor>
    <xdr:from>
      <xdr:col>12</xdr:col>
      <xdr:colOff>1</xdr:colOff>
      <xdr:row>15</xdr:row>
      <xdr:rowOff>0</xdr:rowOff>
    </xdr:from>
    <xdr:to>
      <xdr:col>17</xdr:col>
      <xdr:colOff>400051</xdr:colOff>
      <xdr:row>21</xdr:row>
      <xdr:rowOff>57150</xdr:rowOff>
    </xdr:to>
    <xdr:sp macro="" textlink="">
      <xdr:nvSpPr>
        <xdr:cNvPr id="6" name="Rectangle 5">
          <a:extLst>
            <a:ext uri="{FF2B5EF4-FFF2-40B4-BE49-F238E27FC236}">
              <a16:creationId xmlns:a16="http://schemas.microsoft.com/office/drawing/2014/main" id="{CE27C7CD-9A1E-4D37-A023-E2FC0648E670}"/>
            </a:ext>
          </a:extLst>
        </xdr:cNvPr>
        <xdr:cNvSpPr/>
      </xdr:nvSpPr>
      <xdr:spPr>
        <a:xfrm>
          <a:off x="8572501" y="3086100"/>
          <a:ext cx="3448050" cy="120015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cap="none" spc="0">
              <a:ln>
                <a:noFill/>
              </a:ln>
              <a:solidFill>
                <a:schemeClr val="tx1"/>
              </a:solidFill>
              <a:effectLst/>
            </a:rPr>
            <a:t>Value</a:t>
          </a:r>
          <a:r>
            <a:rPr lang="en-IN" sz="1100" b="0" cap="none" spc="0" baseline="0">
              <a:ln>
                <a:noFill/>
              </a:ln>
              <a:solidFill>
                <a:schemeClr val="tx1"/>
              </a:solidFill>
              <a:effectLst/>
            </a:rPr>
            <a:t> growth = +3.23 % (1016.06 K Gain)</a:t>
          </a:r>
        </a:p>
        <a:p>
          <a:pPr algn="l"/>
          <a:r>
            <a:rPr lang="en-IN" sz="1100" b="0" cap="none" spc="0" baseline="0">
              <a:ln>
                <a:noFill/>
              </a:ln>
              <a:solidFill>
                <a:schemeClr val="tx1"/>
              </a:solidFill>
              <a:effectLst/>
            </a:rPr>
            <a:t>Volume growth = -0.5 %  (1195 M              1188 M units )</a:t>
          </a:r>
        </a:p>
        <a:p>
          <a:pPr algn="l"/>
          <a:endParaRPr lang="en-IN" sz="1100" b="0" cap="none" spc="0" baseline="0">
            <a:ln>
              <a:noFill/>
            </a:ln>
            <a:solidFill>
              <a:schemeClr val="tx1"/>
            </a:solidFill>
            <a:effectLst/>
          </a:endParaRPr>
        </a:p>
        <a:p>
          <a:pPr algn="l"/>
          <a:r>
            <a:rPr lang="en-IN" sz="1100" b="0" cap="none" spc="0" baseline="0">
              <a:ln>
                <a:noFill/>
              </a:ln>
              <a:solidFill>
                <a:schemeClr val="tx1"/>
              </a:solidFill>
              <a:effectLst/>
            </a:rPr>
            <a:t>Driver : Price increases  (Value Up despite volume down )</a:t>
          </a:r>
        </a:p>
        <a:p>
          <a:pPr algn="l"/>
          <a:endParaRPr lang="en-IN" sz="1100" b="0" cap="none" spc="0" baseline="0">
            <a:ln>
              <a:noFill/>
            </a:ln>
            <a:solidFill>
              <a:schemeClr val="tx1"/>
            </a:solidFill>
            <a:effectLst/>
          </a:endParaRPr>
        </a:p>
        <a:p>
          <a:pPr algn="l"/>
          <a:r>
            <a:rPr lang="en-IN" sz="1100" b="0" cap="none" spc="0" baseline="0">
              <a:ln>
                <a:noFill/>
              </a:ln>
              <a:solidFill>
                <a:schemeClr val="tx1"/>
              </a:solidFill>
              <a:effectLst/>
            </a:rPr>
            <a:t>Vigalife's steady growth offset fulya decline.</a:t>
          </a:r>
          <a:endParaRPr lang="en-IN" sz="1100" b="0" cap="none" spc="0">
            <a:ln>
              <a:noFill/>
            </a:ln>
            <a:solidFill>
              <a:schemeClr val="tx1"/>
            </a:solidFill>
            <a:effectLst/>
          </a:endParaRPr>
        </a:p>
      </xdr:txBody>
    </xdr:sp>
    <xdr:clientData/>
  </xdr:twoCellAnchor>
  <xdr:twoCellAnchor>
    <xdr:from>
      <xdr:col>15</xdr:col>
      <xdr:colOff>209550</xdr:colOff>
      <xdr:row>16</xdr:row>
      <xdr:rowOff>114300</xdr:rowOff>
    </xdr:from>
    <xdr:to>
      <xdr:col>15</xdr:col>
      <xdr:colOff>561975</xdr:colOff>
      <xdr:row>16</xdr:row>
      <xdr:rowOff>123825</xdr:rowOff>
    </xdr:to>
    <xdr:cxnSp macro="">
      <xdr:nvCxnSpPr>
        <xdr:cNvPr id="9" name="Straight Arrow Connector 8">
          <a:extLst>
            <a:ext uri="{FF2B5EF4-FFF2-40B4-BE49-F238E27FC236}">
              <a16:creationId xmlns:a16="http://schemas.microsoft.com/office/drawing/2014/main" id="{1C2019B7-AF34-58BB-A8E3-CCFF94E10207}"/>
            </a:ext>
          </a:extLst>
        </xdr:cNvPr>
        <xdr:cNvCxnSpPr/>
      </xdr:nvCxnSpPr>
      <xdr:spPr>
        <a:xfrm flipV="1">
          <a:off x="10610850" y="3390900"/>
          <a:ext cx="3524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66675</xdr:colOff>
      <xdr:row>0</xdr:row>
      <xdr:rowOff>114300</xdr:rowOff>
    </xdr:from>
    <xdr:to>
      <xdr:col>10</xdr:col>
      <xdr:colOff>9525</xdr:colOff>
      <xdr:row>5</xdr:row>
      <xdr:rowOff>57151</xdr:rowOff>
    </xdr:to>
    <xdr:sp macro="" textlink="">
      <xdr:nvSpPr>
        <xdr:cNvPr id="12" name="Rectangle 11">
          <a:extLst>
            <a:ext uri="{FF2B5EF4-FFF2-40B4-BE49-F238E27FC236}">
              <a16:creationId xmlns:a16="http://schemas.microsoft.com/office/drawing/2014/main" id="{18C1AFEB-BA17-4ADF-819F-4EE3EEE934AF}"/>
            </a:ext>
          </a:extLst>
        </xdr:cNvPr>
        <xdr:cNvSpPr/>
      </xdr:nvSpPr>
      <xdr:spPr>
        <a:xfrm>
          <a:off x="4981575" y="114300"/>
          <a:ext cx="2381250" cy="1000126"/>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a:solidFill>
                <a:sysClr val="windowText" lastClr="000000"/>
              </a:solidFill>
              <a:effectLst/>
              <a:latin typeface="+mn-lt"/>
              <a:ea typeface="+mn-ea"/>
              <a:cs typeface="+mn-cs"/>
            </a:rPr>
            <a:t>Conclusion: Package size 72 &amp; 120 Dominates Sales</a:t>
          </a:r>
          <a:endParaRPr lang="en-IN">
            <a:solidFill>
              <a:sysClr val="windowText" lastClr="000000"/>
            </a:solidFill>
            <a:effectLst/>
          </a:endParaRPr>
        </a:p>
        <a:p>
          <a:r>
            <a:rPr lang="en-IN" sz="1100">
              <a:solidFill>
                <a:sysClr val="windowText" lastClr="000000"/>
              </a:solidFill>
              <a:effectLst/>
              <a:latin typeface="+mn-lt"/>
              <a:ea typeface="+mn-ea"/>
              <a:cs typeface="+mn-cs"/>
            </a:rPr>
            <a:t>Top 3 sizes are</a:t>
          </a:r>
          <a:r>
            <a:rPr lang="en-IN" sz="1100" baseline="0">
              <a:solidFill>
                <a:sysClr val="windowText" lastClr="000000"/>
              </a:solidFill>
              <a:effectLst/>
              <a:latin typeface="+mn-lt"/>
              <a:ea typeface="+mn-ea"/>
              <a:cs typeface="+mn-cs"/>
            </a:rPr>
            <a:t> size: 72, 120, 64</a:t>
          </a:r>
          <a:endParaRPr lang="en-IN">
            <a:solidFill>
              <a:sysClr val="windowText" lastClr="000000"/>
            </a:solidFill>
            <a:effectLst/>
          </a:endParaRPr>
        </a:p>
        <a:p>
          <a:r>
            <a:rPr lang="en-IN" sz="1100" baseline="0">
              <a:solidFill>
                <a:sysClr val="windowText" lastClr="000000"/>
              </a:solidFill>
              <a:effectLst/>
              <a:latin typeface="+mn-lt"/>
              <a:ea typeface="+mn-ea"/>
              <a:cs typeface="+mn-cs"/>
            </a:rPr>
            <a:t>Bag 72 - Major Growth driver</a:t>
          </a:r>
          <a:endParaRPr lang="en-IN">
            <a:solidFill>
              <a:sysClr val="windowText" lastClr="000000"/>
            </a:solidFill>
            <a:effectLst/>
          </a:endParaRPr>
        </a:p>
        <a:p>
          <a:r>
            <a:rPr lang="en-IN" sz="1100" baseline="0">
              <a:solidFill>
                <a:sysClr val="windowText" lastClr="000000"/>
              </a:solidFill>
              <a:effectLst/>
              <a:latin typeface="+mn-lt"/>
              <a:ea typeface="+mn-ea"/>
              <a:cs typeface="+mn-cs"/>
            </a:rPr>
            <a:t>       120 - Strong Performer</a:t>
          </a:r>
          <a:endParaRPr lang="en-IN">
            <a:solidFill>
              <a:sysClr val="windowText" lastClr="000000"/>
            </a:solidFill>
            <a:effectLst/>
          </a:endParaRPr>
        </a:p>
        <a:p>
          <a:pPr algn="l"/>
          <a:endParaRPr lang="en-IN" sz="1100"/>
        </a:p>
      </xdr:txBody>
    </xdr:sp>
    <xdr:clientData/>
  </xdr:twoCellAnchor>
  <xdr:twoCellAnchor>
    <xdr:from>
      <xdr:col>0</xdr:col>
      <xdr:colOff>133349</xdr:colOff>
      <xdr:row>11</xdr:row>
      <xdr:rowOff>57150</xdr:rowOff>
    </xdr:from>
    <xdr:to>
      <xdr:col>3</xdr:col>
      <xdr:colOff>9525</xdr:colOff>
      <xdr:row>14</xdr:row>
      <xdr:rowOff>152400</xdr:rowOff>
    </xdr:to>
    <xdr:sp macro="" textlink="">
      <xdr:nvSpPr>
        <xdr:cNvPr id="2" name="Rectangle 1">
          <a:extLst>
            <a:ext uri="{FF2B5EF4-FFF2-40B4-BE49-F238E27FC236}">
              <a16:creationId xmlns:a16="http://schemas.microsoft.com/office/drawing/2014/main" id="{6C2CAD4C-2E51-508F-EA0E-5C0B2E5329AB}"/>
            </a:ext>
          </a:extLst>
        </xdr:cNvPr>
        <xdr:cNvSpPr/>
      </xdr:nvSpPr>
      <xdr:spPr>
        <a:xfrm>
          <a:off x="133349" y="2381250"/>
          <a:ext cx="2343151" cy="66675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180975</xdr:colOff>
      <xdr:row>11</xdr:row>
      <xdr:rowOff>104775</xdr:rowOff>
    </xdr:from>
    <xdr:to>
      <xdr:col>2</xdr:col>
      <xdr:colOff>1190625</xdr:colOff>
      <xdr:row>14</xdr:row>
      <xdr:rowOff>95250</xdr:rowOff>
    </xdr:to>
    <xdr:sp macro="" textlink="">
      <xdr:nvSpPr>
        <xdr:cNvPr id="10" name="Rectangle: Rounded Corners 9">
          <a:extLst>
            <a:ext uri="{FF2B5EF4-FFF2-40B4-BE49-F238E27FC236}">
              <a16:creationId xmlns:a16="http://schemas.microsoft.com/office/drawing/2014/main" id="{28C2DAF9-C31F-B043-BD60-3EE69F220D6E}"/>
            </a:ext>
          </a:extLst>
        </xdr:cNvPr>
        <xdr:cNvSpPr/>
      </xdr:nvSpPr>
      <xdr:spPr>
        <a:xfrm>
          <a:off x="1409700" y="2428875"/>
          <a:ext cx="1009650" cy="561975"/>
        </a:xfrm>
        <a:prstGeom prst="roundRect">
          <a:avLst/>
        </a:prstGeom>
        <a:solidFill>
          <a:srgbClr val="004F88"/>
        </a:solid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YOY</a:t>
          </a:r>
          <a:r>
            <a:rPr lang="en-IN" sz="1100" baseline="0"/>
            <a:t> Growth  </a:t>
          </a:r>
        </a:p>
        <a:p>
          <a:pPr algn="l"/>
          <a:r>
            <a:rPr lang="en-IN" sz="1000" baseline="0"/>
            <a:t>  </a:t>
          </a:r>
          <a:r>
            <a:rPr lang="en-IN" sz="1400" b="1" baseline="0"/>
            <a:t>+ 3.23 %</a:t>
          </a:r>
          <a:endParaRPr lang="en-IN" sz="1400" b="1"/>
        </a:p>
      </xdr:txBody>
    </xdr:sp>
    <xdr:clientData/>
  </xdr:twoCellAnchor>
  <xdr:twoCellAnchor>
    <xdr:from>
      <xdr:col>1</xdr:col>
      <xdr:colOff>76200</xdr:colOff>
      <xdr:row>11</xdr:row>
      <xdr:rowOff>104775</xdr:rowOff>
    </xdr:from>
    <xdr:to>
      <xdr:col>2</xdr:col>
      <xdr:colOff>9525</xdr:colOff>
      <xdr:row>14</xdr:row>
      <xdr:rowOff>85725</xdr:rowOff>
    </xdr:to>
    <xdr:sp macro="" textlink="">
      <xdr:nvSpPr>
        <xdr:cNvPr id="8" name="Rectangle: Rounded Corners 7">
          <a:extLst>
            <a:ext uri="{FF2B5EF4-FFF2-40B4-BE49-F238E27FC236}">
              <a16:creationId xmlns:a16="http://schemas.microsoft.com/office/drawing/2014/main" id="{7C892677-8B35-20DA-019E-4898A9E6B5BD}"/>
            </a:ext>
          </a:extLst>
        </xdr:cNvPr>
        <xdr:cNvSpPr/>
      </xdr:nvSpPr>
      <xdr:spPr>
        <a:xfrm>
          <a:off x="209550" y="2428875"/>
          <a:ext cx="1028700" cy="552450"/>
        </a:xfrm>
        <a:prstGeom prst="roundRect">
          <a:avLst>
            <a:gd name="adj" fmla="val 4598"/>
          </a:avLst>
        </a:prstGeom>
        <a:solidFill>
          <a:srgbClr val="004F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sales23</a:t>
          </a:r>
        </a:p>
        <a:p>
          <a:pPr algn="l"/>
          <a:r>
            <a:rPr lang="en-IN" sz="1600" b="1"/>
            <a:t>$ 3.4 M</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6001.668992939813" createdVersion="8" refreshedVersion="8" minRefreshableVersion="3" recordCount="551" xr:uid="{43BBE3C5-7432-45DB-8F53-73DB2848411C}">
  <cacheSource type="worksheet">
    <worksheetSource name="Table1_1"/>
  </cacheSource>
  <cacheFields count="14">
    <cacheField name="PRODUCT" numFmtId="0">
      <sharedItems count="551">
        <s v="BABY2000 CAMOMILLA W 20 BAG ABA SRL"/>
        <s v="BAMBO NATURE W 10 BAG"/>
        <s v="BAMBO NATURE W 50 BAG"/>
        <s v="BAMBO NATURE 0%PERFUME W 80 BAG"/>
        <s v="BAMBO NATURE W 80 BAG KAPAK"/>
        <s v="BABY CREMA PLAY TIME CAMOMILE W 100 PINK"/>
        <s v="BABYCREMA PLAYTIME CAMOMILE W 100 ORANGE"/>
        <s v="BABY CREMA CAMOMIL W 120 BAG KAPAK"/>
        <s v="BABY CREMA ALOE 15 BAG"/>
        <s v="BABY CREMA CAMOMIL W 15 BAG"/>
        <s v="BABY CREMA PH5.5 W 3X15/1FR BAG &amp;&amp;&amp;"/>
        <s v="BABY CREMA WATER 99% W 15 BAG"/>
        <s v="BABY CREMA CAMOMIL W 40 BAG"/>
        <s v="BABY CREMA COTTON&amp;PANTENOL W 4X56 BAG"/>
        <s v="BABY CREMA COTTON&amp;PANTENOL W 56 BAG"/>
        <s v="BABY CREMA ALOE 64 BAG"/>
        <s v="BABY CREMA CAMOMIL W 64 BAG"/>
        <s v="BABY CREMA PLAY TIME CAMOMIL W 64 BAG"/>
        <s v="BABYCREMA CAMOMIL W 4X64 BAG SUPERTSENA"/>
        <s v="BABY CREMA ALOE&amp;ALMOND OIL W 72 BAG"/>
        <s v="BABY CREMA CAMOMIL&amp;ALMOND W 72 BAG"/>
        <s v="BABY CREMA COTTON W 2X72BAG50%OT TS.VTOR"/>
        <s v="BABY CREMA COTTON&amp;PANTENOL W 72 BAG"/>
        <s v="BABY CREMA NEVEN PH5.5 W 72 BAG"/>
        <s v="BABY CREMA SMRADLIKA PH5.5 W 72 BAG"/>
        <s v="BABY CREMA WATER 99% W 72 BAG"/>
        <s v="BABYCREMA CAMOMILE W 2X72BAG50%OTTS.VTOR"/>
        <s v="BABYCREMA COTTON&amp;PANTENOL W 3X72/1FR BAG"/>
        <s v="BABYCREMA PLAYTIME CAMOMIL W 72 BAG KAPA"/>
        <s v="BABY CREMA ALOE W 80 BAG"/>
        <s v="BABY CREMA CAMOMIL W 80 BAG"/>
        <s v="LINDY VITAMIN E PH5.5 W 120 BAG"/>
        <s v="LINDY ALOE VERA&amp;VIT E W 64 BAG"/>
        <s v="LINDY ALOE VERA&amp;VIT E W 64 BAG KAPAK"/>
        <s v="LINDY CAMOMILE W 64 BAG"/>
        <s v="LINDY CAMOMILE W 64 BAG KAPAK"/>
        <s v="LINDY CREAM W 64 BAG KAPAK"/>
        <s v="LINDY CREAM&amp;VIT.E PH5.5 W 64 BAG"/>
        <s v="LINDY OLIVE OIL EXTR. PH5.5 W 64 BAG"/>
        <s v="LINDY OLIVE OIL EXTR. W 64 BAG KAPAK"/>
        <s v="LINDY SENSITIVE COTTON PH5.5 W 64 BAG"/>
        <s v="LINDY SENSITIVE W 64 BAG KAPAK"/>
        <s v="LINDY WHITE TEA&amp;VIT E W 64 BAG"/>
        <s v="LINDY PREMIUM LAVENDER W 90 BAG KAPAK"/>
        <s v="LUBA BABY B5&amp;VIT E PH5.5W 120 BAG"/>
        <s v="LUBA BABY B5&amp;VIT E PH5.5 90 W BAG"/>
        <s v="HUGGLO BABY PH5.5 W 120 BAG KAPAK"/>
        <s v="PAPILION BABY ALOE VERA W 100 BAG KAPAK"/>
        <s v="PAPILION BABY SENSITIVE W 100 BAG KAPAK"/>
        <s v="PAPILION BABY WET CHAMOMILE W 100 BAG"/>
        <s v="PAPILION BABY WET GREEN APPLE W 100 BAG"/>
        <s v="PAPILION BABYWET CHARM.LAVENDER W 100BAG"/>
        <s v="PAPILION BABYWET CHARMINGROSE W 100 BAG"/>
        <s v="PAPILION BABYWET GRAPEFRUIT&amp;LIME W 100BA"/>
        <s v="PAPILION JUMBO WET PH5.5 W 120 BAG KAPAK"/>
        <s v="PAPILION BABY WET SENSITIVE W 72 BAG"/>
        <s v="PAPILION YELLOW LILY W 90 BAG KAPAK"/>
        <s v="HONEY BEBISH WITH CREAM W 102 BAG KAPAK"/>
        <s v="PINE ALOE VERA KREMALI W 120 BAG KAPAK"/>
        <s v="PINE ALOE VERA KREMALI W 72 BAG KAPAK"/>
        <s v="TROMPY 20 BAG"/>
        <s v="HAPPY FRESH BABY CREAM W 72 BAG"/>
        <s v="HAPPY FRESH BABY W 72 BAG KAPAK"/>
        <s v="ULTRA COMPACT ANGELS ALC.FREE W 120 BAG"/>
        <s v="ULTRA COMPACT MOMO CREAMY W 120 BAG"/>
        <s v="ULTRA COMPACT ANGELS ALC.FREE W 72 BAG"/>
        <s v="ULTRACOMPACT BABY PH5.5 ALC.FREE W 72 BA"/>
        <s v="KANZ NATURAL SENS.SKIN ALC.FREE W120 BAG"/>
        <s v="KANZ EXTRA SOFT ALC.FREE W 50 BAG"/>
        <s v="KANZ ULTRA SOFT ALC.FREE W 72 BAG"/>
        <s v="CHICCO SALVIETTINE SENSITIVE W 60 BAG"/>
        <s v="CHICCO SALVIETTINE PARABENI W 72 BAG"/>
        <s v="UNI COMFORT LOTION P H5.5 72 BAG"/>
        <s v="EVENT BABY CALENDULA 140 BAG KAPAK"/>
        <s v="EVENT BABY CALENDULA 140 BAG KAPAK+WIP"/>
        <s v="EVENT BABY MOIST.CHAMOMILE 20 W BAG"/>
        <s v="EVENT BABY SENSIT. ALOE VERA 20 BAG"/>
        <s v="EVENT BABY CALENDULA W 25 BAG"/>
        <s v="EVENT BABY CALENDULA W 25 BAG+WIP 140"/>
        <s v="EVENT BABY CALENDULA HYPOALL.W 30 BAG"/>
        <s v="EVENT BABY HYPOAL.CALENDULA 64 W BAG"/>
        <s v="EVENT BABY HYPOALL.CHAMOMILE 72 W BAG"/>
        <s v="EVENT BABY MOIST.CHAMOMILE 72 W BAG"/>
        <s v="EVENT BABY SENSIT. ALOE VERA 72 W BAG"/>
        <s v="TEX BABY PH5.5 ALC.FREE W 100 BAG PURPLE"/>
        <s v="TEX BABY PH5.5 ALC.FREE W 100 BAG YELLOW"/>
        <s v="NIVEA BABY SOFT&amp;CREME 20 BAG"/>
        <s v="NIVEA BABY TODDIES 2IN1 60 BAG"/>
        <s v="NIVEA BABY FRESH&amp;PURE 63 BAG"/>
        <s v="NIVEA BABY PURE&amp;SENSITIVE 63 W BAG"/>
        <s v="NIVEA BABY SOFT&amp;CREME 63 BAG"/>
        <s v="SMILE ALOE&amp;CAMOMILE PH5.5 60 BAG"/>
        <s v="SOFTLINE FRESHERCREAMVITE PH5.5 W 120BAG"/>
        <s v="BABYCARE WITHCREAM W 80/8FREE BAG KAPAK"/>
        <s v="ClearSight BABY ALOE VERA PH5.5 W 25 BAG"/>
        <s v="ClearSight BABY CALENDULA PH5.5 W 25 BAG"/>
        <s v="ClearSight BABY CHAMOMILE PH5.5 W 25 BAG"/>
        <s v="ClearSight BABY CHAMOMILE PH5.5 W 66 BAG"/>
        <s v="ClearSight BABY ALOE VERA PH5.5 W 80 BAG"/>
        <s v="ClearSight BABY CALENDULA PH5.5 W 80 BAG"/>
        <s v="ClearSight BABY CHAMOMILE PH5.5 W 80 BAG"/>
        <s v="OKIDOKI  FreshClean CAMOMILLA 60 BAG"/>
        <s v="BABY WISH VITE&amp;PROVITAMINB5 W 120 BAG"/>
        <s v="COSMI BABY ARGAN W 20 BAG"/>
        <s v="AQUELLA BABY AMUR WITH CREAM W 120 BAG"/>
        <s v="AQUELLA BABY ULTRA SOFT CREAM W 120 BAG"/>
        <s v="AQUELLA TROPIC ALC.FREE W 120 BAG"/>
        <s v="AQUELLA KIDS BABY ALOEVERA&amp;CREAM W 60BAG"/>
        <s v="AQUELLA BABY VIT E&amp;PRO B5 W 72 BAG"/>
        <s v="AQUELLA KIDS BABY PH5.5 W 72 BAG"/>
        <s v="AQUELLA BABY VIT E&amp;PRO B5 W 90 BAG KAPAK"/>
        <s v="AURA ULTRA COMF. COTTON HYPOALL. W 100 B"/>
        <s v="AURA ULTRA COMFORT COTTON W 63 BAG"/>
        <s v="COTTON BABY UL.SOFT CREAM ALC.FREE W 120"/>
        <s v="COTTON BABY PH5.5 AL.FREE W 90 BAG KAPAK"/>
        <s v="MIMI NICE BABY PH5.5 W 15 BAG"/>
        <s v="MY COMFORT BABY ANGEL PH5.5 W 120 BAG"/>
        <s v="MY COMFORT BABY ARGAN ALK.FREE W 120 BAG"/>
        <s v="NICEBABY PROVITB5&amp;VITE PH5.5 W 120 BAG"/>
        <s v="WINEX BABY PH5.5 W 72 BAG"/>
        <s v="WINEX BABY PROVITB5&amp;VIT.F PH5.5 W 72 BAG"/>
        <s v="FOMEX PH5.5 ALC.FREE W 72 BAG KAPAK"/>
        <s v="PADDLERS SOFT&amp;CREAM PROVITB5&amp;VITE W 120"/>
        <s v="PADDLERS SOFT&amp;CREAM PROVITB5&amp;VITE W 80"/>
        <s v="PURE BABY JUMBO PH5.5 W 120 BAG"/>
        <s v="SLEEPY BABY SENSITIVE 110 W BAG KAPAK"/>
        <s v="SLEEPY BABY APPLE AL.FREE W 120 BAG"/>
        <s v="SLEEPY BABY LEMON AL.FREE W 120 BAG"/>
        <s v="SLEEPY BABY ORANGE AL.FREE W 120 BAG"/>
        <s v="SLEEPY BABY PH5.5 120 W BAG KAPAK"/>
        <s v="SLEEPY STRAWBERRY BABY AL.FREE 120 W BAG"/>
        <s v="SLEEPY BABY MIXED FRUIT PH5.5 15 W BAG"/>
        <s v="SLEEPY BABY PH5.5 70 W BAG"/>
        <s v="SLEEPY  FreshClean 90 W BAG KAPAK"/>
        <s v="YESS BABY ALC.FREE W 120 BAG"/>
        <s v="YESS BABY ALC.FREE W 15 BAG"/>
        <s v="ELAN SENS.CREAM LOTION W 120 BAG ZELENI"/>
        <s v="LAN SENS.CREAM LOTION 120 BAG LILAVI"/>
        <s v="SETABLU OAT EXTRACT PH5.5 W 72 BAG KAPAK"/>
        <s v="LIBERO ALOE ALC.FREE W 20 BAG"/>
        <s v="LIBERO ALOE&amp;CHAMOMILE W 20 BAG"/>
        <s v="LIBERO ALOE&amp;CHAMOMILE W 4X64 BAG"/>
        <s v="LIBERO ALOE&amp;CHAMOMILE W 64 BAG"/>
        <s v="EVY BABY SOFT CHAMOMILE ALC.FREE W50 BAG"/>
        <s v="EVY BABY SOFT CHAMOMILE EXTRACT W 56 BAG"/>
        <s v="EVY BABY CREAMY ALOE VERA MOIST W 60 BAG"/>
        <s v="EVY BABY SOFT CHAMOMILE EXTRACT W 60 BAG"/>
        <s v="FEMOLE FRESH VITE PH5.5 W 72 BAG CHERVEN"/>
        <s v="FEMOLE FRESHBABY VITE PH5.5 W 72 BAG SIN"/>
        <s v="BERFINY CLASSIC BABY W 72 BAG"/>
        <s v="BERFINY EXTRA BABY W 72 BAG"/>
        <s v="FRESH RUNY BABY PH5.5 ALC.FREE W 120 BAG"/>
        <s v="FRESH RUNY BABY MILK&amp;HONEY W 64 BAG"/>
        <s v="FRESH RUNY BABY W 64 BAG"/>
        <s v="FRESH MAKER BABY CREAM FRUIT W 100 BAG"/>
        <s v="FRESH MAKER BABY PH5.5 W 120 BAG JUMBO"/>
        <s v="FRESH MAKER BABY CREAM W 120/48FREE BAG"/>
        <s v="FRESH MAKER BABY CREAM W 72 BAG"/>
        <s v="FRESH MAKER BABY CREAM W 72 BAG KAPAK"/>
        <s v="FRESH MAKER BABY CREAM W 96/24FREE BAG"/>
        <s v="FRESH MAKER BABY W 72 BAG"/>
        <s v="FRESH MAKER BABY WITH CREAM W 72 BAG"/>
        <s v="FRESH MAKER ALOE VERA PH5.5 W 90 BAG"/>
        <s v="FRESH MAKER SENSITIVE ALC.FREE W 90 BAG"/>
        <s v="HAPPY ALOE VERA W 100 BAG KAPAK"/>
        <s v="KIDS BABY WET WIPES W 72 BAG KAPACHE"/>
        <s v="LIO FRESH BABY CREAM LOTION W 72 BAG"/>
        <s v="LIOLA  FreshClean ALC.FREE W 72 BAG"/>
        <s v="NEMDIL BABY ROSE W 120 BAG KAPAK"/>
        <s v="NEMDIL BABY WITH CREAM W 120 BAG KAPAK"/>
        <s v="NEMDIL BABY ALCOHOL FREE W 72 BAG"/>
        <s v="NEMDIL BABY OLIVE OIL CAMOMILE W 72 BAG"/>
        <s v="NEMDIL BABYDELUXEALOE&amp;MIK&amp;HONEY W 72KAPA"/>
        <s v="PREMIUM QUALITY BABY W 72 BAG &amp;&amp;&amp;"/>
        <s v="PURE BABY LILIUM W 120 BAG KAPAK"/>
        <s v="NAPEEZBYGRACIA BABY PH5.5 100 BAG KAPAK"/>
        <s v="MIKE LINE SENSIT.CREAM LOTION W 72 BAG"/>
        <s v="PRIME OLIODIARGAN SENSITIVE 63 BAG KAPAK"/>
        <s v="PRIME TALKO SENSITIVE 63 BAG KAPAK"/>
        <s v="PRIME BABY ALC.FREE 72 BAG KAPAK"/>
        <s v="PONKY BABY W 72 BAG +KAPACHE"/>
        <s v="PONKY BABY WET TOWEL W 72 BAG ZHALTI"/>
        <s v="POZZY EXTRA MILK&amp;HONEY PH5.5 W 72 BAG"/>
        <s v="POZZY EXTRA OLIVE OIL ALC.FREE W 72 BAG"/>
        <s v="CLEANIC BABY ATOPICAL D-PANT. PH 50 BAG"/>
        <s v="CLEANIC BABY PROBIOTICAL HYPOAL.50 BAG"/>
        <s v="CLEANIC BABY VEGEMILK VIT&amp;MIN.50 BAG"/>
        <s v="PETINO DELICATO&amp;FRESH ALANTOIN 120 BAG"/>
        <s v="PETINO DELICATO&amp;FRESH ALANTOIN 84/12FR"/>
        <s v="MOLFIX SENSITIVE PH5.5 W 40 BAG"/>
        <s v="MOLFIX BABY COTTON PH5.5 W 50 BAG HAYAT"/>
        <s v="MOLFIX BABY IZOT.WATER PANT.&amp;LAN.W 60 BA"/>
        <s v="MOLFIX BABY LOTION ISO.WATER W 3X60 BAG"/>
        <s v="MOLFIX BABY LOTION PH5.5 W 60 BAG HAYAT"/>
        <s v="MOLFIX BABY LOTION W 3X60 BAG HAYAT"/>
        <s v="MOLFIX BABY LOTION W 3X63 BAG HAYAT"/>
        <s v="MOLFIX BABY W 63 BAG HAYAT"/>
        <s v="HIMALAYA ALOE VERA&amp;INDIANLOTUS W 20 BAG"/>
        <s v="HIMALAYA SOOTHING&amp;PROTECTINGBABY W 20BAG"/>
        <s v="HIMALAYA ALOE VERA&amp;INDIANLOTUS W 56 BAG"/>
        <s v="HIMALAYA SOOTHING&amp;PROTECTINGBABY W 56BAG"/>
        <s v="HIPP BABY SANFT ALMOND PH5.5 W 10 BAG"/>
        <s v="HIPP BABY ULTRASENSITIVE MANDEL W 52 BAG"/>
        <s v="HIPP BABY ALMOND W 56 BAG"/>
        <s v="HIPP BABY GENTLE CARING W 56 BAG"/>
        <s v="HIPP BABY SANFT FEUCHT TUCHER W 56 BAG"/>
        <s v="HIPP BABYSANFT BIOMANDELEXT.W 2X56+POD."/>
        <s v="HIPP BABYSANFT BIOMANDELEXTR. W 2X56 BAG"/>
        <s v="HIPP BABYSANFT BIOMANDELEXTRACT W 56 BAG"/>
        <s v="BIONIKE TRIDERM BABY CLEANSING 72 BAG"/>
        <s v="WATERWIPES FRUITEXTR.99.9%WATER W 10 BAG"/>
        <s v="WATERWIPES FRUITEXTR.99.9%WATER W 240BAG"/>
        <s v="WATERWIPES FRUITEXTR.99.9%WATER W 28 BAG"/>
        <s v="WATERWIPES FRUITEXTR.99.9%WATER W 60 BAG"/>
        <s v="WATERWIPES SOAPBERRY99.9%WATER W 60 BAG"/>
        <s v="PAW PATROL  FreshClean 56 W BAG"/>
        <s v="PEPPA PIG BABY MUDDY PUDDLE 56 W BAG"/>
        <s v="JOHNSONS BABY GENTLE ALL OVER W 20 BAG"/>
        <s v="JOHNSONS BAB COT.TOU SEN.W56+BOD+SHG+IGR"/>
        <s v="JOHNSONS BABY COTTON TOUCH SENS.W 56 BAG"/>
        <s v="JOHNSONS BABY GENTLE ALL OVER W 3X56 BAG"/>
        <s v="JOHNSONS BABY GENTLE ALL OVER W 56 BAG"/>
        <s v="JOHNSONS BABY SILK EXTRACT W 56 BAG"/>
        <s v="JOHNSONS BABY GENTLE ALL OVER W 72 BAG K"/>
        <s v="JOHNSONS BABY SENSITIVE ALC.FREE W 72 BA"/>
        <s v="MAIA BABY PURE&amp;SENSITIVE PH5.5 W 72 BAG"/>
        <s v="BEBECAN PH5.5 ALC.FREE W 72 BAG KANTARA"/>
        <s v="KRISPA BABY CAMOMILE W 15 BAG"/>
        <s v="KRISPA BABY CAMOMILE P H5.5 W 80 BAG"/>
        <s v="FRESH'N SOFT WATER&amp;COTTON W 3X40 BAG"/>
        <s v="FRESH'N SOFT CLASSIC PH5.5 W 90 BAG"/>
        <s v="RENKLY JUMBO CHAMOMILE 120 W BAG KAPAK"/>
        <s v="RENKLY BABY ALC.FREE W 70 BAG"/>
        <s v="RENKLY BABY ALOE VERA 70 W BAG"/>
        <s v="RENKLI BABY ALC.FREE PH5.5 W 72 BAG KAPA"/>
        <s v="RENKLY BABY 72 W BAG"/>
        <s v="HUGGIES  FreshClean CUCUMBER W 24 BAG"/>
        <s v="HUGGIES NATURAL CARE ALOE VERA W 56 BAG"/>
        <s v="HUGGIES PURE COTTON WOOL&amp;WATER 56 W BAG"/>
        <s v="HUGGIES SOFT SKIN VIT E 56 BAG"/>
        <s v="HUGGIES SOFTTOUCH WITHLOTION&amp;VITE 56 BAG"/>
        <s v="HUGGIES UNISTAR LINGETTES 56 W BAG"/>
        <s v="HUGGIES ALOE+VIT E W 64 BAG"/>
        <s v="HUGGIES BABY UNISTAR W 64 BAG"/>
        <s v="HUGGIES PURE COTTON WOOL&amp;WATER 64 W BAG"/>
        <s v="HUGGIES PURE 99% WATER 72 W BAG"/>
        <s v="KOMILI BABY SOFT ALC.FREE W 70 BAG"/>
        <s v="KOMILI BABY COTTON PH5.5 W 80 BAG"/>
        <s v="TANGO BABY SOFT VIT E ALC.FREE 72BR BAG"/>
        <s v="MUSTELA BEBE CLEANSING 25 W BAG"/>
        <s v="MUSTELA BEBE CLEANSING 25 W NP KAPAK"/>
        <s v="MUSTELA BEBE STELATOPIA W 50 BAG KAPAK"/>
        <s v="MUSTELABEBE STELATOPIAW50KAP+BOD+BOD+BOD"/>
        <s v="MUSTELA BEBE CLEANSING 60 W BAG"/>
        <s v="MUSTELA BEBE CLEANSING AVOCADO 70 W BAG"/>
        <s v="MUSTELA BEBE CLEANSING W 70 BAG KAPAK"/>
        <s v="MUSTELA BEBE SOOTHING ALOE VERA 70 W BAG"/>
        <s v="LANSINOH BABY ALC.FREE W 80 BAG KAPAK"/>
        <s v="LARA BABY SOFT ALOE VERA W 100 BAG KAPAK"/>
        <s v="LARA BABY SOFT CAMOMILE W 100 BAG KAPAK"/>
        <s v="LARA BABY SOFT GERBERA DAISY W 100 BAG"/>
        <s v="LARA BABY SOFT LAVENDER W 100 BAG KAPAK"/>
        <s v="LARA BABY SOFT WILD ROSE W 100 BAG KAPAK"/>
        <s v="LARA BABYSOFT LEMON&amp;GRAPEFRUIT W 100 BAG"/>
        <s v="LARA BABY SOFT ALOE VERA W 120 BAG KAPAK"/>
        <s v="LARA BABY SOFT CAMOMILE BREEZE W 120 BAG"/>
        <s v="LARA BABY SOFT CAMOMILE W 120 BAG KAPAK"/>
        <s v="LARA BABY SOFT GERBER W 120 BAG KAPAK"/>
        <s v="LARA BABY SOFT LAVENDER W 120 BAG KAPAK"/>
        <s v="LARA BABY SOFT WILD ROSE W 120 BAG KAPAK"/>
        <s v="LARA BABYSOFT LEMON&amp;GRAPEFRUIT W 120 BAG"/>
        <s v="LARA BABYSOFT PREMIUM ALC.FREE W 120 BAG"/>
        <s v="LARA BABY SOFT&amp;FRESH PH5.5 W 20 BAG"/>
        <s v="LARA BABY SOFT ALOE VERA W 40 BAG"/>
        <s v="LARA BABY SOFT VIT E&amp;PRO VIT B5 W 40 BAG"/>
        <s v="LARA CARE BABY 99%WATER PREBIOTIC W 60"/>
        <s v="LARA BABY FRESH W 72 BAG/KAPACHE"/>
        <s v="LARA BABY SENSITIVE PH5.5 W 72 BAG"/>
        <s v="LARA BABY SOFT CAMOMILE W 72 BAG/KAPACHE"/>
        <s v="LARA BABY SOFT PH5.5 W 72 BAG"/>
        <s v="LARA BABY SOFT PH5.5 W 72 BAG KAPAK"/>
        <s v="LARA BABY SOFT VIT E&amp;PRO VIT B5 W 72 BAG"/>
        <s v="LARA BABY SOFT&amp;FRESH W 72 BAG"/>
        <s v="LARA BABY SPECIAL FORMULA VIT E W 72 BAG"/>
        <s v="LARA BABY SOFT ALOE VERA W 80 BAG KAPAK"/>
        <s v="LARA BABY SOFT WILD ROSE W 80 BAG KAPAK"/>
        <s v="LARA BABYSOFT CAMOMILEBREEZ.W 80 BAG KAP"/>
        <s v="LARA BABY SOFT EXTRA W 96 BAG/KAPACHE"/>
        <s v="PUFY FRESH GERBERA PH5.5 W 120 BAG"/>
        <s v="TOP BLITZ CREAM VIT E W 72 BAG"/>
        <s v="CONFY BABY PH5.5 W 40 BAG"/>
        <s v="CONFY BABY SENSITIVE W 90 BAG"/>
        <s v="CONFY BABY SENSITIVE W 90 BAG PINK"/>
        <s v="MIMOSA BABY ALOE VERA 64 BAG"/>
        <s v="MIMOSA BABY CHAMOMILE 64 BAG"/>
        <s v="MIMOSA BABY PH5.5 72 BAG KAPAK"/>
        <s v="SENCE BABY SENSITIVE PH5.5 W 60 BAG"/>
        <s v="BABY CARE CHAMOMILE 4X12/2FR BAG"/>
        <s v="BABY CARE CHAMOMILE W 12 BAG"/>
        <s v="BABY CARE CHAMOMILE W 3X12/1FR BAG"/>
        <s v="BABY CARE TRAVEL CHAMOMILE 20 BAG"/>
        <s v="BABY CARE CLAMING PURE WATER 63 BAG"/>
        <s v="BABY CARE PURE COTTON EXTRACT 63 BAG"/>
        <s v="BABY CARE SENSITIVE OLIVE EXTRACT 63 BAG"/>
        <s v="BABY CARE TRAVEL CHAMOMILE 72 BAG RE"/>
        <s v="BABYLINO SENSITIVE ARNIKA&amp;CHAM W10+WIPFI"/>
        <s v="BABY LINO SENSITIVE CHAMOMILE W 3X54/1FR"/>
        <s v="BABY LINO SENSITIVE CHAMOMILE W 54 BAG"/>
        <s v="BABYLINO SENSITIVE ARNIKACHAMOMILE W 54"/>
        <s v="BABYLINO SENSITIVE CHAMOMILE W 54+10 BAG"/>
        <s v="BABYLINO SENSITIVE CHAMOMILE W 54+WIP 10"/>
        <s v="HUGGLO WET&amp;SOFT W 100 BAG KAPAK"/>
        <s v="L'UNICO BABY OLIO DI ARGAN HYPO.W 72 BAG"/>
        <s v="BIG SOFT SENSITIVE WITH CREAM 100 BAG"/>
        <s v="BIGSOFT SENSITIVEWITHCREAM 100 BAG KAPAK"/>
        <s v="BIG SOFT CREAM SENS.PH5.5 W 120 BAG"/>
        <s v="BIG SOFT SENSITIVE OLIVE OIL ALOE 70 BAG"/>
        <s v="HAPPY FAMILY BABY PH5.5 W 70 BAG"/>
        <s v="MORS CHAMOMILE PH5.5 W 120 BAG KAPAK"/>
        <s v="WIPEST COMFORT ALC.FREE W 120 BAG KAPAK"/>
        <s v="WIPEST COMFORT ALC.FREE W 72 BAG KAPAK"/>
        <s v="NATY SENSITIVE ALOE VERA W 56 BAG"/>
        <s v="NATY SENSITIVE W 56 BAG NATY AB"/>
        <s v="FRESH BABY PREMIUM ALC.FREE W 100 BAG"/>
        <s v="FRESH BABY PH5.5 W 15 BAG"/>
        <s v="FRESH BABY WATER 99.9% W 60 BAG"/>
        <s v="FRESH BABY P H5.5 W 72 BAG"/>
        <s v="FRESH BABY PH5.5 W 72 BAG KAPAK"/>
        <s v="GOLDEN SENSITIVE W 120 BAG"/>
        <s v="GOLDEN SENSITIVE W 72 BAG"/>
        <s v="MY FIX BABY ROSE FRESH W 80 BAG KAPAK"/>
        <s v="PUFFY BABY SENSITIVE PURE W 88 BAG KAPAK"/>
        <s v="TITO BABY SOFT COMFORT PH5.5 W 120 BAG"/>
        <s v="TITO BABY PH5.5 ALC.FREE W 72 BAG KAPAK"/>
        <s v="TITO BABY SOFT COMFORT PH5.5 W 72 BAG"/>
        <s v="FRESH BABY PREM.QUALITY PH5.5 W 120 BAG"/>
        <s v="FRESH SENSE CHAMOM.LOTION PH5.5 72 BAG"/>
        <s v="PUFY BABY CHAMOMILE PH5.5 W 120 BAG"/>
        <s v="SPEEDYCARE BABYLINECONCREMAMAXI 20 BAG"/>
        <s v="CAN BEBE BASIC CARE ALK.FREE W 56 BAG"/>
        <s v="BABS&amp;BABS BABY PH5.5 120 W BAG KAPAK"/>
        <s v="KOPRINA  FreshClean 72 W BAG KAPAK"/>
        <s v="BEBIKO VIPBABY ACTIVE&amp;SOFT PH5.5 100 BAG"/>
        <s v="BEBIKO VIP BABY ALOE VERA W 72 BAG KAPAK"/>
        <s v="PAPATYA BABY B5&amp;VIT E PH5.5 90 W BAG"/>
        <s v="PERFETTO PH5.5 ALC.FREE W 80 BAG"/>
        <s v="BETTY BABY ALC.FREE W 24 BAG"/>
        <s v="BETTY BABY ALC.FREE W 72 BAG"/>
        <s v="KLORANE BEBE CALENDULA ALC.FREE W 25 BAG"/>
        <s v="KLORANE BEBE CALENDULA CLEAN.LOTION W 70"/>
        <s v="KLORANE BEBE CALENDULA THICKCL. W 70 BAG"/>
        <s v="KLORANE BEBE CALENDULA W 70 SP.TS. BAG"/>
        <s v="FRESH BABY ALOE&amp;CALEN. PH5.5 W 60 BAG"/>
        <s v="FRESH BABY AQUA PURE PH5.5 W 60 BAG"/>
        <s v="FRESH BABY CARE ALOE VERA W 60 BAG"/>
        <s v="FRESH BABY SOFT CREAM W 60 BAG"/>
        <s v="SLIPP BEBE SENS.LOTION&amp;VITE&amp;B5 W 120 BAG"/>
        <s v="MELANI BABY ALOEVERA&amp;VITE W 64 BAG KAPAK"/>
        <s v="PAMPERS AQUA PURE ALC.FREE 12 BAG+DIA"/>
        <s v="PAMPERS AQUA PURE ALC.FREE 12 BAG+DIA28"/>
        <s v="PAMPERS AQUA PURE ALC.FREE 12 BAG+DIA50"/>
        <s v="PAMPERS SENSITIVE ALC.FREE 12 BAG"/>
        <s v="PAMPERS SENSITIVE PH5.5 12 BAG"/>
        <s v="PAMPERS SENSITIVE PROTECT PH5.5 12 BAG"/>
        <s v="PAMPERS BABY FRESH 24 BAG"/>
        <s v="PAMPERS SOLE E LUNA CAMOMILLA 50/25%BAG"/>
        <s v="PAMPERS AQUA HARMONIE 99%WATER 3X48 BAG"/>
        <s v="PAMPERS AQUA HARMONIE 99%WATER AL.FR.48"/>
        <s v="PAMPERS AQUA PURE ALC.FREE 3X48 BAG"/>
        <s v="PAMPERS AQUA PURE ALC.FREE 48 BAG"/>
        <s v="PAMPERS SENSITIVE 50 BAG"/>
        <s v="PAMPERS BABY FRESH CLEAN W 2X52 BAG"/>
        <s v="PAMPERS BABY FRESH CLEAN W 4X52 BAG"/>
        <s v="PAMPERS BABY FRESH CLEAN W 52 BAG"/>
        <s v="PAMPERS BABY FRESH CLEAN W 52 BAG+DIA 38"/>
        <s v="PAMPERS BABY FRESH CLEAN W 52 BAG+DIA 40"/>
        <s v="PAMPERS BABY FRESH CLEAN W 52 BAG+DIA 42"/>
        <s v="PAMPERS BABY FRESH CLEAN W 52 BAG+DIA 44"/>
        <s v="PAMPERS BABY FRESH CLEAN W 52 BAG+DIA 51"/>
        <s v="PAMPERS BABY FRESH CLEAN W 52 BAG+DIA 52"/>
        <s v="PAMPERS BABY FRESH CLEAN W 52 BAG+DIA 53"/>
        <s v="PAMPERS BABY FRESH CLEAN W 52 BAG+DIA 54"/>
        <s v="PAMPERS BABY FRESH CLEAN W 52 BAG+DIA 58"/>
        <s v="PAMPERS BABY FRESH CLEAN W 52 BAG+DIA 60"/>
        <s v="PAMPERS BABY FRESH CLEAN W 52 BAG+DIA 66"/>
        <s v="PAMPERS BABY FRESH CLEAN W 52 BAG+DIA 68"/>
        <s v="PAMPERS BABY FRESH CLEAN W 52 BAG+DIA 76"/>
        <s v="PAMPERS BABY FRESH CLEAN W 52 BAG+DIA 78"/>
        <s v="PAMPERS BABY FRESH CLEAN W 52 BAG+DIA 90"/>
        <s v="PAMPERS BABY FRESH CLEAN W 52 BAG+DIA104"/>
        <s v="PAMPERS BABY FRESH CLEAN W 52 BAG+DIA50"/>
        <s v="PAMPERS BABY FRESH CLEAN W 52+DIA PANT38"/>
        <s v="PAMPERS BABY FRESH CLEAN W 6X52 BAG"/>
        <s v="PAMPERS BABY FRESH CLEAN W52+DIA ACT6 44"/>
        <s v="PAMPERS BABY FRESH CLEAN W52+DIA PANTS60"/>
        <s v="PAMPERS SENSITIVE PH5.5 2X52 BAG"/>
        <s v="PAMPERS SENSITIVE PH5.5 4X52 BAG"/>
        <s v="PAMPERS SENSITIVE PH5.5 52 BAG"/>
        <s v="PAMPERS SENSITIVE PH5.5 6X52 BAG"/>
        <s v="PAMPERS SENSITIVE 54 BAG KAPAK"/>
        <s v="PAMPERS SENSITIVE 2X56 BAG"/>
        <s v="PAMPERS SENSITIVE 4X56 BAG"/>
        <s v="PAMPERS SENSITIVE 56 BAG"/>
        <s v="PAMPERS SENSITIVE 56 BAG KAPAK"/>
        <s v="PAMPERS SENSITIVE 56 BAG+DIA PANTS3 60"/>
        <s v="PAMPERS SENSITIVE 56 BAG+DIA PANTS4 52"/>
        <s v="PAMPERS SENSITIVE 56 BAG+DIA PANTS5 48"/>
        <s v="PAMPERS SENSITIVE 56 BAG+DIA PANTS5 48 1"/>
        <s v="PAMPERS SENSITIVE 56 BAG+DIA PANTS5 52"/>
        <s v="PAMPERS SENSITIVE 56 BAG+DIA PR CARE54"/>
        <s v="PAMPERS SENSITIVE 56 BAG+DIAPREMCARE3 60"/>
        <s v="PAMPERS SENSITIVE 56 BAG+DIAPREMCARE5 44"/>
        <s v="PAMPERS SENSITIVE 56BAG+DIA PANTS6 44"/>
        <s v="PAMPERS SENSITIVE 6X56/2BR FREE BAG"/>
        <s v="PAMPERS SENSITIVE CAMOMILE&amp;ALOE 56 BAG"/>
        <s v="PAMPERS SENSITIVE SOFTLIKECOTTON 56 BAG"/>
        <s v="PAMPERS SENSITIVE W 6X56/336 BAG"/>
        <s v="PAMPERS SENSITIVE XXL W 6X56/2BR FR BAG"/>
        <s v="PAMPERS BABY FRESH ALOE W 64 BAG"/>
        <s v="PAMPERS BABY FRESH CLEAN W 4X64 BAG"/>
        <s v="PAMPERS BABY FRESH CLEAN W 64 BAG"/>
        <s v="PAMPERS BABY FRESH CLEAN W 64 BAG+DIA 42"/>
        <s v="PAMPERS BABY FRESH CLEAN W 64 BAG+DIA 76"/>
        <s v="PAMPERS BABY FRESH CLEAN W 64 BAG+DIA68"/>
        <s v="PAMPERS BABY FRESH CLEAN W 6X64/384 BAG"/>
        <s v="PAMPERS BABY FRESH ECONOMY W 2X64 BAG"/>
        <s v="PAMPERS BABYFRESHCLEAN ALOE W 6X64/2BRFR"/>
        <s v="PAMPERS BABYFRESHCLEAN W 3X64/1FREE BAG"/>
        <s v="PAMPERS BABYFRESHCLEAN W 6X64/2BRFR BAG"/>
        <s v="PAMPERS CLEAN&amp;PLAY 64 BAG"/>
        <s v="PAMPERS NATURAL CLEAN W 64 BAG KAPAK"/>
        <s v="PAMPERS NATURALCLEAN FRAGR.FREE W 64 BAG"/>
        <s v="PAMPERS NATURALLY CLEAN W 4X64 BAG"/>
        <s v="PAMPERS NATURALLY CLEAN+CHAMOMILE W 2X64"/>
        <s v="PAMPERS NATURALLYCLEAN+CHAMOMILE W64 BAG"/>
        <s v="PAMPERS NATURALLYCLEAN+CHAMOMILE4X64/1FR"/>
        <s v="PAMPERS BABY FRESH CLEAN XXL W 80 BAG"/>
        <s v="PAMPERS SENSITIVE PH5.5 XXL 80 BAG"/>
        <s v="PAMPERS HARMONIE COCO AL.FREE 3X42 BAG"/>
        <s v="PAMPERS HARMONIE COCO AL.FREE 42 BAG"/>
        <s v="PAMPERS PURE COCONUT AL.FREE 3X42 BAG"/>
        <s v="PAMPERS PURE COCONUT AL.FREE 42 BAG"/>
        <s v="PAMPERS 72 R BAG"/>
        <s v="PAMPERS SENSITIVE 56 BOX"/>
        <s v="PRIMA HASSAS CILTLER W 56 BAG"/>
        <s v="PRIMA  FreshClean ALOE W 64 BAG"/>
        <s v="URIAGE BEBE HYPOALERGENIC W 2X70/1FR BAG"/>
        <s v="URIAGE BEBE HYPOALERGENIC W 70 BAG"/>
        <s v="BEBECAN EXTRASOFT PH5.5 ALC.FREE W 72BAG"/>
        <s v="BIMBO&amp;BIMBA CHAMOMILE&amp;ALOE W 80 BAG"/>
        <s v="BIMBO&amp;BIMBA CHAMOMILE&amp;CALENDULA W 80 BAG"/>
        <s v="BIMBO&amp;BIMBA CHAMOMILE&amp;LAVENDER W 80 BAG"/>
        <s v="BIMBO&amp;BIMBA CHAMOMILE&amp;SMRADLIKA W 80 BAG"/>
        <s v="VIBELLE BABY RASPBERRY VIT E PH5.5 W 144"/>
        <s v="VIBELLE BABY ULTRA SENS.ROSE PH5.5 W 144"/>
        <s v="BELUX BABY SENS.CREAM LOTION W 120 BAG"/>
        <s v="BELUX ULTRA SENSITIVE W 120/48GRATIS BAG"/>
        <s v="SECKIN PROVITB5 PH5.5 ALC.FREE W 102 BAG"/>
        <s v="SOFT CARE COTTON VIT ECHAMOMILE W 72 BAG"/>
        <s v="HOPS P H5.5 W 90/18BONUS ORANJEVI BAG"/>
        <s v="MAXIMENS VIT E&amp;PRO VIT B5 W 72 BAG"/>
        <s v="DOCTOR WIPES BABY GRAPES W 60 BAG KAPAK"/>
        <s v="DOCTOR WIPES BABY W 72 BAG &amp;&amp;&amp;"/>
        <s v="MEDPROFESSIONAL BABYPOWDERARGANOIL W 24"/>
        <s v="MED PROFESSIONAL BABY ALOE VERA W 60 BAG"/>
        <s v="MEDPROFESSIONAL BABYGRAPESEEDOIL W 60BAG"/>
        <s v="SPRING LINE  FreshClean W 120 BAG &amp;&amp;&amp;"/>
        <s v="SPRINGLINE BABY COMPLEX5VITAMINS W 72BAG"/>
        <s v="GIAN BABY CREAM PH5.5 W 120 BAG"/>
        <s v="GIAN BABY CREAM PH5.5 W 72 BAG"/>
        <s v="SEBAMED BABYCLEANSING EXTRASOFT W 72 BAG"/>
        <s v="SEBAMED BABY OIL WIPES W 70 BOX"/>
        <s v="MAMMI PH5.5 ALC.FREE W 72 BAG SINI"/>
        <s v="MAMMI PH5.5 ALC.FREE W 72 BAG ZELENI"/>
        <s v="ASALI BABY ULTRA SOFT VIT.E W 120 BAG"/>
        <s v="COTTON SOFT CHAMOMILE ALC.FREE W 100 BAG"/>
        <s v="COTTON SOFT PH5.5 W 120 BAG KAPAK"/>
        <s v="COTTON SOFT PH5.5 W 72 BAG KAPAK"/>
        <s v="COTTON SOFT W 72 BAG"/>
        <s v="ELVIM BABY JUMBO SENSITIVE W 120 BAG"/>
        <s v="ELVIM ULTRA SENSITIVE VIT E&amp;B5 W 70 BAG"/>
        <s v="ELVIM BABY PH5.5 ALC.FREE W 72 BAG"/>
        <s v="ELVIM BABY ULTRASENSITIVE LOTION&amp;VITE 72"/>
        <s v="ELVIM BABY ULTRASENSITIVE LOTION&amp;VITE 90"/>
        <s v="FLAMINGO BABY ULTRASENS.LOTION&amp;VITE 70 B"/>
        <s v="INCI FRESH VITE&amp;PROVITB5 ALC.FREE W 100"/>
        <s v="INCI FRESH VITE&amp;PROVITB5 PH5.5 W 120 BAG"/>
        <s v="INCI FRESH ULTRASOFT VITE&amp;PROVITB5 W 144"/>
        <s v="INCI FRESH VITE&amp;PROVITB5 PH5.5 W 60 BAG"/>
        <s v="INCI FRESH VITE&amp;PROVITB5 PH5.5 W 72 BAG"/>
        <s v="INCI FRESH VITE&amp;PROVITB5 PH5.5 W 90/18FR"/>
        <s v="SEPTONA CALM NCARE CHAMOM BABY 12 W BAG"/>
        <s v="SEPTONA ALOE VERA BABY ALC.FREE 20 BAG"/>
        <s v="SEPTONA CHAMOMILE BABY 20 W BAG"/>
        <s v="SEPTONA SENSITIVE ALMOND&amp;MILK W 20 BAG"/>
        <s v="SEPTONA SENSITIVE CALMN CARE W 54 BAG"/>
        <s v="SEPTONA CALM NCARE PANTENOL W 57 BAG"/>
        <s v="SEPTONA ALOE VERA BABY 64 BAG"/>
        <s v="SEPTONA CHAMOMILE BABY 3X64/1GR W BAG"/>
        <s v="SEPTONA CHAMOMILE BABY 64 W BAG"/>
        <s v="SEPTONA CHAMOMILE BABY 64 W BAG KAPAK"/>
        <s v="SEPTONA SENSITIVE ALMOND&amp;MILK W 3X64/1FR"/>
        <s v="SEPTONA SENSITIVE ALMOND&amp;MILK W 64 BAG"/>
        <s v="SEPTONA SENSITIVE CALMN CARE W 64 BAG"/>
        <s v="SEPTONA MILD FRAGANCE ALC.FREE W 72 BAG"/>
        <s v="SEPTONA CALM NCARE PANTENOL W 75 BAG"/>
        <s v="SEPTONA CALMN CARE ALOE VERA W 80 BAG"/>
        <s v="IASSMIN BABY CREAM PH5.5 W 72 BAG"/>
        <s v="JUNIOR&amp;TOMMY SENSITIVE W 120 BAG KAPAK"/>
        <s v="JUNIOR&amp;TOMMY SENSITIVE W 72 BAG"/>
        <s v="JUNIOR&amp;TOMMY SENSITIVE W 72 BAG KAPAK"/>
        <s v="LADY FRESH BABY ALC.FREE W 105/5FREE"/>
        <s v="NIK&amp;SI BABY PH5.5 W 72 BAG KAPAK"/>
        <s v="NIKI BABY ALC.FREE W 130/10FR BAG KAPAK"/>
        <s v="PEPINO BABY P H5.5 W 120/20FREE BAG"/>
        <s v="PEPINO BABY P H5.5 W 130/10FREE BAG"/>
        <s v="PEPINO BABY SOFT&amp;LUX P H5.5 W 70 BAG"/>
        <s v="RENKLI MAGIC P H5.5 W 120 BAG KAPAK"/>
        <s v="RENKLI PREMIUM BABY ALC.FREE W 130 BAG"/>
        <s v="RENKLI BABY KIDS P H5.5 W 72 BAG"/>
        <s v="RENKLI BABY KIDS P H5.5 W 72 BAG KAPAK"/>
        <s v="RENKLI ZOO ANTIBACTERIAL W 72 BAG KAPAK"/>
        <s v="RENKLI BABY LUX PH5.5 W 2X80 BAG"/>
        <s v="RENKLI BABY LUX W 80 BAG KAPACHE"/>
        <s v="SEMI LOVESOFT BABY P.H5.5 W 72 KAPAK BAG"/>
        <s v="SWEET BABY ALOEVERA PH5.5 W 72 BAG KAPAK"/>
        <s v="FARMACOTONE BEBE CALENDULA SENS. 60 BAG"/>
        <s v="FARMACOTONE BIO ALOE&amp;ALMOND PH5.5 72 BAG"/>
        <s v="VOI MULTI VITAMINS PH5.5 W 100 BAG SINI"/>
        <s v="VOI MULTIVITAMINS PH5.5 W 100 BAG PURPLE"/>
        <s v="VOI CREAM LOTION PH5.5 W 120 BAG KAPAK"/>
        <s v="VOI CHAMOMILE PH5.5 W 72 BAG KAPAK"/>
        <s v="VOI CREAM LOTION PH5.5 W 72 BAG KAPAK"/>
        <s v="NATURAVERDE BIO AVENACAMMOMILA W 20 BAG"/>
        <s v="NATURAVERDE BIO AVENACAMMOMILA W 72 BAG"/>
        <s v="TOVA  FreshClean PH5.5 W 120 BAG"/>
        <s v="ALVESTA BABY PH5.5 W 120 BAG KAPAK"/>
        <s v="ALVESTA BABY PH5.5 W 72 BAG KAPAK"/>
        <s v="MIS MAK CLEANSE&amp;REFRESH PH5.5 W 72 BAG"/>
        <s v="BIVY BABY NEWBORN W 60 BAG KAPAK"/>
        <s v="BIVY SOFT&amp;FRESH PROVITB5&amp;VITE W 72 BAG"/>
        <s v="DAISY BABY WET WIPES W 120 BAG"/>
        <s v="BEBECAN PH5.5 W 72 BAG TNCR GIDA KAPAK"/>
        <s v="HUGO BABY ALC.FREE W 120 BAG"/>
        <s v="PROSOFT VITE&amp;PROVITB5 W 72 BAG CHERVENI"/>
        <s v="PROSOFT VITE&amp;PROVITB5 W 72 BAG ZELENI"/>
        <s v="BAMBINO SENS.ALOE&amp;OLIVE ALC.FREE W100BAG"/>
        <s v="UNAC BABY LOTION&amp;VIT.E AL.FREE W 120 BAG"/>
        <s v="DOVE BABY RICHMOISTURE ALC.FREE W 50 BAG"/>
        <s v="DOVE BABY SENSITIVE MOISTURE W 50 BAG"/>
        <s v="BEBECAN BABY PH5.5 W 72 BAG YESIL"/>
      </sharedItems>
    </cacheField>
    <cacheField name="BRAND" numFmtId="0">
      <sharedItems count="152">
        <s v="BABY 2000 "/>
        <s v="BAMBO "/>
        <s v="BABY CREMA "/>
        <s v="LINDY "/>
        <s v="LUBA "/>
        <s v="HUGGLO "/>
        <s v="PAPILION "/>
        <s v="HONEY BEBISH "/>
        <s v="PINE "/>
        <s v="TROMPY "/>
        <s v="HAPPY FRESH "/>
        <s v="ULTRA COMPACT "/>
        <s v="KANZ "/>
        <s v="CHICCO "/>
        <s v="UNI "/>
        <s v="EVENT "/>
        <s v="TEX "/>
        <s v="NIVEA "/>
        <s v="SMILE "/>
        <s v="SOFTLINE "/>
        <s v="BABY CARE "/>
        <s v="ClearSight "/>
        <s v="OKIDOKI "/>
        <s v="BABY WISH "/>
        <s v="COSMI"/>
        <s v="AQUELLA "/>
        <s v="AURA "/>
        <s v="COTTON BABY "/>
        <s v="MIMI "/>
        <s v="MY COMFORT "/>
        <s v="NICE BABY "/>
        <s v="WINEX "/>
        <s v="FOMEX "/>
        <s v="PADDLERS "/>
        <s v="PURE "/>
        <s v="SLEEPY "/>
        <s v="YESS BABY "/>
        <s v="ELAN "/>
        <s v="SETABLU "/>
        <s v="LIBERO "/>
        <s v="EVY BABY "/>
        <s v="FEMOLE "/>
        <s v="BERFINY "/>
        <s v="FRESH RUNY "/>
        <s v="FRESHMAKER "/>
        <s v="HAPPY "/>
        <s v="KIDS "/>
        <s v="LIO FRESH "/>
        <s v="LIOLA "/>
        <s v="NEMDIL "/>
        <s v="PREMIUM "/>
        <s v="NAPEEZ BY GRACIA "/>
        <s v="MIKE LINE "/>
        <s v="PRIME "/>
        <s v="PONKY "/>
        <s v="POZZY "/>
        <s v="CLEANIC "/>
        <s v="PETINO "/>
        <s v="MOLFIX "/>
        <s v="HIMALAYA "/>
        <s v="HIPP "/>
        <s v="BIONIKE "/>
        <s v="WATER WIPES "/>
        <s v="PAW PATROL "/>
        <s v="PEPPA PIG "/>
        <s v="JOHNSONS "/>
        <s v="MAIA "/>
        <s v="BEBECEN "/>
        <s v="KRISPA "/>
        <s v="SOFT &amp; FRESH "/>
        <s v="RENKLY BABY "/>
        <s v="HUGGIES "/>
        <s v="KOMILI "/>
        <s v="TANGO "/>
        <s v="MUSTELA "/>
        <s v="LANSINOH "/>
        <s v="BABY 2258"/>
        <s v="LARA "/>
        <s v="PUFY "/>
        <s v="TOP BLITZ "/>
        <s v="CONFY "/>
        <s v="MIMOSA "/>
        <s v="SENCE "/>
        <s v="BABYLINO "/>
        <s v="L'UNICO "/>
        <s v="BIG SOFT "/>
        <s v="MORS "/>
        <s v="WIPEST "/>
        <s v="NATY "/>
        <s v="FRESH BABY "/>
        <s v="GOLDEN "/>
        <s v="MY FIX "/>
        <s v="PUFFY "/>
        <s v="TITO "/>
        <s v="FRESH "/>
        <s v="FRESH SENSE "/>
        <s v="SPEEDY CARE "/>
        <s v="CAN BEBE "/>
        <s v="BABS &amp; BABS "/>
        <s v="KOPRINA "/>
        <s v="BEBIKO "/>
        <s v="PAPATYA "/>
        <s v="PERFETTO "/>
        <s v="BETTY "/>
        <s v="KLORANE "/>
        <s v="SLIPP "/>
        <s v="MELANI "/>
        <s v="PAMPERS "/>
        <s v="PRIMA "/>
        <s v="URIAGE "/>
        <s v="BEBECAN "/>
        <s v="BIMBO &amp; BIMBA "/>
        <s v="VIBELLE "/>
        <s v="BELUX "/>
        <s v="SECKIN "/>
        <s v="SOFT CARE "/>
        <s v="HOPS "/>
        <s v="MAXIMENS "/>
        <s v="DOCTOR "/>
        <s v="MEDPROFFESIONAL "/>
        <s v="SPRING LINE "/>
        <s v="GIAN "/>
        <s v="SEBAMED "/>
        <s v="MAMMI "/>
        <s v="ASALI "/>
        <s v="COTTON SOFT "/>
        <s v="ELVIM "/>
        <s v="FLAMINGO "/>
        <s v="INCI "/>
        <s v="SEPTONA "/>
        <s v="IASSMIN "/>
        <s v="JUNIOR &amp; TOMMY "/>
        <s v="LADY FRESH "/>
        <s v="NIK &amp; SI "/>
        <s v="NIKI "/>
        <s v="PEPINO "/>
        <s v="RENKLI "/>
        <s v="SEMI "/>
        <s v="SWEET "/>
        <s v="FARMACOTONE "/>
        <s v="VOI "/>
        <s v="NATURAVERDE "/>
        <s v="TOVA "/>
        <s v="ALVESTA "/>
        <s v="MIS MAK "/>
        <s v="BIVY "/>
        <s v="DAISY "/>
        <s v="HUGO BABY "/>
        <s v="PROSOFT "/>
        <s v="BAMBINO "/>
        <s v="UNAC "/>
        <s v="DOVE "/>
      </sharedItems>
    </cacheField>
    <cacheField name="MANUFACTURER2" numFmtId="0">
      <sharedItems count="107">
        <s v="Nova Garbagnate"/>
        <s v=" BeneCare"/>
        <s v=" VigaLife"/>
        <s v=" Intelligent Initiative"/>
        <s v=" BroadLeaf Group"/>
        <s v=" ArborChemistry"/>
        <s v=" ArkPapers"/>
        <s v=" Arkana PaperCraft"/>
        <s v=" Fragrantium S.A."/>
        <s v=" ArsenicChem"/>
        <s v=" Creativa Worldwide"/>
        <s v=" CultureSana"/>
        <s v=" Ataman Industries"/>
        <s v=" AxisOn Group"/>
        <s v=" PureAim Cleaners"/>
        <s v=" AlpineMeadow"/>
        <s v=" BioRealm Corp"/>
        <s v=" BurdenCo"/>
        <s v=" TradeKing Cengiz"/>
        <s v=" ClearSight"/>
        <s v=" CodeInt B.V."/>
        <s v=" ChillClean"/>
        <s v=" Cosmopolitan Italy"/>
        <s v=" CottonUnion"/>
        <s v=" EastChem"/>
        <s v=" EnkaHygiene"/>
        <s v=" ErusHealth Products"/>
        <s v=" Esburg Health"/>
        <s v=" SCProducts"/>
        <s v=" EssentialsCo"/>
        <s v=" EveCraft"/>
        <s v=" FemmeBeauty"/>
        <s v=" Fulya Beauty"/>
        <s v=" Grace Corp"/>
        <s v=" SouthernGroup SP"/>
        <s v=" AvellinoGroup SRL"/>
        <s v=" RoseBeauty"/>
        <s v=" CleanHarper"/>
        <s v=" LifeChem"/>
        <s v=" MountainMedicine"/>
        <s v=" Swift GMBH"/>
        <s v=" InsideGlobal"/>
        <s v=" CelticWind Ltd"/>
        <s v=" JellyHealth"/>
        <s v=" Thomson &amp; Thomson"/>
        <s v=" KalesCo"/>
        <s v=" Kantara Productions Distribution"/>
        <s v=" CapPlus"/>
        <s v=" BrothersFlyProducts SAN A.S."/>
        <s v=" Snowball Cologne"/>
        <s v=" Kimberly Stone"/>
        <s v=" OliveTree S.A."/>
        <s v=" CosmicChem"/>
        <s v=" LabExpand"/>
        <s v=" LansinLab Inc"/>
        <s v=" Lara Beauty"/>
        <s v=" LeaderHealthFood"/>
        <s v=" GlobalMap"/>
        <s v=" PrimeBrands Marketing B.V."/>
        <s v=" Giga S.A."/>
        <s v=" Miss Health Co."/>
        <s v=" MontraWorld"/>
        <s v=" Moratex Group / Tobi MegaGroup LTD"/>
        <s v=" MoreBeauty"/>
        <s v=" NaturalCo AB"/>
        <s v=" Voyage Turkey"/>
        <s v=" Nur Food Industry"/>
        <s v=" O-Package S.R.L."/>
        <s v=" OnTop"/>
        <s v=" OzFoodMakers A.S."/>
        <s v=" CrescentTextile SAN"/>
        <s v=" PakChem"/>
        <s v=" Daisy Cotton Cosmetics"/>
        <s v=" IdealGroup"/>
        <s v=" PhoenixMedicine DOO"/>
        <s v=" FabreStone"/>
        <s v=" Pyramid72 DOO"/>
        <s v=" PreDone"/>
        <s v=" ProStart 97"/>
        <s v=" Proctor &amp; Wager"/>
        <s v=" PuigPeak"/>
        <s v=" RameBeauty"/>
        <s v=" QueenTrade LTD"/>
        <s v=" ColorSan"/>
        <s v=" SanHealth LTD"/>
        <s v=" SaproClean"/>
        <s v=" YellowHand Cleaners"/>
        <s v=" EuroPack Communications SRL"/>
        <s v=" SigmaKappaZeta Co."/>
        <s v=" SebaMedicines"/>
        <s v=" SignalTrade"/>
        <s v=" SepaTextiles"/>
        <s v=" SeptOn SA"/>
        <s v=" LovelyCo"/>
        <s v=" Quake S.P.A."/>
        <s v=" HappyBeauty A.S."/>
        <s v=" So.Di.Co - Cosmetics Distribution Society"/>
        <s v=" QueenStand Investment"/>
        <s v=" BladeSon LTD"/>
        <s v=" TahaChem Cosmetics"/>
        <s v=" TextileSan"/>
        <s v=" FoodTNCR"/>
        <s v=" TroyBeauty Trade"/>
        <s v=" MegaBeauty"/>
        <s v=" Unac Beauty Makers SAN."/>
        <s v=" UniHandle"/>
        <s v=" GreenIlgaz Group"/>
      </sharedItems>
    </cacheField>
    <cacheField name="Company" numFmtId="0">
      <sharedItems count="114">
        <s v="Nova Garbagnate"/>
        <s v="BeneCare"/>
        <s v="VigaLife"/>
        <s v="Intelligent Initiative"/>
        <s v="BroadLeaf Group"/>
        <s v="ArborChemistry"/>
        <s v="ArkPapers"/>
        <s v="Arkana PaperCraft"/>
        <s v="Fragrantium S.A."/>
        <s v="ArsenicChem"/>
        <s v=" Creativa Worldwide"/>
        <s v="CultureSana"/>
        <s v="Ataman Industries"/>
        <s v="AxisOn Group"/>
        <s v="PureAim Cleaners"/>
        <s v="AlpineMeadow"/>
        <s v="BIOSPHERE CORP."/>
        <s v="BurdenCo"/>
        <s v="TradeKing Cengiz"/>
        <s v="ClearSight"/>
        <s v="CodeInt B.V."/>
        <s v="ChillClean"/>
        <s v="N.A"/>
        <s v=" CottonUnion"/>
        <s v="EastChem"/>
        <s v="ENKA HIJYUEN"/>
        <s v=" ErusHealth Products"/>
        <s v="ERUSLU"/>
        <s v="Esburg Health"/>
        <s v="SCProducts"/>
        <s v="ESSITY"/>
        <s v="EveCraft"/>
        <s v="FEM COSMETIC"/>
        <s v="FULYA COSMETICS"/>
        <s v="FULYA KOZM."/>
        <s v="GRACIA COMPANY"/>
        <s v="GRUPA POLUDNIE SP"/>
        <s v="GRUPPO AVELLA SRL "/>
        <s v="GULSAH KOZMETIK"/>
        <s v="HARPER HYGIENICS"/>
        <s v="HAYAT KIMYA"/>
        <s v="HIMALAYA DRUG"/>
        <s v="HIPP GMBH"/>
        <s v="ICIM INTERNATIONAL"/>
        <s v="IRISH BREEZE LTD"/>
        <s v="JELLYWORKS HEALTHCARE"/>
        <s v="JOHNSON &amp; JOHNSON INT."/>
        <s v="KALESAN"/>
        <s v="KANTARA PRODUKSIYON DAGITIM"/>
        <s v="KAPPUS"/>
        <s v="KARDESLER UCANYAGLAR SAN A"/>
        <s v="KARTOPU KOLONYA"/>
        <s v="KIMBERLEY CLARK"/>
        <s v="KOMILI S.A."/>
        <s v="KOZMO KIMYA"/>
        <s v="LABORATORY EXPANSCIENCE"/>
        <s v="LANSINOH LABORATORIE INC"/>
        <s v="LARA KOZMETIK"/>
        <s v="LARA COSMETIC"/>
        <s v="LARA KOSMETICK"/>
        <s v="LIDERSAN SAGLIK VE GIDA"/>
        <s v="MAPA INTERNATIONAL"/>
        <s v="MAXBRANDS MARKETING B.V."/>
        <s v="MEGA"/>
        <s v="MEGA S.A."/>
        <s v="MIS SAGLIK SAN."/>
        <s v="MONTRASIO"/>
        <s v="MORAMEX GROUP / TOBI MG LTD"/>
        <s v="MORS COSMETICS"/>
        <s v="NATY AB"/>
        <s v="NAVIGA TURKEY"/>
        <s v="NUR GIDA SAN"/>
        <s v="NUR GIDA SANAYI"/>
        <s v="O-PAC S.R.L."/>
        <s v="ONTEX"/>
        <s v="OZDAMARLAR GIDA A.S."/>
        <s v="OZYURT TEKSTIL SAN"/>
        <s v="PAKSEL KIMYA"/>
        <s v="PAPATYA PAMUK KOSMETIK"/>
        <s v="PERFETTO GROUP"/>
        <s v="PHOENIX PHARMA DOO"/>
        <s v="PIERRE FABRE"/>
        <s v="PIRAMIDA 72 DOO"/>
        <s v="PREDO"/>
        <s v="PROBEG 97"/>
        <s v="PROCTER &amp; GAMBLE"/>
        <s v="PUIG"/>
        <s v="RAMER KOZMETIK"/>
        <s v="REGINA TRADING LTD"/>
        <s v="RENKSAN"/>
        <s v="SANO LTD"/>
        <s v="SAPRO TEMIZLIK"/>
        <s v="SARIHAN TEMIZLIK"/>
        <s v="SC EUROPACK MEDIA SRL"/>
        <s v="SCK ZETA COMPANY"/>
        <s v="SEBAPHARMA"/>
        <s v="SEMA TREYD ODD"/>
        <s v="SEPA MENSUCAT"/>
        <s v="SEPTONA SA"/>
        <s v="SEVIMLER"/>
        <s v="SISMA S.P.A."/>
        <s v="SMILE COSMETICS"/>
        <s v="SO.DI.CO - SOCIETA DISTRIBU"/>
        <s v="STANQUEEN INVESTMENT"/>
        <s v="SWORDSON LTD"/>
        <s v="TAHA KIMYA KOZMETIK"/>
        <s v="TEKSAN"/>
        <s v="TNCR GIDA"/>
        <s v="TRUVA KOZMETIK"/>
        <s v="TRUVA KOZMETIK TIC"/>
        <s v="ULTRA COSMETICS"/>
        <s v="UNAC GROUP KOZMETIK SAN."/>
        <s v="UNILEVER"/>
        <s v="YESIL ILGAZ"/>
      </sharedItems>
    </cacheField>
    <cacheField name="Package Type" numFmtId="0">
      <sharedItems count="2">
        <s v="BAGS"/>
        <s v="BOX"/>
      </sharedItems>
    </cacheField>
    <cacheField name="Protection/Care" numFmtId="0">
      <sharedItems count="6">
        <s v="WITHOUT EXTRA PROTECTCARE INDICATION"/>
        <s v="PH BALANCED"/>
        <s v="ALCOHOL FREE"/>
        <s v="SENSITIVE"/>
        <s v="HYPOALLERGENIC"/>
        <s v="ALCOHOL FREE &amp; HYPOALLERGENIC"/>
      </sharedItems>
    </cacheField>
    <cacheField name="Package Size" numFmtId="0">
      <sharedItems containsSemiMixedTypes="0" containsString="0" containsNumber="1" containsInteger="1" minValue="10" maxValue="240" count="36">
        <n v="20"/>
        <n v="10"/>
        <n v="50"/>
        <n v="80"/>
        <n v="100"/>
        <n v="120"/>
        <n v="15"/>
        <n v="40"/>
        <n v="56"/>
        <n v="64"/>
        <n v="72"/>
        <n v="90"/>
        <n v="102"/>
        <n v="60"/>
        <n v="140"/>
        <n v="25"/>
        <n v="30"/>
        <n v="63"/>
        <n v="66"/>
        <n v="110"/>
        <n v="70"/>
        <n v="52"/>
        <n v="240"/>
        <n v="28"/>
        <n v="24"/>
        <n v="96"/>
        <n v="12"/>
        <n v="54"/>
        <n v="88"/>
        <n v="37"/>
        <n v="48"/>
        <n v="42"/>
        <n v="144"/>
        <n v="57"/>
        <n v="75"/>
        <n v="130"/>
      </sharedItems>
    </cacheField>
    <cacheField name="2022" numFmtId="0">
      <sharedItems containsSemiMixedTypes="0" containsString="0" containsNumber="1" minValue="0" maxValue="1663.8369" count="415">
        <n v="1.9350000000000001"/>
        <n v="0"/>
        <n v="1.09E-2"/>
        <n v="81.467399999999998"/>
        <n v="165.22800000000001"/>
        <n v="842.87239999999997"/>
        <n v="12.774800000000001"/>
        <n v="20.055299999999999"/>
        <n v="1.2461"/>
        <n v="9.6471999999999998"/>
        <n v="0.1235"/>
        <n v="0.18310000000000001"/>
        <n v="1.8938999999999999"/>
        <n v="1.3514999999999999"/>
        <n v="5.8978000000000002"/>
        <n v="0.69669999999999999"/>
        <n v="117.6534"/>
        <n v="38.677799999999998"/>
        <n v="6.1199999999999997E-2"/>
        <n v="36.521799999999999"/>
        <n v="21.958300000000001"/>
        <n v="27.983599999999999"/>
        <n v="221.17019999999999"/>
        <n v="6.4486999999999997"/>
        <n v="1663.8369"/>
        <n v="1.7698"/>
        <n v="61.981900000000003"/>
        <n v="78.227999999999994"/>
        <n v="11.11"/>
        <n v="79.953000000000003"/>
        <n v="12.195"/>
        <n v="60.510800000000003"/>
        <n v="47.8005"/>
        <n v="5.5922000000000001"/>
        <n v="53.490699999999997"/>
        <n v="8.2710000000000008"/>
        <n v="70.562299999999993"/>
        <n v="34.495899999999999"/>
        <n v="49.5715"/>
        <n v="0.70520000000000005"/>
        <n v="0.76280000000000003"/>
        <n v="14.3467"/>
        <n v="9.9741999999999997"/>
        <n v="15.1808"/>
        <n v="18.2471"/>
        <n v="13.7898"/>
        <n v="29.590800000000002"/>
        <n v="0.72840000000000005"/>
        <n v="2.0455000000000001"/>
        <n v="1.0717000000000001"/>
        <n v="0.46760000000000002"/>
        <n v="4.4499999999999998E-2"/>
        <n v="3.3401000000000001"/>
        <n v="1.2582"/>
        <n v="4.5986000000000002"/>
        <n v="0.94640000000000002"/>
        <n v="1.8199000000000001"/>
        <n v="3.1665000000000001"/>
        <n v="209.29769999999999"/>
        <n v="2.7799999999999998E-2"/>
        <n v="27.777100000000001"/>
        <n v="40.515599999999999"/>
        <n v="61.397500000000001"/>
        <n v="1.03E-2"/>
        <n v="11.2281"/>
        <n v="56.268599999999999"/>
        <n v="0.64159999999999995"/>
        <n v="64.480099999999993"/>
        <n v="0.22359999999999999"/>
        <n v="15.0191"/>
        <n v="19.776399999999999"/>
        <n v="41.314100000000003"/>
        <n v="10.5054"/>
        <n v="26.694099999999999"/>
        <n v="0.52039999999999997"/>
        <n v="15.267200000000001"/>
        <n v="9.5295000000000005"/>
        <n v="11.2293"/>
        <n v="28.356999999999999"/>
        <n v="12.003299999999999"/>
        <n v="0.11600000000000001"/>
        <n v="4.6429999999999998"/>
        <n v="8.5853000000000002"/>
        <n v="0.83140000000000003"/>
        <n v="2.9493999999999998"/>
        <n v="4.0140000000000002"/>
        <n v="4.0500000000000001E-2"/>
        <n v="0.76770000000000005"/>
        <n v="0.86809999999999998"/>
        <n v="9.5548999999999999"/>
        <n v="21.0763"/>
        <n v="59.8855"/>
        <n v="37.596899999999998"/>
        <n v="4.1798000000000002"/>
        <n v="16.9573"/>
        <n v="8.9794"/>
        <n v="0.34189999999999998"/>
        <n v="25.1"/>
        <n v="1.24"/>
        <n v="1.1599999999999999"/>
        <n v="0.25940000000000002"/>
        <n v="0.24010000000000001"/>
        <n v="8.8999999999999999E-3"/>
        <n v="3.6436000000000002"/>
        <n v="4.9200000000000001E-2"/>
        <n v="4.9882"/>
        <n v="2.3513000000000002"/>
        <n v="7.0484"/>
        <n v="6.2529000000000003"/>
        <n v="1.6668000000000001"/>
        <n v="7.5975000000000001"/>
        <n v="2.5741999999999998"/>
        <n v="29.782299999999999"/>
        <n v="0.4194"/>
        <n v="393.93759999999997"/>
        <n v="11.008699999999999"/>
        <n v="6.3380999999999998"/>
        <n v="17.2865"/>
        <n v="8.3360000000000003"/>
        <n v="10.51"/>
        <n v="0.1246"/>
        <n v="4.02E-2"/>
        <n v="225.05289999999999"/>
        <n v="27.677700000000002"/>
        <n v="41.221899999999998"/>
        <n v="41.486600000000003"/>
        <n v="50.296300000000002"/>
        <n v="5.0095999999999998"/>
        <n v="4.6416000000000004"/>
        <n v="137.1788"/>
        <n v="14.2293"/>
        <n v="7.4866999999999999"/>
        <n v="1.3945000000000001"/>
        <n v="7.7927999999999997"/>
        <n v="63.770400000000002"/>
        <n v="12.7019"/>
        <n v="0.59"/>
        <n v="6.1999999999999998E-3"/>
        <n v="230.74209999999999"/>
        <n v="0.37059999999999998"/>
        <n v="29.4162"/>
        <n v="2.2702"/>
        <n v="296.26589999999999"/>
        <n v="2.9716999999999998"/>
        <n v="0.21840000000000001"/>
        <n v="0.50360000000000005"/>
        <n v="0.17610000000000001"/>
        <n v="0.50239999999999996"/>
        <n v="0.31990000000000002"/>
        <n v="3.0116000000000001"/>
        <n v="1.7111000000000001"/>
        <n v="88.057900000000004"/>
        <n v="1.0826"/>
        <n v="0.44109999999999999"/>
        <n v="2.1700000000000001E-2"/>
        <n v="1.675"/>
        <n v="9.3126999999999995"/>
        <n v="11.1845"/>
        <n v="6.6299999999999998E-2"/>
        <n v="0.61529999999999996"/>
        <n v="18.4224"/>
        <n v="1.851"/>
        <n v="198.11109999999999"/>
        <n v="1.278"/>
        <n v="0.3851"/>
        <n v="1.0960000000000001"/>
        <n v="8.1957000000000004"/>
        <n v="2.8999999999999998E-3"/>
        <n v="0.22670000000000001"/>
        <n v="24.499500000000001"/>
        <n v="1.1900000000000001E-2"/>
        <n v="0.33289999999999997"/>
        <n v="8.5007999999999999"/>
        <n v="32.951099999999997"/>
        <n v="53.822000000000003"/>
        <n v="81.760300000000001"/>
        <n v="24.3629"/>
        <n v="6.2572999999999999"/>
        <n v="2.9600000000000001E-2"/>
        <n v="2.3472"/>
        <n v="5.9740000000000002"/>
        <n v="0.1293"/>
        <n v="11.181699999999999"/>
        <n v="8.2699999999999996E-2"/>
        <n v="2.0510000000000002"/>
        <n v="10.297499999999999"/>
        <n v="0.2089"/>
        <n v="1.4366000000000001"/>
        <n v="6.5038999999999998"/>
        <n v="7.0000000000000001E-3"/>
        <n v="9.9892000000000003"/>
        <n v="2.3199999999999998E-2"/>
        <n v="12.8912"/>
        <n v="32.355400000000003"/>
        <n v="39.0503"/>
        <n v="18.061"/>
        <n v="60.256900000000002"/>
        <n v="20.0168"/>
        <n v="15.4658"/>
        <n v="17.192699999999999"/>
        <n v="12.4558"/>
        <n v="29.7578"/>
        <n v="12.4033"/>
        <n v="1.6268"/>
        <n v="2.5358999999999998"/>
        <n v="17.9986"/>
        <n v="18.099399999999999"/>
        <n v="13.9643"/>
        <n v="11.936500000000001"/>
        <n v="16.799600000000002"/>
        <n v="15.0557"/>
        <n v="2.5228000000000002"/>
        <n v="5.8501000000000003"/>
        <n v="3.5649999999999999"/>
        <n v="4.5880999999999998"/>
        <n v="3.0200000000000001E-2"/>
        <n v="0.1913"/>
        <n v="2.6700000000000002E-2"/>
        <n v="6.93E-2"/>
        <n v="7.6300000000000007E-2"/>
        <n v="13.539"/>
        <n v="9.7232000000000003"/>
        <n v="0.4834"/>
        <n v="0.13550000000000001"/>
        <n v="3.7978999999999998"/>
        <n v="10.1713"/>
        <n v="8.9099999999999999E-2"/>
        <n v="16.7622"/>
        <n v="61.024299999999997"/>
        <n v="99.720299999999995"/>
        <n v="86.361699999999999"/>
        <n v="23.7104"/>
        <n v="34.488300000000002"/>
        <n v="0.31869999999999998"/>
        <n v="7.1499999999999994E-2"/>
        <n v="2.8529"/>
        <n v="13.515499999999999"/>
        <n v="4.0548000000000002"/>
        <n v="42.300199999999997"/>
        <n v="12.6196"/>
        <n v="14.5854"/>
        <n v="0.1139"/>
        <n v="0.19919999999999999"/>
        <n v="4.4461000000000004"/>
        <n v="0.15609999999999999"/>
        <n v="1.8445"/>
        <n v="0.57199999999999995"/>
        <n v="10.123900000000001"/>
        <n v="1.0731999999999999"/>
        <n v="2.6486999999999998"/>
        <n v="84.095799999999997"/>
        <n v="24.440899999999999"/>
        <n v="2.0893000000000002"/>
        <n v="6.1833"/>
        <n v="2.5480999999999998"/>
        <n v="0.15809999999999999"/>
        <n v="6.0000000000000001E-3"/>
        <n v="0.36020000000000002"/>
        <n v="1.4545999999999999"/>
        <n v="0.69610000000000005"/>
        <n v="0.83640000000000003"/>
        <n v="1.8599999999999998E-2"/>
        <n v="0.34599999999999997"/>
        <n v="0.25569999999999998"/>
        <n v="4.2514000000000003"/>
        <n v="9.6434999999999995"/>
        <n v="12.711499999999999"/>
        <n v="192.72300000000001"/>
        <n v="6.59E-2"/>
        <n v="5.1000000000000004E-3"/>
        <n v="0.1182"/>
        <n v="0.87180000000000002"/>
        <n v="5.4508000000000001"/>
        <n v="9.06E-2"/>
        <n v="1.3827"/>
        <n v="4.0780000000000003"/>
        <n v="264.06810000000002"/>
        <n v="8.5046999999999997"/>
        <n v="171.4581"/>
        <n v="195.73400000000001"/>
        <n v="0.2492"/>
        <n v="0.97950000000000004"/>
        <n v="1.0518000000000001"/>
        <n v="1.23"/>
        <n v="0.64070000000000005"/>
        <n v="0.8125"/>
        <n v="0.40889999999999999"/>
        <n v="1.716"/>
        <n v="0.17050000000000001"/>
        <n v="1.5501"/>
        <n v="0.72089999999999999"/>
        <n v="0.48470000000000002"/>
        <n v="1.3634999999999999"/>
        <n v="0.2001"/>
        <n v="0.30409999999999998"/>
        <n v="1.4756"/>
        <n v="0.92279999999999995"/>
        <n v="105.723"/>
        <n v="0.97140000000000004"/>
        <n v="0.23680000000000001"/>
        <n v="40.155500000000004"/>
        <n v="124.0141"/>
        <n v="126.2456"/>
        <n v="95.148099999999999"/>
        <n v="19.249199999999998"/>
        <n v="0.76639999999999997"/>
        <n v="0.17649999999999999"/>
        <n v="3.9998"/>
        <n v="3.4256000000000002"/>
        <n v="2.0205000000000002"/>
        <n v="2.1128999999999998"/>
        <n v="0.03"/>
        <n v="3.5200000000000002E-2"/>
        <n v="0.17460000000000001"/>
        <n v="1.0412999999999999"/>
        <n v="3.8100000000000002E-2"/>
        <n v="1.0855999999999999"/>
        <n v="0.72109999999999996"/>
        <n v="0.80620000000000003"/>
        <n v="15.5359"/>
        <n v="0.33579999999999999"/>
        <n v="27.901900000000001"/>
        <n v="2.58E-2"/>
        <n v="0.55289999999999995"/>
        <n v="3.53"/>
        <n v="0.42930000000000001"/>
        <n v="0.48170000000000002"/>
        <n v="4.2949000000000002"/>
        <n v="13.5303"/>
        <n v="8.9724000000000004"/>
        <n v="0.24310000000000001"/>
        <n v="299.24509999999998"/>
        <n v="228.9504"/>
        <n v="9.0039999999999996"/>
        <n v="9.5648"/>
        <n v="0.18679999999999999"/>
        <n v="0.2319"/>
        <n v="0.2671"/>
        <n v="0.10589999999999999"/>
        <n v="2.1598999999999999"/>
        <n v="10.1408"/>
        <n v="2.9045000000000001"/>
        <n v="2.9113000000000002"/>
        <n v="4.2324000000000002"/>
        <n v="2.6360000000000001"/>
        <n v="59.2014"/>
        <n v="6.7272999999999996"/>
        <n v="53.944000000000003"/>
        <n v="10.5024"/>
        <n v="1.4174"/>
        <n v="2.9096000000000002"/>
        <n v="0.35610000000000003"/>
        <n v="1.3764000000000001"/>
        <n v="6.7664999999999997"/>
        <n v="14.513400000000001"/>
        <n v="17.654699999999998"/>
        <n v="20.231999999999999"/>
        <n v="26.3474"/>
        <n v="0.1701"/>
        <n v="0.8034"/>
        <n v="16.393699999999999"/>
        <n v="2.1175000000000002"/>
        <n v="1.9984999999999999"/>
        <n v="136.17420000000001"/>
        <n v="166.38550000000001"/>
        <n v="7.4499999999999997E-2"/>
        <n v="4.2912999999999997"/>
        <n v="12.5473"/>
        <n v="0.68669999999999998"/>
        <n v="37.213999999999999"/>
        <n v="2.7111999999999998"/>
        <n v="1.0042"/>
        <n v="251.465"/>
        <n v="15.856"/>
        <n v="2.5535999999999999"/>
        <n v="4.7511999999999999"/>
        <n v="1.23E-2"/>
        <n v="11.1968"/>
        <n v="2.3999999999999998E-3"/>
        <n v="0.22650000000000001"/>
        <n v="0.74809999999999999"/>
        <n v="7.1352000000000002"/>
        <n v="38.636499999999998"/>
        <n v="3.0739999999999998"/>
        <n v="57.373899999999999"/>
        <n v="0.84319999999999995"/>
        <n v="0.32700000000000001"/>
        <n v="30.607399999999998"/>
        <n v="0.26200000000000001"/>
        <n v="8.2482000000000006"/>
        <n v="5.7763"/>
        <n v="55.7286"/>
        <n v="5.5199999999999999E-2"/>
        <n v="5.3959999999999999"/>
        <n v="39.775100000000002"/>
        <n v="73.361099999999993"/>
        <n v="7.6637000000000004"/>
        <n v="97.800700000000006"/>
        <n v="137.74010000000001"/>
        <n v="34.508099999999999"/>
        <n v="7.7399999999999997E-2"/>
        <n v="6.8400000000000002E-2"/>
        <n v="1.2095"/>
        <n v="3.4049"/>
        <n v="0.27539999999999998"/>
        <n v="0.36249999999999999"/>
        <n v="54.988799999999998"/>
        <n v="0.1076"/>
        <n v="0.30349999999999999"/>
        <n v="34.620800000000003"/>
        <n v="2.0785999999999998"/>
        <n v="25.839099999999998"/>
        <n v="9.0969999999999995"/>
        <n v="10.3986"/>
        <n v="1.8396999999999999"/>
      </sharedItems>
    </cacheField>
    <cacheField name="2023" numFmtId="0">
      <sharedItems containsSemiMixedTypes="0" containsString="0" containsNumber="1" minValue="0" maxValue="1815.6596999999999" count="379">
        <n v="0.624"/>
        <n v="0"/>
        <n v="92.903000000000006"/>
        <n v="172.68430000000001"/>
        <n v="745.33579999999995"/>
        <n v="10.866"/>
        <n v="17.836099999999998"/>
        <n v="7.7651000000000003"/>
        <n v="10.7577"/>
        <n v="0.1116"/>
        <n v="1.6999999999999999E-3"/>
        <n v="0.1087"/>
        <n v="28.392900000000001"/>
        <n v="68.117699999999999"/>
        <n v="31.4983"/>
        <n v="5.1192000000000002"/>
        <n v="39.467100000000002"/>
        <n v="162.41050000000001"/>
        <n v="159.9896"/>
        <n v="1.6863999999999999"/>
        <n v="1815.6596999999999"/>
        <n v="0.36170000000000002"/>
        <n v="56.970199999999998"/>
        <n v="99.030500000000004"/>
        <n v="8.9543999999999997"/>
        <n v="73.757099999999994"/>
        <n v="8.5597999999999992"/>
        <n v="52.405999999999999"/>
        <n v="51.199100000000001"/>
        <n v="3.2536"/>
        <n v="5.3672000000000004"/>
        <n v="44.783700000000003"/>
        <n v="9.9309999999999992"/>
        <n v="56.785600000000002"/>
        <n v="35.333399999999997"/>
        <n v="57.943199999999997"/>
        <n v="4.4634999999999998"/>
        <n v="0.23669999999999999"/>
        <n v="14.9893"/>
        <n v="17.767600000000002"/>
        <n v="9.7044999999999995"/>
        <n v="19.903099999999998"/>
        <n v="10.6778"/>
        <n v="20.845300000000002"/>
        <n v="0.30070000000000002"/>
        <n v="1.6845000000000001"/>
        <n v="0.37340000000000001"/>
        <n v="6.2E-2"/>
        <n v="5.1974"/>
        <n v="4.4390999999999998"/>
        <n v="6.1303000000000001"/>
        <n v="1.6005"/>
        <n v="0.76910000000000001"/>
        <n v="10.5616"/>
        <n v="2.0855999999999999"/>
        <n v="0.54479999999999995"/>
        <n v="1.5012000000000001"/>
        <n v="0.6875"/>
        <n v="236.50559999999999"/>
        <n v="4.5999999999999999E-3"/>
        <n v="19.717700000000001"/>
        <n v="34.999099999999999"/>
        <n v="45.295999999999999"/>
        <n v="7.5716999999999999"/>
        <n v="22.377800000000001"/>
        <n v="0.34470000000000001"/>
        <n v="81.182500000000005"/>
        <n v="1.0136000000000001"/>
        <n v="17.616800000000001"/>
        <n v="13.798299999999999"/>
        <n v="32.422600000000003"/>
        <n v="0.496"/>
        <n v="16.9801"/>
        <n v="1.6072"/>
        <n v="3.7900000000000003E-2"/>
        <n v="8.6E-3"/>
        <n v="4.8898999999999999"/>
        <n v="5.8544999999999998"/>
        <n v="16.318300000000001"/>
        <n v="13.395300000000001"/>
        <n v="14.7631"/>
        <n v="1.8077000000000001"/>
        <n v="0.1202"/>
        <n v="20.580200000000001"/>
        <n v="12.0252"/>
        <n v="2.3708"/>
        <n v="4.2140000000000004"/>
        <n v="1.5299999999999999E-2"/>
        <n v="0.27079999999999999"/>
        <n v="16.797000000000001"/>
        <n v="7.9172000000000002"/>
        <n v="18.673500000000001"/>
        <n v="28.031099999999999"/>
        <n v="8.0383999999999993"/>
        <n v="9.4999999999999998E-3"/>
        <n v="36.513300000000001"/>
        <n v="28.314"/>
        <n v="24.999500000000001"/>
        <n v="61.22"/>
        <n v="18.822399999999998"/>
        <n v="2.9891000000000001"/>
        <n v="1.8923000000000001"/>
        <n v="14.477"/>
        <n v="47.287300000000002"/>
        <n v="5.6702000000000004"/>
        <n v="82.250100000000003"/>
        <n v="88.414900000000003"/>
        <n v="1.9E-3"/>
        <n v="0.20610000000000001"/>
        <n v="1.14E-2"/>
        <n v="0.97860000000000003"/>
        <n v="13.7189"/>
        <n v="24.545400000000001"/>
        <n v="3.7600000000000001E-2"/>
        <n v="0.1353"/>
        <n v="0.57930000000000004"/>
        <n v="3.2000000000000002E-3"/>
        <n v="8.0821000000000005"/>
        <n v="0.27539999999999998"/>
        <n v="316.5532"/>
        <n v="2.2010000000000001"/>
        <n v="3.1953"/>
        <n v="4.1882999999999999"/>
        <n v="23.858699999999999"/>
        <n v="1.9545999999999999"/>
        <n v="6.88E-2"/>
        <n v="160.9256"/>
        <n v="22.1416"/>
        <n v="44.201300000000003"/>
        <n v="73.395700000000005"/>
        <n v="34.107599999999998"/>
        <n v="5.5152000000000001"/>
        <n v="5.1684999999999999"/>
        <n v="116.5658"/>
        <n v="21.789000000000001"/>
        <n v="1.5100000000000001E-2"/>
        <n v="23.340299999999999"/>
        <n v="13.0259"/>
        <n v="1.1446000000000001"/>
        <n v="0.49220000000000003"/>
        <n v="1.4152"/>
        <n v="21.155899999999999"/>
        <n v="277.85789999999997"/>
        <n v="0.24890000000000001"/>
        <n v="107.9663"/>
        <n v="6.8476999999999997"/>
        <n v="290.55259999999998"/>
        <n v="0.47810000000000002"/>
        <n v="1.0699999999999999E-2"/>
        <n v="6.6451000000000002"/>
        <n v="0.48920000000000002"/>
        <n v="26.767399999999999"/>
        <n v="0.79220000000000002"/>
        <n v="0.41260000000000002"/>
        <n v="2.4634999999999998"/>
        <n v="6.4108999999999998"/>
        <n v="11.7105"/>
        <n v="0.12959999999999999"/>
        <n v="0.502"/>
        <n v="21.849599999999999"/>
        <n v="2.4146999999999998"/>
        <n v="233.6309"/>
        <n v="13.6012"/>
        <n v="0.2286"/>
        <n v="0.22009999999999999"/>
        <n v="0.10680000000000001"/>
        <n v="0.3664"/>
        <n v="0.14119999999999999"/>
        <n v="1.3658999999999999"/>
        <n v="2.8000000000000001E-2"/>
        <n v="10.2052"/>
        <n v="2.7199999999999998E-2"/>
        <n v="3.2099999999999997E-2"/>
        <n v="7.0191999999999997"/>
        <n v="1.8512999999999999"/>
        <n v="14.947100000000001"/>
        <n v="66.983199999999997"/>
        <n v="83.135000000000005"/>
        <n v="18.871200000000002"/>
        <n v="18.031600000000001"/>
        <n v="0.8044"/>
        <n v="8.2299999999999998E-2"/>
        <n v="15.1816"/>
        <n v="4.5199999999999997E-2"/>
        <n v="2.5941999999999998"/>
        <n v="4.8240999999999996"/>
        <n v="2.8525"/>
        <n v="6.5046999999999997"/>
        <n v="6.5199999999999994E-2"/>
        <n v="8.1153999999999993"/>
        <n v="2.375"/>
        <n v="14.945399999999999"/>
        <n v="0.01"/>
        <n v="38.555399999999999"/>
        <n v="53.6008"/>
        <n v="20.3689"/>
        <n v="59.171300000000002"/>
        <n v="19.4117"/>
        <n v="23.898299999999999"/>
        <n v="14.837400000000001"/>
        <n v="19.5045"/>
        <n v="42.059199999999997"/>
        <n v="7.0781999999999998"/>
        <n v="13.0489"/>
        <n v="12.3561"/>
        <n v="11.9328"/>
        <n v="0.56559999999999999"/>
        <n v="11.3424"/>
        <n v="11.79"/>
        <n v="9.7439"/>
        <n v="3.1604999999999999"/>
        <n v="3.9624000000000001"/>
        <n v="5.0932000000000004"/>
        <n v="7.0000000000000001E-3"/>
        <n v="2.0104000000000002"/>
        <n v="0.55200000000000005"/>
        <n v="6.6E-3"/>
        <n v="0.19889999999999999"/>
        <n v="0.42759999999999998"/>
        <n v="14.939299999999999"/>
        <n v="14.417199999999999"/>
        <n v="2.3E-3"/>
        <n v="0.23119999999999999"/>
        <n v="1.4034"/>
        <n v="54.880099999999999"/>
        <n v="69.369399999999999"/>
        <n v="82.962900000000005"/>
        <n v="101.56570000000001"/>
        <n v="2.5188000000000001"/>
        <n v="5.6889000000000003"/>
        <n v="6.2138"/>
        <n v="1.9742999999999999"/>
        <n v="47.540100000000002"/>
        <n v="2.4268999999999998"/>
        <n v="20.829499999999999"/>
        <n v="0.30170000000000002"/>
        <n v="39.128300000000003"/>
        <n v="45.532299999999999"/>
        <n v="4.0300000000000002E-2"/>
        <n v="2.0626000000000002"/>
        <n v="2.98E-2"/>
        <n v="4.3895"/>
        <n v="56.203800000000001"/>
        <n v="15.356400000000001"/>
        <n v="151.49979999999999"/>
        <n v="13.931900000000001"/>
        <n v="2.5973000000000002"/>
        <n v="0.61119999999999997"/>
        <n v="2.6009000000000002"/>
        <n v="2E-3"/>
        <n v="0.35439999999999999"/>
        <n v="0.79349999999999998"/>
        <n v="5.21E-2"/>
        <n v="0.15629999999999999"/>
        <n v="0.55679999999999996"/>
        <n v="0.3881"/>
        <n v="2.6200000000000001E-2"/>
        <n v="9.5349000000000004"/>
        <n v="3.1814"/>
        <n v="183.24340000000001"/>
        <n v="0.95820000000000005"/>
        <n v="0.40570000000000001"/>
        <n v="1.0884"/>
        <n v="4.3999999999999997E-2"/>
        <n v="2.1189"/>
        <n v="0.7681"/>
        <n v="35.126199999999997"/>
        <n v="329.44319999999999"/>
        <n v="12.872299999999999"/>
        <n v="146.56880000000001"/>
        <n v="242.5813"/>
        <n v="5.8500000000000003E-2"/>
        <n v="5.5100000000000003E-2"/>
        <n v="2.2100000000000002E-2"/>
        <n v="7.7899999999999997E-2"/>
        <n v="7.7700000000000005E-2"/>
        <n v="0.42659999999999998"/>
        <n v="0.51139999999999997"/>
        <n v="2.1999999999999999E-2"/>
        <n v="0.29549999999999998"/>
        <n v="231.39109999999999"/>
        <n v="3.1E-2"/>
        <n v="53.039099999999998"/>
        <n v="119.1621"/>
        <n v="161.7927"/>
        <n v="213.16730000000001"/>
        <n v="1.4004000000000001"/>
        <n v="3.6499999999999998E-2"/>
        <n v="2.0327000000000002"/>
        <n v="0.1051"/>
        <n v="6.1100000000000002E-2"/>
        <n v="3.0200000000000001E-2"/>
        <n v="5.8999999999999999E-3"/>
        <n v="5.2699999999999997E-2"/>
        <n v="7.4000000000000003E-3"/>
        <n v="0.58120000000000005"/>
        <n v="5.3105000000000002"/>
        <n v="0.67789999999999995"/>
        <n v="8.1903000000000006"/>
        <n v="7.9000000000000008E-3"/>
        <n v="0.47820000000000001"/>
        <n v="1.6247"/>
        <n v="0.67159999999999997"/>
        <n v="0.33839999999999998"/>
        <n v="2.3972000000000002"/>
        <n v="2.3250000000000002"/>
        <n v="0.1048"/>
        <n v="239.40260000000001"/>
        <n v="220.107"/>
        <n v="27.005199999999999"/>
        <n v="36.633899999999997"/>
        <n v="1.12E-2"/>
        <n v="5.1025"/>
        <n v="7.4416000000000002"/>
        <n v="82.022099999999995"/>
        <n v="1.7110000000000001"/>
        <n v="41.741"/>
        <n v="1.2988"/>
        <n v="2.3006000000000002"/>
        <n v="6.0198"/>
        <n v="2.7699999999999999E-2"/>
        <n v="0.54779999999999995"/>
        <n v="11.551399999999999"/>
        <n v="12.539"/>
        <n v="11.313700000000001"/>
        <n v="20.586300000000001"/>
        <n v="52.005499999999998"/>
        <n v="0.71989999999999998"/>
        <n v="0.64690000000000003"/>
        <n v="13.5199"/>
        <n v="0.66620000000000001"/>
        <n v="3.2300000000000002E-2"/>
        <n v="152.24180000000001"/>
        <n v="154.19909999999999"/>
        <n v="3.2158000000000002"/>
        <n v="21.5989"/>
        <n v="7.2126999999999999"/>
        <n v="19.032699999999998"/>
        <n v="145.75579999999999"/>
        <n v="22.015000000000001"/>
        <n v="3.8500999999999999"/>
        <n v="0.25659999999999999"/>
        <n v="0.5504"/>
        <n v="3.7549000000000001"/>
        <n v="2.7799999999999998E-2"/>
        <n v="6.3734000000000002"/>
        <n v="0.89970000000000006"/>
        <n v="0.98229999999999995"/>
        <n v="25.403500000000001"/>
        <n v="0.314"/>
        <n v="28.978999999999999"/>
        <n v="7.9399999999999998E-2"/>
        <n v="87.617999999999995"/>
        <n v="0.1656"/>
        <n v="0.97330000000000005"/>
        <n v="9.2917000000000005"/>
        <n v="53.311300000000003"/>
        <n v="4.4955999999999996"/>
        <n v="7.0095999999999998"/>
        <n v="29.160399999999999"/>
        <n v="57.603700000000003"/>
        <n v="5.7187999999999999"/>
        <n v="61.680799999999998"/>
        <n v="71.2029"/>
        <n v="21.348800000000001"/>
        <n v="3.1300000000000001E-2"/>
        <n v="0.20100000000000001"/>
        <n v="9.8500000000000004E-2"/>
        <n v="10.313499999999999"/>
        <n v="32.909799999999997"/>
        <n v="0.1249"/>
        <n v="7.7100000000000002E-2"/>
        <n v="13.6218"/>
        <n v="7.1199999999999999E-2"/>
        <n v="3.1899999999999998E-2"/>
        <n v="9.0121000000000002"/>
        <n v="13.0891"/>
        <n v="26.6724"/>
        <n v="4.3616000000000001"/>
      </sharedItems>
    </cacheField>
    <cacheField name="YTD 2024" numFmtId="0">
      <sharedItems containsSemiMixedTypes="0" containsString="0" containsNumber="1" minValue="0" maxValue="1049.2485999999999" count="323">
        <n v="0"/>
        <n v="52.511899999999997"/>
        <n v="91.1357"/>
        <n v="366.95890000000003"/>
        <n v="6.7743000000000002"/>
        <n v="11.187099999999999"/>
        <n v="2.2378"/>
        <n v="7.0723000000000003"/>
        <n v="7.1128"/>
        <n v="0.38700000000000001"/>
        <n v="0.22520000000000001"/>
        <n v="2.1978"/>
        <n v="28.349900000000002"/>
        <n v="9.7551000000000005"/>
        <n v="1.1213"/>
        <n v="10.7844"/>
        <n v="103.16800000000001"/>
        <n v="77.865600000000001"/>
        <n v="1049.2485999999999"/>
        <n v="0.20810000000000001"/>
        <n v="23.8948"/>
        <n v="56.674100000000003"/>
        <n v="2.2328999999999999"/>
        <n v="40.362299999999998"/>
        <n v="1.6516999999999999"/>
        <n v="30.122800000000002"/>
        <n v="29.6906"/>
        <n v="4.3144"/>
        <n v="2.5727000000000002"/>
        <n v="26.440899999999999"/>
        <n v="1.1805000000000001"/>
        <n v="30.796600000000002"/>
        <n v="28.078199999999999"/>
        <n v="41.595799999999997"/>
        <n v="5.7117000000000004"/>
        <n v="0.1893"/>
        <n v="0.1135"/>
        <n v="7.9457000000000004"/>
        <n v="9.7081"/>
        <n v="2.6509999999999998"/>
        <n v="8.7614000000000001"/>
        <n v="5.2233000000000001"/>
        <n v="11.449400000000001"/>
        <n v="9.6000000000000002E-2"/>
        <n v="0.2092"/>
        <n v="0.47289999999999999"/>
        <n v="3.7094999999999998"/>
        <n v="0.70909999999999995"/>
        <n v="2.8555999999999999"/>
        <n v="1.0179"/>
        <n v="0.73480000000000001"/>
        <n v="42.6479"/>
        <n v="2.5316000000000001"/>
        <n v="7.6315999999999997"/>
        <n v="0.18310000000000001"/>
        <n v="0.27989999999999998"/>
        <n v="5.57E-2"/>
        <n v="198.2927"/>
        <n v="14.4848"/>
        <n v="5.7746000000000004"/>
        <n v="19.337599999999998"/>
        <n v="8.3928999999999991"/>
        <n v="1.9255"/>
        <n v="12.435499999999999"/>
        <n v="15.496600000000001"/>
        <n v="0.24490000000000001"/>
        <n v="0.81230000000000002"/>
        <n v="13.700200000000001"/>
        <n v="7.5656999999999996"/>
        <n v="18.6829"/>
        <n v="8.3484999999999996"/>
        <n v="0.16420000000000001"/>
        <n v="6.93E-2"/>
        <n v="13.3878"/>
        <n v="10.664400000000001"/>
        <n v="9.0564"/>
        <n v="0.9879"/>
        <n v="16.784099999999999"/>
        <n v="18.126999999999999"/>
        <n v="16.131900000000002"/>
        <n v="54.250700000000002"/>
        <n v="0.78890000000000005"/>
        <n v="1.8045"/>
        <n v="3.8805999999999998"/>
        <n v="0.26250000000000001"/>
        <n v="14.8012"/>
        <n v="0.35720000000000002"/>
        <n v="4.4382000000000001"/>
        <n v="1.2394000000000001"/>
        <n v="4.7045000000000003"/>
        <n v="9.9184000000000001"/>
        <n v="9.1574000000000009"/>
        <n v="5.0659999999999998"/>
        <n v="8.9021000000000008"/>
        <n v="7.1738"/>
        <n v="0.81240000000000001"/>
        <n v="3.1046999999999998"/>
        <n v="13.3363"/>
        <n v="10.135199999999999"/>
        <n v="55.842500000000001"/>
        <n v="45.6905"/>
        <n v="0.1404"/>
        <n v="5.1338999999999997"/>
        <n v="7.2644000000000002"/>
        <n v="3.0000000000000001E-3"/>
        <n v="9.0300000000000005E-2"/>
        <n v="2.2058"/>
        <n v="7.5600000000000001E-2"/>
        <n v="120.4361"/>
        <n v="4.9340999999999999"/>
        <n v="0.16869999999999999"/>
        <n v="12.9741"/>
        <n v="4.1500000000000002E-2"/>
        <n v="2.1882000000000001"/>
        <n v="5.1000000000000004E-3"/>
        <n v="1.5603"/>
        <n v="66.089799999999997"/>
        <n v="9.0610999999999997"/>
        <n v="20.616900000000001"/>
        <n v="40.033299999999997"/>
        <n v="0.36020000000000002"/>
        <n v="15.9543"/>
        <n v="4.4993999999999996"/>
        <n v="0.78010000000000002"/>
        <n v="65.912899999999993"/>
        <n v="7.9466000000000001"/>
        <n v="11.8607"/>
        <n v="5.5613999999999999"/>
        <n v="0.29039999999999999"/>
        <n v="0.1164"/>
        <n v="0.3513"/>
        <n v="10.029400000000001"/>
        <n v="133.2149"/>
        <n v="52.6723"/>
        <n v="4.3963000000000001"/>
        <n v="128.1713"/>
        <n v="0.26490000000000002"/>
        <n v="7.6600000000000001E-2"/>
        <n v="2.3372999999999999"/>
        <n v="4.5600000000000002E-2"/>
        <n v="0.86060000000000003"/>
        <n v="5.0708000000000002"/>
        <n v="3.9420000000000002"/>
        <n v="7.1499999999999994E-2"/>
        <n v="4.99E-2"/>
        <n v="15.9329"/>
        <n v="0.80920000000000003"/>
        <n v="113.3126"/>
        <n v="11.1342"/>
        <n v="8.4099999999999994E-2"/>
        <n v="0.1012"/>
        <n v="5.7799999999999997E-2"/>
        <n v="1.1000000000000001E-3"/>
        <n v="5.9999999999999995E-4"/>
        <n v="14.4321"/>
        <n v="0.69599999999999995"/>
        <n v="0.74419999999999997"/>
        <n v="0.19070000000000001"/>
        <n v="2.2185000000000001"/>
        <n v="7.8216999999999999"/>
        <n v="0.35020000000000001"/>
        <n v="4.2103999999999999"/>
        <n v="42.143000000000001"/>
        <n v="53.412599999999998"/>
        <n v="0.95489999999999997"/>
        <n v="4.2451999999999996"/>
        <n v="0.16520000000000001"/>
        <n v="9.6165000000000003"/>
        <n v="5.4999999999999997E-3"/>
        <n v="0.76219999999999999"/>
        <n v="4.976"/>
        <n v="0.18790000000000001"/>
        <n v="1.1071"/>
        <n v="1.2238"/>
        <n v="0.80289999999999995"/>
        <n v="3.5836999999999999"/>
        <n v="2.0299"/>
        <n v="2.4279000000000002"/>
        <n v="1.5183"/>
        <n v="28.667999999999999"/>
        <n v="45.671900000000001"/>
        <n v="25.3782"/>
        <n v="46.391500000000001"/>
        <n v="16.676400000000001"/>
        <n v="20.8841"/>
        <n v="10.0755"/>
        <n v="19.680399999999999"/>
        <n v="37.9373"/>
        <n v="1.7199"/>
        <n v="3.6318999999999999"/>
        <n v="10.643000000000001"/>
        <n v="12.3432"/>
        <n v="7.4202000000000004"/>
        <n v="0.19719999999999999"/>
        <n v="2.8279999999999998"/>
        <n v="3.1292"/>
        <n v="7.3936000000000002"/>
        <n v="1.1102000000000001"/>
        <n v="3.0468999999999999"/>
        <n v="5.0259"/>
        <n v="1.0045999999999999"/>
        <n v="4.3700000000000003E-2"/>
        <n v="0.15670000000000001"/>
        <n v="5.9192"/>
        <n v="5.9874999999999998"/>
        <n v="0.79169999999999996"/>
        <n v="30.8141"/>
        <n v="37.2607"/>
        <n v="1.6460999999999999"/>
        <n v="54.776899999999998"/>
        <n v="0.15770000000000001"/>
        <n v="0.2626"/>
        <n v="8.77E-2"/>
        <n v="2.98E-2"/>
        <n v="13.0617"/>
        <n v="4.8948"/>
        <n v="18.019200000000001"/>
        <n v="49.915700000000001"/>
        <n v="0.25540000000000002"/>
        <n v="22.180299999999999"/>
        <n v="10.720599999999999"/>
        <n v="39.488900000000001"/>
        <n v="5.4257"/>
        <n v="0.1109"/>
        <n v="1E-3"/>
        <n v="9.8000000000000004E-2"/>
        <n v="0.7298"/>
        <n v="9.4000000000000004E-3"/>
        <n v="2.0999999999999999E-3"/>
        <n v="5.8099999999999999E-2"/>
        <n v="0.16950000000000001"/>
        <n v="0.2717"/>
        <n v="4.3247999999999998"/>
        <n v="1.8621000000000001"/>
        <n v="0.624"/>
        <n v="97.209599999999995"/>
        <n v="0.77749999999999997"/>
        <n v="2.3199999999999998E-2"/>
        <n v="20.740400000000001"/>
        <n v="1.2435"/>
        <n v="26.273900000000001"/>
        <n v="205.9486"/>
        <n v="4.3821000000000003"/>
        <n v="94.527100000000004"/>
        <n v="163.20820000000001"/>
        <n v="0.12859999999999999"/>
        <n v="0.13869999999999999"/>
        <n v="190.30779999999999"/>
        <n v="19.640599999999999"/>
        <n v="72.991100000000003"/>
        <n v="82.616799999999998"/>
        <n v="155.60400000000001"/>
        <n v="0.44619999999999999"/>
        <n v="4.3E-3"/>
        <n v="1.09E-2"/>
        <n v="1.11E-2"/>
        <n v="0.88470000000000004"/>
        <n v="8.14E-2"/>
        <n v="8.9800000000000005E-2"/>
        <n v="0.16889999999999999"/>
        <n v="0.73670000000000002"/>
        <n v="70.132900000000006"/>
        <n v="99.616699999999994"/>
        <n v="4.2099999999999999E-2"/>
        <n v="0.3543"/>
        <n v="7.3737000000000004"/>
        <n v="14.959"/>
        <n v="6.3079000000000001"/>
        <n v="2.3571"/>
        <n v="31.495899999999999"/>
        <n v="1.5649999999999999"/>
        <n v="12.7791"/>
        <n v="0.38090000000000002"/>
        <n v="5.5109000000000004"/>
        <n v="9.1999999999999998E-3"/>
        <n v="8.6715"/>
        <n v="4.6113"/>
        <n v="29.262499999999999"/>
        <n v="32.744900000000001"/>
        <n v="4.9299999999999997E-2"/>
        <n v="0.2069"/>
        <n v="5.5843999999999996"/>
        <n v="70.924899999999994"/>
        <n v="78.409199999999998"/>
        <n v="0.39529999999999998"/>
        <n v="10.3498"/>
        <n v="19.713699999999999"/>
        <n v="77.822699999999998"/>
        <n v="3.4060000000000001"/>
        <n v="0.28920000000000001"/>
        <n v="0.82650000000000001"/>
        <n v="0.74670000000000003"/>
        <n v="1.1405000000000001"/>
        <n v="1.3038000000000001"/>
        <n v="2.4813999999999998"/>
        <n v="0.17499999999999999"/>
        <n v="9.4920000000000009"/>
        <n v="6.4199999999999993E-2"/>
        <n v="4.5244999999999997"/>
        <n v="25.586099999999998"/>
        <n v="0.95250000000000001"/>
        <n v="19.850100000000001"/>
        <n v="3.0608"/>
        <n v="6.0876999999999999"/>
        <n v="12.2355"/>
        <n v="3.4293999999999998"/>
        <n v="23.825800000000001"/>
        <n v="36.735799999999998"/>
        <n v="13.753299999999999"/>
        <n v="1.1599999999999999E-2"/>
        <n v="3.8800000000000001E-2"/>
        <n v="3.1633"/>
        <n v="10.635400000000001"/>
        <n v="13.822900000000001"/>
        <n v="7.1900000000000006E-2"/>
        <n v="2.1793999999999998"/>
        <n v="1.9407000000000001"/>
        <n v="0.1532"/>
        <n v="14.061199999999999"/>
        <n v="8.1054999999999993"/>
        <n v="10.0204"/>
        <n v="4.6460999999999997"/>
        <n v="21.6234"/>
      </sharedItems>
    </cacheField>
    <cacheField name="Volume 2022" numFmtId="0">
      <sharedItems containsSemiMixedTypes="0" containsString="0" containsNumber="1" minValue="0" maxValue="62012.672500000001" count="417">
        <n v="24.822900000000001"/>
        <n v="0"/>
        <n v="0.16"/>
        <n v="2980.7042999999999"/>
        <n v="5930.9056"/>
        <n v="38888.539799999999"/>
        <n v="151.26679999999999"/>
        <n v="231.08779999999999"/>
        <n v="20.960899999999999"/>
        <n v="112.20610000000001"/>
        <n v="2.2799999999999998"/>
        <n v="5.8884999999999996"/>
        <n v="49.9726"/>
        <n v="37.322600000000001"/>
        <n v="169.58080000000001"/>
        <n v="25.606300000000001"/>
        <n v="3055.9405999999999"/>
        <n v="954.11220000000003"/>
        <n v="1.6046"/>
        <n v="1199.5277000000001"/>
        <n v="726.31399999999996"/>
        <n v="928.81529999999998"/>
        <n v="6715.8593000000001"/>
        <n v="194.65190000000001"/>
        <n v="62012.672500000001"/>
        <n v="50.220500000000001"/>
        <n v="1524.2099000000001"/>
        <n v="4816.5708000000004"/>
        <n v="523.16819999999996"/>
        <n v="3388.3481999999999"/>
        <n v="553.03880000000004"/>
        <n v="2540.1291999999999"/>
        <n v="1970.2177999999999"/>
        <n v="261.04790000000003"/>
        <n v="2262.5698000000002"/>
        <n v="392.0086"/>
        <n v="2842.3220000000001"/>
        <n v="1446.3839"/>
        <n v="2203.8969999999999"/>
        <n v="47.325299999999999"/>
        <n v="43.074599999999997"/>
        <n v="749.43960000000004"/>
        <n v="530.94489999999996"/>
        <n v="814.55730000000005"/>
        <n v="989.38980000000004"/>
        <n v="726.86360000000002"/>
        <n v="1741.4848"/>
        <n v="51.0182"/>
        <n v="81.869600000000005"/>
        <n v="53.428199999999997"/>
        <n v="17.929200000000002"/>
        <n v="0.36759999999999998"/>
        <n v="168.65979999999999"/>
        <n v="67.526600000000002"/>
        <n v="228.69929999999999"/>
        <n v="54.868499999999997"/>
        <n v="83.522300000000001"/>
        <n v="65.203199999999995"/>
        <n v="7336.5478999999996"/>
        <n v="1.2"/>
        <n v="429.91730000000001"/>
        <n v="630.63189999999997"/>
        <n v="1027.2618"/>
        <n v="0.21429999999999999"/>
        <n v="325.11810000000003"/>
        <n v="1799.2518"/>
        <n v="14.463900000000001"/>
        <n v="2159.5493999999999"/>
        <n v="12.2155"/>
        <n v="121.4559"/>
        <n v="281.97280000000001"/>
        <n v="549.64080000000001"/>
        <n v="168.06010000000001"/>
        <n v="362.30340000000001"/>
        <n v="10.5198"/>
        <n v="431.15870000000001"/>
        <n v="274.45499999999998"/>
        <n v="318.93810000000002"/>
        <n v="0.3876"/>
        <n v="1646.7402"/>
        <n v="643.41989999999998"/>
        <n v="6.96"/>
        <n v="208.76240000000001"/>
        <n v="402.53930000000003"/>
        <n v="39.196399999999997"/>
        <n v="169.64840000000001"/>
        <n v="230.286"/>
        <n v="2.8330000000000002"/>
        <n v="46.441400000000002"/>
        <n v="43.337600000000002"/>
        <n v="338.9522"/>
        <n v="1178.5386000000001"/>
        <n v="3588.4739"/>
        <n v="2231.0284000000001"/>
        <n v="212.80930000000001"/>
        <n v="973.13670000000002"/>
        <n v="618.46879999999999"/>
        <n v="17.095199999999998"/>
        <n v="1136.2986000000001"/>
        <n v="69.486800000000002"/>
        <n v="44.862200000000001"/>
        <n v="15.5664"/>
        <n v="10.8056"/>
        <n v="0.1"/>
        <n v="40.526699999999998"/>
        <n v="3.4851000000000001"/>
        <n v="116.9594"/>
        <n v="93.938999999999993"/>
        <n v="315.70249999999999"/>
        <n v="300.22300000000001"/>
        <n v="75.837299999999999"/>
        <n v="283.12259999999998"/>
        <n v="138.52269999999999"/>
        <n v="1812.3146999999999"/>
        <n v="22.036999999999999"/>
        <n v="20334.628400000001"/>
        <n v="653.37990000000002"/>
        <n v="360.70839999999998"/>
        <n v="1104.6166000000001"/>
        <n v="355.34039999999999"/>
        <n v="602.08569999999997"/>
        <n v="7.4763999999999999"/>
        <n v="1.9040999999999999"/>
        <n v="14096.87"/>
        <n v="1974.3932"/>
        <n v="1922.9742000000001"/>
        <n v="2454.0007999999998"/>
        <n v="3350.8564000000001"/>
        <n v="141.5444"/>
        <n v="142.55420000000001"/>
        <n v="7929.3796000000002"/>
        <n v="761.61429999999996"/>
        <n v="509.18150000000003"/>
        <n v="67.202299999999994"/>
        <n v="362.96660000000003"/>
        <n v="2545.3452000000002"/>
        <n v="553.99599999999998"/>
        <n v="18.470099999999999"/>
        <n v="0.32569999999999999"/>
        <n v="11792.3397"/>
        <n v="9.2727000000000004"/>
        <n v="866.39819999999997"/>
        <n v="71.277600000000007"/>
        <n v="8749.3634000000002"/>
        <n v="93.2804"/>
        <n v="7.3784000000000001"/>
        <n v="14.988200000000001"/>
        <n v="3.1602000000000001"/>
        <n v="10.56"/>
        <n v="7.3638000000000003"/>
        <n v="62.468000000000004"/>
        <n v="14.330299999999999"/>
        <n v="2166.7952"/>
        <n v="19.760000000000002"/>
        <n v="8.4567999999999994"/>
        <n v="0.48470000000000002"/>
        <n v="31.331099999999999"/>
        <n v="206.11410000000001"/>
        <n v="216.30410000000001"/>
        <n v="0.504"/>
        <n v="4.0616000000000003"/>
        <n v="154.90440000000001"/>
        <n v="10.083500000000001"/>
        <n v="1569.5084999999999"/>
        <n v="10.3644"/>
        <n v="4.9682000000000004"/>
        <n v="13.8332"/>
        <n v="213.62710000000001"/>
        <n v="0.17960000000000001"/>
        <n v="4.5189000000000004"/>
        <n v="789.96360000000004"/>
        <n v="0.14000000000000001"/>
        <n v="16.585699999999999"/>
        <n v="288.41750000000002"/>
        <n v="1259.2874999999999"/>
        <n v="1325.5655999999999"/>
        <n v="1959.0420999999999"/>
        <n v="571.42309999999998"/>
        <n v="140.29249999999999"/>
        <n v="0.8246"/>
        <n v="54.641800000000003"/>
        <n v="416.80889999999999"/>
        <n v="5.4459999999999997"/>
        <n v="586.38080000000002"/>
        <n v="0.35360000000000003"/>
        <n v="8.6088000000000005"/>
        <n v="49.665700000000001"/>
        <n v="1.25"/>
        <n v="10.09"/>
        <n v="46.08"/>
        <n v="0.08"/>
        <n v="492.51530000000002"/>
        <n v="1.054"/>
        <n v="607.44449999999995"/>
        <n v="1339.7692"/>
        <n v="2028.7261000000001"/>
        <n v="997.27200000000005"/>
        <n v="3003.9076"/>
        <n v="1086.6414"/>
        <n v="835.59469999999999"/>
        <n v="845.18690000000004"/>
        <n v="695.70420000000001"/>
        <n v="1513.1635000000001"/>
        <n v="294.48759999999999"/>
        <n v="65.1297"/>
        <n v="101.7274"/>
        <n v="650.62580000000003"/>
        <n v="1018.4675999999999"/>
        <n v="510.25119999999998"/>
        <n v="494.98500000000001"/>
        <n v="633.09360000000004"/>
        <n v="945.80409999999995"/>
        <n v="102.04300000000001"/>
        <n v="279.7971"/>
        <n v="186.07509999999999"/>
        <n v="237.0685"/>
        <n v="1.4571000000000001"/>
        <n v="6.9211999999999998"/>
        <n v="1.3361000000000001"/>
        <n v="3.0247000000000002"/>
        <n v="3.4260000000000002"/>
        <n v="399.25150000000002"/>
        <n v="300.88780000000003"/>
        <n v="12.901899999999999"/>
        <n v="3.2519"/>
        <n v="45.909399999999998"/>
        <n v="191.46350000000001"/>
        <n v="1.4943"/>
        <n v="558.82709999999997"/>
        <n v="1986.0632000000001"/>
        <n v="3124.0421999999999"/>
        <n v="3022.1621"/>
        <n v="0.2349"/>
        <n v="549.04570000000001"/>
        <n v="739.96220000000005"/>
        <n v="6.5327000000000002"/>
        <n v="1.2682"/>
        <n v="195.97380000000001"/>
        <n v="813.32730000000004"/>
        <n v="220.69159999999999"/>
        <n v="2912.5239999999999"/>
        <n v="774.8818"/>
        <n v="930.23509999999999"/>
        <n v="0.85599999999999998"/>
        <n v="1.496"/>
        <n v="234.7319"/>
        <n v="9.3703000000000003"/>
        <n v="41.871899999999997"/>
        <n v="34.318100000000001"/>
        <n v="617.78060000000005"/>
        <n v="47.075600000000001"/>
        <n v="124.62050000000001"/>
        <n v="4863.5491000000002"/>
        <n v="1419.3269"/>
        <n v="135.5565"/>
        <n v="392.1592"/>
        <n v="132.16820000000001"/>
        <n v="2.1"/>
        <n v="0.33839999999999998"/>
        <n v="19.065100000000001"/>
        <n v="31.957999999999998"/>
        <n v="23.8918"/>
        <n v="3.2871000000000001"/>
        <n v="2.4157999999999999"/>
        <n v="2.27"/>
        <n v="118.9742"/>
        <n v="280.5643"/>
        <n v="374.43990000000002"/>
        <n v="7900.9691000000003"/>
        <n v="0.18509999999999999"/>
        <n v="1.37E-2"/>
        <n v="0.31890000000000002"/>
        <n v="8.5823999999999998"/>
        <n v="70.866600000000005"/>
        <n v="1.3372999999999999"/>
        <n v="23.328099999999999"/>
        <n v="71.718599999999995"/>
        <n v="3958.0279"/>
        <n v="194.4057"/>
        <n v="5827.8176999999996"/>
        <n v="3936.1988000000001"/>
        <n v="4.6970000000000001"/>
        <n v="23.239000000000001"/>
        <n v="15.4772"/>
        <n v="22.518699999999999"/>
        <n v="15.170299999999999"/>
        <n v="14.451000000000001"/>
        <n v="9.6999999999999993"/>
        <n v="43.815600000000003"/>
        <n v="3.5674000000000001"/>
        <n v="28.959800000000001"/>
        <n v="18.6389"/>
        <n v="9.8262"/>
        <n v="10.088699999999999"/>
        <n v="21.971299999999999"/>
        <n v="3.1530999999999998"/>
        <n v="4.4311999999999996"/>
        <n v="38.575499999999998"/>
        <n v="21.822199999999999"/>
        <n v="3632.1455999999998"/>
        <n v="22.952100000000002"/>
        <n v="4.3052000000000001"/>
        <n v="809.24120000000005"/>
        <n v="4179.8078999999998"/>
        <n v="2585.6873000000001"/>
        <n v="3171.4767999999999"/>
        <n v="316.69850000000002"/>
        <n v="14.48"/>
        <n v="2.9144999999999999"/>
        <n v="76.599100000000007"/>
        <n v="52.9163"/>
        <n v="0.59"/>
        <n v="30.746600000000001"/>
        <n v="32.116500000000002"/>
        <n v="0.67200000000000004"/>
        <n v="0.65949999999999998"/>
        <n v="3.8159000000000001"/>
        <n v="23.5031"/>
        <n v="19.170200000000001"/>
        <n v="13.8162"/>
        <n v="18.060500000000001"/>
        <n v="345.3125"/>
        <n v="9.1472999999999995"/>
        <n v="618.1096"/>
        <n v="0.57599999999999996"/>
        <n v="17.2395"/>
        <n v="92.468000000000004"/>
        <n v="9.3439999999999994"/>
        <n v="13.007199999999999"/>
        <n v="87.926599999999993"/>
        <n v="272.4522"/>
        <n v="202.00700000000001"/>
        <n v="5.5039999999999996"/>
        <n v="8505.4575000000004"/>
        <n v="6068.1558999999997"/>
        <n v="168.55369999999999"/>
        <n v="136.73179999999999"/>
        <n v="4.4957000000000003"/>
        <n v="3.4005999999999998"/>
        <n v="5.0296000000000003"/>
        <n v="2.2591999999999999"/>
        <n v="36.4"/>
        <n v="91.191500000000005"/>
        <n v="116.9823"/>
        <n v="119.83880000000001"/>
        <n v="171.05330000000001"/>
        <n v="103.9999"/>
        <n v="4163.6220999999996"/>
        <n v="473.34"/>
        <n v="3422.2186000000002"/>
        <n v="626.13580000000002"/>
        <n v="78.384500000000003"/>
        <n v="55.366500000000002"/>
        <n v="5.6227"/>
        <n v="28.943100000000001"/>
        <n v="162.6651"/>
        <n v="383.46769999999998"/>
        <n v="482.61590000000001"/>
        <n v="583.67819999999995"/>
        <n v="920.46799999999996"/>
        <n v="1.008"/>
        <n v="3.92"/>
        <n v="841.14940000000001"/>
        <n v="137.34479999999999"/>
        <n v="141.71469999999999"/>
        <n v="7155.8876"/>
        <n v="8805.9477000000006"/>
        <n v="5.2851999999999997"/>
        <n v="253.55109999999999"/>
        <n v="734.85479999999995"/>
        <n v="52.465899999999998"/>
        <n v="2501.2190000000001"/>
        <n v="136.8194"/>
        <n v="76.638000000000005"/>
        <n v="15122.0514"/>
        <n v="1023.9475"/>
        <n v="126.3817"/>
        <n v="70.328999999999994"/>
        <n v="0.18"/>
        <n v="170.3914"/>
        <n v="5.7000000000000002E-2"/>
        <n v="7.2465999999999999"/>
        <n v="25.650500000000001"/>
        <n v="199.79089999999999"/>
        <n v="1064.7156"/>
        <n v="79.571700000000007"/>
        <n v="1605.2121"/>
        <n v="38.896500000000003"/>
        <n v="8.1380999999999997"/>
        <n v="1468.2443000000001"/>
        <n v="18.860299999999999"/>
        <n v="505.78250000000003"/>
        <n v="311.05720000000002"/>
        <n v="3644.6801999999998"/>
        <n v="3.36"/>
        <n v="290.08819999999997"/>
        <n v="2342.4566"/>
        <n v="4307.2969000000003"/>
        <n v="412.75630000000001"/>
        <n v="4426.3535000000002"/>
        <n v="9592.0316999999995"/>
        <n v="2073.3334"/>
        <n v="1.2943"/>
        <n v="1.5943000000000001"/>
        <n v="58.601599999999998"/>
        <n v="181.5942"/>
        <n v="11.6632"/>
        <n v="17.400500000000001"/>
        <n v="1994.8981000000001"/>
        <n v="5.5374999999999996"/>
        <n v="10.7111"/>
        <n v="2351.0409"/>
        <n v="104.04649999999999"/>
        <n v="1539.4739"/>
        <n v="134.3818"/>
        <n v="151.6679"/>
        <n v="115.49760000000001"/>
      </sharedItems>
    </cacheField>
    <cacheField name="Volume 2023" numFmtId="0">
      <sharedItems containsSemiMixedTypes="0" containsString="0" containsNumber="1" minValue="0" maxValue="68679.966" count="379">
        <n v="9.4085999999999999"/>
        <n v="0"/>
        <n v="3415.3553999999999"/>
        <n v="6183.6273000000001"/>
        <n v="31985.000499999998"/>
        <n v="127.18680000000001"/>
        <n v="217.71180000000001"/>
        <n v="127.6666"/>
        <n v="131.05279999999999"/>
        <n v="3.7909999999999999"/>
        <n v="6.4000000000000001E-2"/>
        <n v="3.3822999999999999"/>
        <n v="1226.3661999999999"/>
        <n v="1781.8513"/>
        <n v="803.28520000000003"/>
        <n v="135.36869999999999"/>
        <n v="1508.4713999999999"/>
        <n v="5484.9444999999996"/>
        <n v="4333.2687999999998"/>
        <n v="50.700299999999999"/>
        <n v="68679.966"/>
        <n v="12.068099999999999"/>
        <n v="1404.4858999999999"/>
        <n v="5822.6243999999997"/>
        <n v="387.32229999999998"/>
        <n v="2840.8843000000002"/>
        <n v="369.83049999999997"/>
        <n v="2011.4869000000001"/>
        <n v="1924.2328"/>
        <n v="139.34979999999999"/>
        <n v="232.43600000000001"/>
        <n v="1667.4681"/>
        <n v="426.19690000000003"/>
        <n v="2121.0371"/>
        <n v="1359.9783"/>
        <n v="2377.6914999999999"/>
        <n v="231.33420000000001"/>
        <n v="13.9861"/>
        <n v="788.71510000000001"/>
        <n v="921.25450000000001"/>
        <n v="531.53909999999996"/>
        <n v="1044.1582000000001"/>
        <n v="563.28449999999998"/>
        <n v="1127.5655999999999"/>
        <n v="11.870100000000001"/>
        <n v="83.401399999999995"/>
        <n v="13.441700000000001"/>
        <n v="0.48380000000000001"/>
        <n v="278.62639999999999"/>
        <n v="226.15649999999999"/>
        <n v="310.51369999999997"/>
        <n v="87.027500000000003"/>
        <n v="35.127499999999998"/>
        <n v="483.39569999999998"/>
        <n v="61.262700000000002"/>
        <n v="20.880700000000001"/>
        <n v="36.194499999999998"/>
        <n v="14.1759"/>
        <n v="8103.1085000000003"/>
        <n v="0.2"/>
        <n v="309.96710000000002"/>
        <n v="558.36739999999998"/>
        <n v="758.06629999999996"/>
        <n v="3.5700000000000003E-2"/>
        <n v="236.1233"/>
        <n v="721.99059999999997"/>
        <n v="7.3648999999999996"/>
        <n v="2486.1275000000001"/>
        <n v="49.151600000000002"/>
        <n v="162.24"/>
        <n v="222.7071"/>
        <n v="416.84789999999998"/>
        <n v="9.3780000000000001"/>
        <n v="234.6001"/>
        <n v="34.4998"/>
        <n v="2.3294000000000001"/>
        <n v="0.19639999999999999"/>
        <n v="145.9169"/>
        <n v="166.38579999999999"/>
        <n v="473.67329999999998"/>
        <n v="396.72109999999998"/>
        <n v="440.8152"/>
        <n v="127.6024"/>
        <n v="2.4085999999999999"/>
        <n v="1088.8000999999999"/>
        <n v="689.18370000000004"/>
        <n v="99.124899999999997"/>
        <n v="207.43709999999999"/>
        <n v="0.64800000000000002"/>
        <n v="12.904400000000001"/>
        <n v="643.8528"/>
        <n v="421.82799999999997"/>
        <n v="1054.2443000000001"/>
        <n v="1606.1090999999999"/>
        <n v="460.75880000000001"/>
        <n v="0.51649999999999996"/>
        <n v="2225.7903999999999"/>
        <n v="1712.6693"/>
        <n v="1534.4268"/>
        <n v="3402.5661"/>
        <n v="1176.8929000000001"/>
        <n v="154.24979999999999"/>
        <n v="87.694800000000001"/>
        <n v="762.29949999999997"/>
        <n v="2338.1842000000001"/>
        <n v="206.95869999999999"/>
        <n v="5284.8972000000003"/>
        <n v="5662.4585999999999"/>
        <n v="0.02"/>
        <n v="2.1286999999999998"/>
        <n v="0.25600000000000001"/>
        <n v="26.678799999999999"/>
        <n v="476.75330000000002"/>
        <n v="945.68759999999997"/>
        <n v="1.6555"/>
        <n v="3.3016999999999999"/>
        <n v="28.2058"/>
        <n v="0.14879999999999999"/>
        <n v="442.9864"/>
        <n v="13.908200000000001"/>
        <n v="15456.115599999999"/>
        <n v="122.7465"/>
        <n v="157.0744"/>
        <n v="181.6489"/>
        <n v="1188.0914"/>
        <n v="80.589100000000002"/>
        <n v="2.9011"/>
        <n v="9843.2201000000005"/>
        <n v="1482.2675999999999"/>
        <n v="2020.3897999999999"/>
        <n v="4307.1679999999997"/>
        <n v="2178.5326"/>
        <n v="154.2473"/>
        <n v="145.93899999999999"/>
        <n v="6740.5910999999996"/>
        <n v="1129.7994000000001"/>
        <n v="0.77590000000000003"/>
        <n v="949.45609999999999"/>
        <n v="562.68320000000006"/>
        <n v="11.6808"/>
        <n v="4.2202000000000002"/>
        <n v="20.5671"/>
        <n v="1092.0349000000001"/>
        <n v="14416.314700000001"/>
        <n v="7.0415000000000001"/>
        <n v="3176.0981999999999"/>
        <n v="210.60059999999999"/>
        <n v="8593.8201000000008"/>
        <n v="14.5885"/>
        <n v="0.19450000000000001"/>
        <n v="115.3312"/>
        <n v="3.8454999999999999"/>
        <n v="614.64589999999998"/>
        <n v="17.024000000000001"/>
        <n v="6.601"/>
        <n v="43.584000000000003"/>
        <n v="126.16"/>
        <n v="238.77709999999999"/>
        <n v="0.91539999999999999"/>
        <n v="3.2562000000000002"/>
        <n v="191.65379999999999"/>
        <n v="14.928100000000001"/>
        <n v="2030.1902"/>
        <n v="118.5029"/>
        <n v="3.6671999999999998"/>
        <n v="3.5211000000000001"/>
        <n v="1.3105"/>
        <n v="3.4159999999999999"/>
        <n v="2.6021999999999998"/>
        <n v="36.531500000000001"/>
        <n v="0.80640000000000001"/>
        <n v="569.2527"/>
        <n v="2.2242999999999999"/>
        <n v="1.7567999999999999"/>
        <n v="471.142"/>
        <n v="66.691299999999998"/>
        <n v="556.85670000000005"/>
        <n v="1594.76"/>
        <n v="1973.6881000000001"/>
        <n v="430.0342"/>
        <n v="398.21929999999998"/>
        <n v="24.183599999999998"/>
        <n v="3.4649000000000001"/>
        <n v="752.94479999999999"/>
        <n v="11.446400000000001"/>
        <n v="27.7622"/>
        <n v="20.329999999999998"/>
        <n v="47.101700000000001"/>
        <n v="0.35370000000000001"/>
        <n v="366.96510000000001"/>
        <n v="113.97580000000001"/>
        <n v="678.69550000000004"/>
        <n v="0.48130000000000001"/>
        <n v="1517.8848"/>
        <n v="2727.4971999999998"/>
        <n v="1129.9784999999999"/>
        <n v="2862.6754999999998"/>
        <n v="1089.1328000000001"/>
        <n v="1304.8905999999999"/>
        <n v="818.97209999999995"/>
        <n v="1080.8305"/>
        <n v="2139.8314999999998"/>
        <n v="150.97989999999999"/>
        <n v="424.79559999999998"/>
        <n v="683.55870000000004"/>
        <n v="382.31479999999999"/>
        <n v="6.4855"/>
        <n v="456.52679999999998"/>
        <n v="491.60489999999999"/>
        <n v="583.28309999999999"/>
        <n v="133.69110000000001"/>
        <n v="188.92570000000001"/>
        <n v="259.80410000000001"/>
        <n v="0.32779999999999998"/>
        <n v="118.0438"/>
        <n v="19.9695"/>
        <n v="0.32919999999999999"/>
        <n v="8.6912000000000003"/>
        <n v="18.685099999999998"/>
        <n v="471.38619999999997"/>
        <n v="488.67129999999997"/>
        <n v="4.8000000000000001E-2"/>
        <n v="3.0430999999999999"/>
        <n v="25.065200000000001"/>
        <n v="1712.2448999999999"/>
        <n v="2074.7809000000002"/>
        <n v="2460.6639"/>
        <n v="3499.3182999999999"/>
        <n v="49.080599999999997"/>
        <n v="104.66840000000001"/>
        <n v="384.83499999999998"/>
        <n v="103.7679"/>
        <n v="2356.4949999999999"/>
        <n v="134.58930000000001"/>
        <n v="1143.2672"/>
        <n v="18.222799999999999"/>
        <n v="2116.4569999999999"/>
        <n v="2490.5082000000002"/>
        <n v="0.30399999999999999"/>
        <n v="137.5095"/>
        <n v="1.4905999999999999"/>
        <n v="241.07740000000001"/>
        <n v="3259.8697999999999"/>
        <n v="847.21910000000003"/>
        <n v="8687.4974999999995"/>
        <n v="757.8877"/>
        <n v="141.02850000000001"/>
        <n v="31.181999999999999"/>
        <n v="141.76490000000001"/>
        <n v="16.541699999999999"/>
        <n v="47.268799999999999"/>
        <n v="2.6206"/>
        <n v="3.1030000000000002"/>
        <n v="1.9970000000000001"/>
        <n v="2.4979"/>
        <n v="0.31"/>
        <n v="264.43900000000002"/>
        <n v="84.536500000000004"/>
        <n v="6838.8454000000002"/>
        <n v="3.0327999999999999"/>
        <n v="1.3527"/>
        <n v="3.3033999999999999"/>
        <n v="0.58599999999999997"/>
        <n v="26.7118"/>
        <n v="13.2523"/>
        <n v="592.5693"/>
        <n v="5113.9928"/>
        <n v="338.25259999999997"/>
        <n v="5036.4476000000004"/>
        <n v="5003.2757000000001"/>
        <n v="1.1557999999999999"/>
        <n v="1.0911"/>
        <n v="0.38290000000000002"/>
        <n v="1.9962"/>
        <n v="1.7087000000000001"/>
        <n v="8.7736999999999998"/>
        <n v="9.5508000000000006"/>
        <n v="0.34660000000000002"/>
        <n v="5.6929999999999996"/>
        <n v="7878.6941999999999"/>
        <n v="0.70540000000000003"/>
        <n v="1117.5988"/>
        <n v="4057.9854"/>
        <n v="3416.431"/>
        <n v="7264.2154"/>
        <n v="25.215900000000001"/>
        <n v="0.67200000000000004"/>
        <n v="45.206499999999998"/>
        <n v="1.5987"/>
        <n v="0.89600000000000002"/>
        <n v="0.44800000000000001"/>
        <n v="0.16800000000000001"/>
        <n v="1.4"/>
        <n v="0.112"/>
        <n v="10.2963"/>
        <n v="130.43450000000001"/>
        <n v="13.0631"/>
        <n v="185.2071"/>
        <n v="0.38400000000000001"/>
        <n v="16.416799999999999"/>
        <n v="38.321599999999997"/>
        <n v="12.986599999999999"/>
        <n v="6.2496999999999998"/>
        <n v="43.2258"/>
        <n v="55.267699999999998"/>
        <n v="2.3589000000000002"/>
        <n v="6543.0663999999997"/>
        <n v="5788.4287000000004"/>
        <n v="470.04379999999998"/>
        <n v="512.46489999999994"/>
        <n v="0.2389"/>
        <n v="77.862799999999993"/>
        <n v="64.807599999999994"/>
        <n v="5172.0583999999999"/>
        <n v="112.14570000000001"/>
        <n v="2176.2671999999998"/>
        <n v="67.750100000000003"/>
        <n v="113.29300000000001"/>
        <n v="108.4705"/>
        <n v="0.64290000000000003"/>
        <n v="12.7288"/>
        <n v="307.81580000000002"/>
        <n v="340.10579999999999"/>
        <n v="345.19709999999998"/>
        <n v="1265.0245"/>
        <n v="1819.1769999999999"/>
        <n v="3.8765000000000001"/>
        <n v="3.48"/>
        <n v="693.07759999999996"/>
        <n v="41.348700000000001"/>
        <n v="1.9971000000000001"/>
        <n v="7606.2596000000003"/>
        <n v="8032.0802000000003"/>
        <n v="179.24690000000001"/>
        <n v="1234.4389000000001"/>
        <n v="451.55340000000001"/>
        <n v="1111.0531000000001"/>
        <n v="8717.0684000000001"/>
        <n v="1391.8684000000001"/>
        <n v="174.249"/>
        <n v="13.196899999999999"/>
        <n v="6.7556000000000003"/>
        <n v="55.465600000000002"/>
        <n v="0.46179999999999999"/>
        <n v="94.576999999999998"/>
        <n v="21.057300000000001"/>
        <n v="31.398199999999999"/>
        <n v="712.85350000000005"/>
        <n v="7.3994999999999997"/>
        <n v="798.29169999999999"/>
        <n v="2.0009000000000001"/>
        <n v="4062.0709999999999"/>
        <n v="11.920500000000001"/>
        <n v="58.400799999999997"/>
        <n v="539.97619999999995"/>
        <n v="3675.9913999999999"/>
        <n v="365.2654"/>
        <n v="393.84969999999998"/>
        <n v="1534.7882999999999"/>
        <n v="3235.6705999999999"/>
        <n v="314.68810000000002"/>
        <n v="2861.6763999999998"/>
        <n v="4713.7775000000001"/>
        <n v="1342.2397000000001"/>
        <n v="1.2579"/>
        <n v="3.8485999999999998"/>
        <n v="2.7256999999999998"/>
        <n v="475.9119"/>
        <n v="1164.6792"/>
        <n v="6.4203000000000001"/>
        <n v="2.9864999999999999"/>
        <n v="917.37919999999997"/>
        <n v="3.8216000000000001"/>
        <n v="1.8513999999999999"/>
        <n v="2.1086"/>
        <n v="509.45670000000001"/>
        <n v="186.4109"/>
        <n v="465.6979"/>
        <n v="300.46589999999998"/>
      </sharedItems>
    </cacheField>
    <cacheField name="Volume YTD 2024" numFmtId="0">
      <sharedItems containsSemiMixedTypes="0" containsString="0" containsNumber="1" minValue="0" maxValue="37856.881999999998" count="324">
        <n v="0"/>
        <n v="1823.0734"/>
        <n v="3125.7986999999998"/>
        <n v="14135.173000000001"/>
        <n v="77.459400000000002"/>
        <n v="141.00800000000001"/>
        <n v="33.570999999999998"/>
        <n v="85.719800000000006"/>
        <n v="247.09899999999999"/>
        <n v="14.3827"/>
        <n v="6.9500999999999999"/>
        <n v="96.438800000000001"/>
        <n v="711.07719999999995"/>
        <n v="236.19829999999999"/>
        <n v="30.554400000000001"/>
        <n v="314.52640000000002"/>
        <n v="3446.0194999999999"/>
        <n v="2035.5381"/>
        <n v="37856.881999999998"/>
        <n v="5.4642999999999997"/>
        <n v="554.68420000000003"/>
        <n v="2923.4182999999998"/>
        <n v="84.428399999999996"/>
        <n v="1387.0689"/>
        <n v="64.100099999999998"/>
        <n v="1066.0352"/>
        <n v="1027.8571999999999"/>
        <n v="169.84690000000001"/>
        <n v="93.995500000000007"/>
        <n v="920.88139999999999"/>
        <n v="46.280799999999999"/>
        <n v="1067.8224"/>
        <n v="967.9162"/>
        <n v="1614.8326999999999"/>
        <n v="338.46300000000002"/>
        <n v="9.7352000000000007"/>
        <n v="6.5488999999999997"/>
        <n v="388.85250000000002"/>
        <n v="442.90179999999998"/>
        <n v="144.98150000000001"/>
        <n v="387.44209999999998"/>
        <n v="268.45999999999998"/>
        <n v="585.96109999999999"/>
        <n v="3.7711999999999999"/>
        <n v="9.5612999999999992"/>
        <n v="18.149699999999999"/>
        <n v="222.0746"/>
        <n v="33.759099999999997"/>
        <n v="123.6022"/>
        <n v="38.080399999999997"/>
        <n v="37.258200000000002"/>
        <n v="1689.356"/>
        <n v="71.165300000000002"/>
        <n v="330.70479999999998"/>
        <n v="4.9927999999999999"/>
        <n v="5.1737000000000002"/>
        <n v="1.7425999999999999"/>
        <n v="7048.5825999999997"/>
        <n v="229.3313"/>
        <n v="90.998999999999995"/>
        <n v="328.18349999999998"/>
        <n v="185.37119999999999"/>
        <n v="61.869799999999998"/>
        <n v="385.45190000000002"/>
        <n v="493.73469999999998"/>
        <n v="9.7979000000000003"/>
        <n v="34.919499999999999"/>
        <n v="126.0534"/>
        <n v="118.9547"/>
        <n v="241.38910000000001"/>
        <n v="111.9991"/>
        <n v="3.1461000000000001"/>
        <n v="4.2670000000000003"/>
        <n v="341.02409999999998"/>
        <n v="284.60649999999998"/>
        <n v="238.54349999999999"/>
        <n v="34.929000000000002"/>
        <n v="505.80540000000002"/>
        <n v="559.59109999999998"/>
        <n v="474.58569999999997"/>
        <n v="2956.24"/>
        <n v="38.968699999999998"/>
        <n v="98.837400000000002"/>
        <n v="163.75460000000001"/>
        <n v="13.0296"/>
        <n v="454.05590000000001"/>
        <n v="19.481100000000001"/>
        <n v="241.28020000000001"/>
        <n v="64.665899999999993"/>
        <n v="246.6643"/>
        <n v="665.84569999999997"/>
        <n v="592.38390000000004"/>
        <n v="349.95659999999998"/>
        <n v="613.3809"/>
        <n v="487.85019999999997"/>
        <n v="41.637500000000003"/>
        <n v="149.91970000000001"/>
        <n v="671.9117"/>
        <n v="365.12360000000001"/>
        <n v="3137.2123999999999"/>
        <n v="2576.6464000000001"/>
        <n v="1.4401999999999999"/>
        <n v="5.0327000000000002"/>
        <n v="161.36660000000001"/>
        <n v="273.77960000000002"/>
        <n v="7.1999999999999995E-2"/>
        <n v="3.9451999999999998"/>
        <n v="129.73259999999999"/>
        <n v="3.7229000000000001"/>
        <n v="5660.8364000000001"/>
        <n v="260.16239999999999"/>
        <n v="7.0335999999999999"/>
        <n v="658.29200000000003"/>
        <n v="3.0169000000000001"/>
        <n v="78.875"/>
        <n v="0.1958"/>
        <n v="56.070300000000003"/>
        <n v="3643.3836000000001"/>
        <n v="601.1807"/>
        <n v="923.72320000000002"/>
        <n v="2180.9749000000002"/>
        <n v="18.523700000000002"/>
        <n v="866.22"/>
        <n v="124.59650000000001"/>
        <n v="21.435099999999998"/>
        <n v="3524.3125"/>
        <n v="412.24349999999998"/>
        <n v="459.19099999999997"/>
        <n v="225.62440000000001"/>
        <n v="3.3864000000000001"/>
        <n v="0.85"/>
        <n v="6.5918999999999999"/>
        <n v="489.28280000000001"/>
        <n v="6626.5474000000004"/>
        <n v="1396.3396"/>
        <n v="121.2728"/>
        <n v="3618.6093999999998"/>
        <n v="7.5808999999999997"/>
        <n v="0.62309999999999999"/>
        <n v="48.202599999999997"/>
        <n v="0.72929999999999995"/>
        <n v="15.645899999999999"/>
        <n v="101.6622"/>
        <n v="77.523899999999998"/>
        <n v="0.52459999999999996"/>
        <n v="0.25269999999999998"/>
        <n v="151.1"/>
        <n v="5.5830000000000002"/>
        <n v="989.67420000000004"/>
        <n v="94.131399999999999"/>
        <n v="1.3489"/>
        <n v="1.6187"/>
        <n v="0.48"/>
        <n v="1.6E-2"/>
        <n v="2.06E-2"/>
        <n v="716.4248"/>
        <n v="11.551500000000001"/>
        <n v="24.0091"/>
        <n v="7.8956"/>
        <n v="128.51750000000001"/>
        <n v="503.7824"/>
        <n v="13.4161"/>
        <n v="163.69149999999999"/>
        <n v="1015.3249"/>
        <n v="1284.8007"/>
        <n v="21.356300000000001"/>
        <n v="95.220100000000002"/>
        <n v="4.4053000000000004"/>
        <n v="438.76389999999998"/>
        <n v="2.5000000000000001E-2"/>
        <n v="3.6349999999999998"/>
        <n v="22.308599999999998"/>
        <n v="1.0885"/>
        <n v="7.64"/>
        <n v="9.65"/>
        <n v="36.833599999999997"/>
        <n v="145.6557"/>
        <n v="89.836200000000005"/>
        <n v="103.8368"/>
        <n v="68.4452"/>
        <n v="1147.3356000000001"/>
        <n v="2409.5587999999998"/>
        <n v="1401.0871999999999"/>
        <n v="2309.9086000000002"/>
        <n v="913.75469999999996"/>
        <n v="1122.8086000000001"/>
        <n v="554.23329999999999"/>
        <n v="1068.2409"/>
        <n v="1997.7666999999999"/>
        <n v="36.068199999999997"/>
        <n v="71.160700000000006"/>
        <n v="323.3997"/>
        <n v="606.59050000000002"/>
        <n v="215.15559999999999"/>
        <n v="8.6998999999999995"/>
        <n v="127.90179999999999"/>
        <n v="123.1259"/>
        <n v="424.78879999999998"/>
        <n v="49.716799999999999"/>
        <n v="146.31370000000001"/>
        <n v="248.8639"/>
        <n v="56.873399999999997"/>
        <n v="1.2094"/>
        <n v="6.8449999999999998"/>
        <n v="172.6644"/>
        <n v="199.4579"/>
        <n v="0.74270000000000003"/>
        <n v="12.493499999999999"/>
        <n v="842.72770000000003"/>
        <n v="1026.0545999999999"/>
        <n v="45.897799999999997"/>
        <n v="1704.9738"/>
        <n v="2.9064000000000001"/>
        <n v="4.7222"/>
        <n v="5.7408999999999999"/>
        <n v="1.4246000000000001"/>
        <n v="720.12469999999996"/>
        <n v="245.0727"/>
        <n v="1056.0386000000001"/>
        <n v="2411.3348000000001"/>
        <n v="12.7729"/>
        <n v="1260.6195"/>
        <n v="534.71069999999997"/>
        <n v="2240.9688000000001"/>
        <n v="289.12630000000001"/>
        <n v="6.4691999999999998"/>
        <n v="0.02"/>
        <n v="3.3592"/>
        <n v="43.602699999999999"/>
        <n v="0.17710000000000001"/>
        <n v="1.1613"/>
        <n v="0.75749999999999995"/>
        <n v="1.68"/>
        <n v="116.2043"/>
        <n v="48.9773"/>
        <n v="34.035699999999999"/>
        <n v="3264.5805999999998"/>
        <n v="8.9403000000000006"/>
        <n v="0.52669999999999995"/>
        <n v="310.0301"/>
        <n v="17.1813"/>
        <n v="441.30500000000001"/>
        <n v="2876.5592000000001"/>
        <n v="110.48520000000001"/>
        <n v="3121.8564000000001"/>
        <n v="3062.0891000000001"/>
        <n v="2.5320999999999998"/>
        <n v="6167.0902999999998"/>
        <n v="353.57029999999997"/>
        <n v="2439.5360000000001"/>
        <n v="1611.8206"/>
        <n v="5013.7686000000003"/>
        <n v="9.7993000000000006"/>
        <n v="5.6000000000000001E-2"/>
        <n v="0.28000000000000003"/>
        <n v="0.16800000000000001"/>
        <n v="18.353999999999999"/>
        <n v="2.5183"/>
        <n v="1.9842"/>
        <n v="4.3247"/>
        <n v="13.669700000000001"/>
        <n v="2.0488"/>
        <n v="1626.3281999999999"/>
        <n v="2377.8838000000001"/>
        <n v="0.45"/>
        <n v="4.1279000000000003"/>
        <n v="117.492"/>
        <n v="178.05029999999999"/>
        <n v="91.042100000000005"/>
        <n v="19.349299999999999"/>
        <n v="1931.7985000000001"/>
        <n v="108.86020000000001"/>
        <n v="723.71550000000002"/>
        <n v="17.785299999999999"/>
        <n v="98.710099999999997"/>
        <n v="0.30320000000000003"/>
        <n v="255.3304"/>
        <n v="153.12389999999999"/>
        <n v="1657.2372"/>
        <n v="1062.7058999999999"/>
        <n v="0.28799999999999998"/>
        <n v="1.1399999999999999"/>
        <n v="305.17070000000001"/>
        <n v="3236.7058000000002"/>
        <n v="3983.7687000000001"/>
        <n v="19.092600000000001"/>
        <n v="587.04769999999996"/>
        <n v="1063.3096"/>
        <n v="4462.7493999999997"/>
        <n v="229.50649999999999"/>
        <n v="17.3521"/>
        <n v="46.762"/>
        <n v="9.0073000000000008"/>
        <n v="16.475899999999999"/>
        <n v="19.252400000000002"/>
        <n v="55.505499999999998"/>
        <n v="5.5553999999999997"/>
        <n v="244.268"/>
        <n v="1.5809"/>
        <n v="128.11799999999999"/>
        <n v="1119.9051999999999"/>
        <n v="61.781700000000001"/>
        <n v="1253.7541000000001"/>
        <n v="158.0343"/>
        <n v="287.5865"/>
        <n v="650.06870000000004"/>
        <n v="185.42320000000001"/>
        <n v="975.65369999999996"/>
        <n v="2155.8667"/>
        <n v="736.28099999999995"/>
        <n v="0.1971"/>
        <n v="0.93600000000000005"/>
        <n v="171.71680000000001"/>
        <n v="461.80500000000001"/>
        <n v="463.84859999999998"/>
        <n v="3.698"/>
        <n v="151.65029999999999"/>
        <n v="110.1146"/>
        <n v="9.1946999999999992"/>
        <n v="850.57989999999995"/>
        <n v="502.96"/>
        <n v="585.52229999999997"/>
        <n v="56.316099999999999"/>
        <n v="443.52179999999998"/>
      </sharedItems>
    </cacheField>
    <cacheField name="Total Value" numFmtId="0">
      <sharedItems containsSemiMixedTypes="0" containsString="0" containsNumber="1" minValue="0" maxValue="4528.7451999999994" count="498">
        <n v="2.5590000000000002"/>
        <n v="0"/>
        <n v="1.09E-2"/>
        <n v="226.88230000000001"/>
        <n v="429.048"/>
        <n v="1955.1671000000001"/>
        <n v="30.415099999999999"/>
        <n v="49.078499999999998"/>
        <n v="11.249000000000001"/>
        <n v="27.477199999999996"/>
        <n v="0.1235"/>
        <n v="7.1128"/>
        <n v="0.68169999999999997"/>
        <n v="2.1191"/>
        <n v="1.3532"/>
        <n v="6.0065"/>
        <n v="31.287400000000002"/>
        <n v="214.12099999999998"/>
        <n v="79.93119999999999"/>
        <n v="6.1199999999999997E-2"/>
        <n v="42.762299999999996"/>
        <n v="72.209800000000001"/>
        <n v="293.56209999999999"/>
        <n v="459.02539999999999"/>
        <n v="8.1350999999999996"/>
        <n v="4528.7451999999994"/>
        <n v="2.3395999999999999"/>
        <n v="142.84690000000001"/>
        <n v="233.93260000000001"/>
        <n v="22.2973"/>
        <n v="194.07240000000002"/>
        <n v="22.406500000000001"/>
        <n v="143.03960000000001"/>
        <n v="128.6902"/>
        <n v="7.5679999999999996"/>
        <n v="13.5321"/>
        <n v="124.7153"/>
        <n v="19.382499999999997"/>
        <n v="158.14449999999999"/>
        <n v="97.907499999999985"/>
        <n v="149.1105"/>
        <n v="5.7117000000000004"/>
        <n v="4.6528"/>
        <n v="0.70520000000000005"/>
        <n v="1.113"/>
        <n v="37.281700000000001"/>
        <n v="37.4499"/>
        <n v="27.536300000000001"/>
        <n v="46.9116"/>
        <n v="29.690899999999999"/>
        <n v="61.885500000000008"/>
        <n v="0.72840000000000005"/>
        <n v="2.4422000000000001"/>
        <n v="2.9654000000000003"/>
        <n v="1.3138999999999998"/>
        <n v="0.1065"/>
        <n v="12.247"/>
        <n v="6.4064000000000005"/>
        <n v="13.584499999999998"/>
        <n v="3.5648"/>
        <n v="3.3237999999999999"/>
        <n v="53.209499999999998"/>
        <n v="4.6172000000000004"/>
        <n v="8.1763999999999992"/>
        <n v="1.6843000000000001"/>
        <n v="4.1338999999999997"/>
        <n v="5.57E-2"/>
        <n v="644.096"/>
        <n v="3.2399999999999998E-2"/>
        <n v="61.979599999999998"/>
        <n v="81.289300000000011"/>
        <n v="126.0311"/>
        <n v="1.2E-2"/>
        <n v="8.3928999999999991"/>
        <n v="20.725299999999997"/>
        <n v="91.081900000000005"/>
        <n v="0.98629999999999995"/>
        <n v="161.1592"/>
        <n v="0.24490000000000001"/>
        <n v="2.0495000000000001"/>
        <n v="46.336100000000002"/>
        <n v="41.1404"/>
        <n v="92.419600000000017"/>
        <n v="11.0014"/>
        <n v="52.0227"/>
        <n v="2.2918000000000003"/>
        <n v="0.1072"/>
        <n v="13.3964"/>
        <n v="15.554300000000001"/>
        <n v="14.9109"/>
        <n v="0.9879"/>
        <n v="48.369600000000005"/>
        <n v="41.0518"/>
        <n v="42.124300000000005"/>
        <n v="1.03E-2"/>
        <n v="56.058399999999999"/>
        <n v="0.1202"/>
        <n v="49.726100000000002"/>
        <n v="25.833000000000002"/>
        <n v="0.11600000000000001"/>
        <n v="10.894399999999999"/>
        <n v="13.0618"/>
        <n v="0.84670000000000001"/>
        <n v="3.2201999999999997"/>
        <n v="4.0140000000000002"/>
        <n v="4.0500000000000001E-2"/>
        <n v="0.76770000000000005"/>
        <n v="0.86809999999999998"/>
        <n v="41.153100000000002"/>
        <n v="29.3507"/>
        <n v="82.997199999999992"/>
        <n v="66.867400000000004"/>
        <n v="4.1798000000000002"/>
        <n v="29.700199999999999"/>
        <n v="8.9794"/>
        <n v="9.4999999999999998E-3"/>
        <n v="0.34189999999999998"/>
        <n v="46.431699999999999"/>
        <n v="37.471400000000003"/>
        <n v="30.0655"/>
        <n v="95.222099999999998"/>
        <n v="25.996199999999998"/>
        <n v="5.0415000000000001"/>
        <n v="3.0522999999999998"/>
        <n v="17.581700000000001"/>
        <n v="60.883000000000003"/>
        <n v="15.805399999999999"/>
        <n v="138.0926"/>
        <n v="134.1054"/>
        <n v="0.24010000000000001"/>
        <n v="1.0800000000000001E-2"/>
        <n v="3.9901000000000004"/>
        <n v="6.0600000000000001E-2"/>
        <n v="5.9668000000000001"/>
        <n v="0.16420000000000001"/>
        <n v="21.2041"/>
        <n v="38.858200000000004"/>
        <n v="6.2529000000000003"/>
        <n v="1.7044000000000001"/>
        <n v="7.7358000000000002"/>
        <n v="3.2437999999999998"/>
        <n v="3.2000000000000002E-3"/>
        <n v="40.0702"/>
        <n v="0.77039999999999997"/>
        <n v="830.92690000000005"/>
        <n v="11.008699999999999"/>
        <n v="13.473199999999999"/>
        <n v="20.4818"/>
        <n v="12.693"/>
        <n v="47.342799999999997"/>
        <n v="0.1661"/>
        <n v="4.1428000000000003"/>
        <n v="4.53E-2"/>
        <n v="1.6291"/>
        <n v="452.06830000000002"/>
        <n v="58.880399999999995"/>
        <n v="106.04010000000001"/>
        <n v="154.91560000000001"/>
        <n v="0.36020000000000002"/>
        <n v="100.3582"/>
        <n v="15.024199999999999"/>
        <n v="10.590199999999999"/>
        <n v="319.65749999999997"/>
        <n v="43.9649"/>
        <n v="7.5018000000000002"/>
        <n v="1.3945000000000001"/>
        <n v="7.7927999999999997"/>
        <n v="98.971400000000003"/>
        <n v="31.289200000000001"/>
        <n v="0.59"/>
        <n v="1.4350000000000001"/>
        <n v="0.60860000000000003"/>
        <n v="1.7665"/>
        <n v="31.191499999999998"/>
        <n v="641.81489999999997"/>
        <n v="0.61949999999999994"/>
        <n v="190.0548"/>
        <n v="13.514199999999999"/>
        <n v="714.98979999999995"/>
        <n v="3.7146999999999997"/>
        <n v="0.21840000000000001"/>
        <n v="0.50360000000000005"/>
        <n v="0.18679999999999999"/>
        <n v="7.1475"/>
        <n v="0.31990000000000002"/>
        <n v="3.0116000000000001"/>
        <n v="2.2768999999999999"/>
        <n v="117.1626"/>
        <n v="1.8748"/>
        <n v="0.89929999999999999"/>
        <n v="2.1700000000000001E-2"/>
        <n v="4.9990999999999994"/>
        <n v="20.7944"/>
        <n v="26.837"/>
        <n v="0.26739999999999997"/>
        <n v="1.1672"/>
        <n v="56.204899999999995"/>
        <n v="5.0748999999999995"/>
        <n v="545.05459999999994"/>
        <n v="26.013400000000001"/>
        <n v="0.31269999999999998"/>
        <n v="0.32129999999999997"/>
        <n v="0.4919"/>
        <n v="1.5202000000000002"/>
        <n v="8.3379999999999992"/>
        <n v="2.8999999999999998E-3"/>
        <n v="0.22670000000000001"/>
        <n v="25.866"/>
        <n v="2.8000000000000001E-2"/>
        <n v="24.6373"/>
        <n v="1.1900000000000001E-2"/>
        <n v="0.69599999999999995"/>
        <n v="1.1042999999999998"/>
        <n v="0.2228"/>
        <n v="2.2185000000000001"/>
        <n v="14.8409"/>
        <n v="10.702299999999999"/>
        <n v="52.108599999999996"/>
        <n v="162.94819999999999"/>
        <n v="218.30790000000002"/>
        <n v="44.189"/>
        <n v="28.534100000000002"/>
        <n v="0.16520000000000001"/>
        <n v="2.9600000000000001E-2"/>
        <n v="3.1516000000000002"/>
        <n v="5.9740000000000002"/>
        <n v="0.21160000000000001"/>
        <n v="35.979799999999997"/>
        <n v="0.13339999999999999"/>
        <n v="5.4074"/>
        <n v="20.0976"/>
        <n v="0.2089"/>
        <n v="0.18790000000000001"/>
        <n v="5.3962000000000003"/>
        <n v="14.2324"/>
        <n v="6.5199999999999994E-2"/>
        <n v="7.0000000000000001E-3"/>
        <n v="0.80289999999999995"/>
        <n v="21.688299999999998"/>
        <n v="4.4281000000000006"/>
        <n v="30.264499999999998"/>
        <n v="1.5283"/>
        <n v="99.578800000000001"/>
        <n v="138.32300000000001"/>
        <n v="63.808100000000003"/>
        <n v="165.81970000000001"/>
        <n v="56.104900000000001"/>
        <n v="60.248199999999997"/>
        <n v="42.105599999999995"/>
        <n v="51.640699999999995"/>
        <n v="109.7543"/>
        <n v="21.2014"/>
        <n v="1.6268"/>
        <n v="2.5358999999999998"/>
        <n v="3.6318999999999999"/>
        <n v="41.6905"/>
        <n v="42.798699999999997"/>
        <n v="33.317300000000003"/>
        <n v="0.76279999999999992"/>
        <n v="26.1069"/>
        <n v="31.718800000000002"/>
        <n v="32.193199999999997"/>
        <n v="2.5228000000000002"/>
        <n v="10.120800000000001"/>
        <n v="10.574300000000001"/>
        <n v="14.7072"/>
        <n v="3.0451999999999999"/>
        <n v="0.78700000000000003"/>
        <n v="3.3300000000000003E-2"/>
        <n v="0.26819999999999999"/>
        <n v="0.66060000000000008"/>
        <n v="34.397499999999994"/>
        <n v="30.1279"/>
        <n v="0.4834"/>
        <n v="0.13550000000000001"/>
        <n v="2.3E-3"/>
        <n v="4.0847999999999995"/>
        <n v="12.366400000000001"/>
        <n v="8.9099999999999999E-2"/>
        <n v="102.4564"/>
        <n v="167.65440000000001"/>
        <n v="184.32929999999999"/>
        <n v="242.70429999999999"/>
        <n v="26.386899999999997"/>
        <n v="40.439799999999998"/>
        <n v="0.31869999999999998"/>
        <n v="7.1499999999999994E-2"/>
        <n v="6.3014999999999999"/>
        <n v="2.8529"/>
        <n v="15.519599999999999"/>
        <n v="60.601800000000004"/>
        <n v="6.4817"/>
        <n v="68.024500000000003"/>
        <n v="12.9213"/>
        <n v="57.147500000000008"/>
        <n v="110.0334"/>
        <n v="0.1542"/>
        <n v="0.19919999999999999"/>
        <n v="6.508700000000001"/>
        <n v="0.44130000000000003"/>
        <n v="1.8445"/>
        <n v="0.57199999999999995"/>
        <n v="14.513400000000001"/>
        <n v="78.384100000000004"/>
        <n v="26.076999999999998"/>
        <n v="1.0731999999999999"/>
        <n v="2.6486999999999998"/>
        <n v="275.08449999999999"/>
        <n v="43.798499999999997"/>
        <n v="4.7975000000000003"/>
        <n v="6.7945000000000002"/>
        <n v="5.149"/>
        <n v="0.16109999999999999"/>
        <n v="0.3604"/>
        <n v="9.8000000000000004E-2"/>
        <n v="1.5232999999999999"/>
        <n v="0.42170000000000002"/>
        <n v="2.0999999999999999E-3"/>
        <n v="1.669"/>
        <n v="0.69610000000000005"/>
        <n v="1.5627"/>
        <n v="1.8599999999999998E-2"/>
        <n v="1.0058"/>
        <n v="0.28189999999999998"/>
        <n v="18.1111"/>
        <n v="5.0434999999999999"/>
        <n v="9.6434999999999995"/>
        <n v="12.711499999999999"/>
        <n v="0.624"/>
        <n v="473.17600000000004"/>
        <n v="1.0241"/>
        <n v="0.4108"/>
        <n v="1.2066000000000001"/>
        <n v="0.91580000000000006"/>
        <n v="8.3472000000000008"/>
        <n v="9.06E-2"/>
        <n v="2.1740000000000004"/>
        <n v="20.740400000000001"/>
        <n v="1.2435"/>
        <n v="65.478099999999998"/>
        <n v="799.45990000000006"/>
        <n v="25.7591"/>
        <n v="412.55400000000003"/>
        <n v="601.52350000000001"/>
        <n v="0.30770000000000003"/>
        <n v="0.97950000000000004"/>
        <n v="1.0518000000000001"/>
        <n v="1.2850999999999999"/>
        <n v="0.64070000000000005"/>
        <n v="0.83460000000000001"/>
        <n v="0.48680000000000001"/>
        <n v="1.716"/>
        <n v="0.24820000000000003"/>
        <n v="2.1053000000000002"/>
        <n v="1.3477999999999999"/>
        <n v="0.72089999999999999"/>
        <n v="0.48470000000000002"/>
        <n v="1.3855"/>
        <n v="0.2001"/>
        <n v="0.30409999999999998"/>
        <n v="1.9098000000000002"/>
        <n v="0.92279999999999995"/>
        <n v="527.42190000000005"/>
        <n v="1.0024"/>
        <n v="0.23680000000000001"/>
        <n v="112.83520000000001"/>
        <n v="316.16730000000001"/>
        <n v="370.6551"/>
        <n v="463.9194"/>
        <n v="20.6496"/>
        <n v="0.17649999999999999"/>
        <n v="6.4787000000000008"/>
        <n v="3.5307000000000004"/>
        <n v="2.7799999999999998E-2"/>
        <n v="2.0859000000000005"/>
        <n v="2.1430999999999996"/>
        <n v="3.5900000000000001E-2"/>
        <n v="3.5200000000000002E-2"/>
        <n v="0.2382"/>
        <n v="1.0412999999999999"/>
        <n v="5.6599999999999998E-2"/>
        <n v="1.6667999999999998"/>
        <n v="6.0316000000000001"/>
        <n v="0.80620000000000003"/>
        <n v="16.213799999999999"/>
        <n v="0.33579999999999999"/>
        <n v="36.976900000000008"/>
        <n v="3.3700000000000001E-2"/>
        <n v="1.1124999999999998"/>
        <n v="5.1547000000000001"/>
        <n v="1.1009"/>
        <n v="0.48170000000000002"/>
        <n v="8.9800000000000005E-2"/>
        <n v="0.16889999999999999"/>
        <n v="4.6333000000000002"/>
        <n v="16.664200000000001"/>
        <n v="11.3934"/>
        <n v="0.34789999999999999"/>
        <n v="608.78060000000005"/>
        <n v="548.67410000000007"/>
        <n v="4.2099999999999999E-2"/>
        <n v="0.3543"/>
        <n v="43.382899999999999"/>
        <n v="61.157699999999991"/>
        <n v="0.2319"/>
        <n v="0.2671"/>
        <n v="0.1171"/>
        <n v="13.5703"/>
        <n v="19.939499999999999"/>
        <n v="2.9045000000000001"/>
        <n v="2.9113000000000002"/>
        <n v="4.2324000000000002"/>
        <n v="2.6360000000000001"/>
        <n v="172.71940000000001"/>
        <n v="10.003299999999999"/>
        <n v="108.4641"/>
        <n v="12.1821"/>
        <n v="3.718"/>
        <n v="14.440300000000001"/>
        <n v="9.1999999999999998E-3"/>
        <n v="0.35610000000000003"/>
        <n v="1.4041000000000001"/>
        <n v="7.3142999999999994"/>
        <n v="34.7363"/>
        <n v="34.805"/>
        <n v="31.5457"/>
        <n v="49.848799999999997"/>
        <n v="111.09780000000001"/>
        <n v="0.93930000000000002"/>
        <n v="1.6572"/>
        <n v="35.497999999999998"/>
        <n v="2.7837000000000001"/>
        <n v="2.0308000000000002"/>
        <n v="359.34090000000003"/>
        <n v="398.99380000000002"/>
        <n v="7.4499999999999997E-2"/>
        <n v="7.9023999999999992"/>
        <n v="44.496000000000002"/>
        <n v="0.68669999999999998"/>
        <n v="44.426699999999997"/>
        <n v="2.7111999999999998"/>
        <n v="38.746399999999994"/>
        <n v="1.0042"/>
        <n v="475.04349999999999"/>
        <n v="41.277000000000001"/>
        <n v="0.28920000000000001"/>
        <n v="7.2302"/>
        <n v="0.25659999999999999"/>
        <n v="1.2970999999999999"/>
        <n v="9.6465999999999994"/>
        <n v="4.0099999999999997E-2"/>
        <n v="18.873999999999999"/>
        <n v="3.3811"/>
        <n v="2.3999999999999998E-3"/>
        <n v="0.22650000000000001"/>
        <n v="0.74809999999999999"/>
        <n v="8.2925000000000004"/>
        <n v="73.531999999999996"/>
        <n v="3.4521999999999999"/>
        <n v="90.877400000000009"/>
        <n v="0.84319999999999995"/>
        <n v="0.40639999999999998"/>
        <n v="143.8115"/>
        <n v="0.42759999999999998"/>
        <n v="9.2215000000000007"/>
        <n v="16.020500000000002"/>
        <n v="128.89000000000001"/>
        <n v="4.4955999999999996"/>
        <n v="5.5199999999999999E-2"/>
        <n v="15.4664"/>
        <n v="75.023200000000003"/>
        <n v="143.2003"/>
        <n v="16.811900000000001"/>
        <n v="183.3073"/>
        <n v="245.67880000000002"/>
        <n v="69.610199999999992"/>
        <n v="3.1300000000000001E-2"/>
        <n v="0.28999999999999998"/>
        <n v="0.20569999999999999"/>
        <n v="1.2095"/>
        <n v="3.4049"/>
        <n v="0.27539999999999998"/>
        <n v="0.36249999999999999"/>
        <n v="3.1633"/>
        <n v="20.948900000000002"/>
        <n v="101.72149999999999"/>
        <n v="0.3044"/>
        <n v="0.38059999999999999"/>
        <n v="50.422000000000004"/>
        <n v="1.9407000000000001"/>
        <n v="2.1497999999999999"/>
        <n v="0.1532"/>
        <n v="14.0892"/>
        <n v="8.1373999999999995"/>
        <n v="44.871600000000001"/>
        <n v="26.8322"/>
        <n v="58.694400000000002"/>
        <n v="6.2012999999999998"/>
      </sharedItems>
    </cacheField>
  </cacheFields>
  <extLst>
    <ext xmlns:x14="http://schemas.microsoft.com/office/spreadsheetml/2009/9/main" uri="{725AE2AE-9491-48be-B2B4-4EB974FC3084}">
      <x14:pivotCacheDefinition pivotCacheId="8376040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7.89793402778" backgroundQuery="1" createdVersion="8" refreshedVersion="8" minRefreshableVersion="3" recordCount="0" supportSubquery="1" supportAdvancedDrill="1" xr:uid="{BEB0368B-D034-4EE3-809A-DA756376507A}">
  <cacheSource type="external" connectionId="2"/>
  <cacheFields count="10">
    <cacheField name="[Table4_1].[Manufacturer].[Manufacturer]" caption="Manufacturer" numFmtId="0" hierarchy="44" level="1">
      <sharedItems count="5">
        <s v=" Fulya Beauty"/>
        <s v=" Intelligent Initiative"/>
        <s v=" Proctor &amp; Wager"/>
        <s v=" SepaTextiles"/>
        <s v=" VigaLife"/>
      </sharedItems>
    </cacheField>
    <cacheField name="[Measures].[Sum of Volume 2022 4]" caption="Sum of Volume 2022 4" numFmtId="0" hierarchy="99" level="32767"/>
    <cacheField name="[Measures].[Sum of Volume 2023 4]" caption="Sum of Volume 2023 4" numFmtId="0" hierarchy="100" level="32767"/>
    <cacheField name="[Measures].[Sum of Volume 2024 2]" caption="Sum of Volume 2024 2" numFmtId="0" hierarchy="101" level="32767"/>
    <cacheField name="[Measures].[Sum of Average Volume]" caption="Sum of Average Volume" numFmtId="0" hierarchy="102" level="32767"/>
    <cacheField name="[Measures].[Sum of Total Value]" caption="Sum of Total Value" numFmtId="0" hierarchy="75" level="32767"/>
    <cacheField name="[Table2].[PACKAGE SIZE].[PACKAGE SIZE]" caption="PACKAGE SIZE" numFmtId="0" hierarchy="18" level="1">
      <sharedItems containsSemiMixedTypes="0" containsNonDate="0" containsString="0"/>
    </cacheField>
    <cacheField name="[Table1].[BRAND].[BRAND]" caption="BRAND" numFmtId="0" hierarchy="1" level="1">
      <sharedItems containsSemiMixedTypes="0" containsNonDate="0" containsString="0"/>
    </cacheField>
    <cacheField name="[Table1].[MANUFACTURER2].[MANUFACTURER2]" caption="MANUFACTURER2" numFmtId="0" level="1">
      <sharedItems containsSemiMixedTypes="0" containsNonDate="0" containsString="0"/>
    </cacheField>
    <cacheField name="[Table1].[Package Type].[Package Type]" caption="Package Type" numFmtId="0" hierarchy="4" level="1">
      <sharedItems containsSemiMixedTypes="0" containsNonDate="0" containsString="0"/>
    </cacheField>
  </cacheFields>
  <cacheHierarchies count="114">
    <cacheHierarchy uniqueName="[Table1].[MANUFACTURER2]" caption="MANUFACTURER2" attribute="1" defaultMemberUniqueName="[Table1].[MANUFACTURER2].[All]" allUniqueName="[Table1].[MANUFACTURER2].[All]" dimensionUniqueName="[Table1]" displayFolder="" count="2" memberValueDatatype="130" unbalanced="0">
      <fieldsUsage count="2">
        <fieldUsage x="-1"/>
        <fieldUsage x="8"/>
      </fieldsUsage>
    </cacheHierarchy>
    <cacheHierarchy uniqueName="[Table1].[BRAND]" caption="BRAND" attribute="1" defaultMemberUniqueName="[Table1].[BRAND].[All]" allUniqueName="[Table1].[BRAND].[All]" dimensionUniqueName="[Table1]" displayFolder="" count="2" memberValueDatatype="130" unbalanced="0">
      <fieldsUsage count="2">
        <fieldUsage x="-1"/>
        <fieldUsage x="7"/>
      </fieldsUsage>
    </cacheHierarchy>
    <cacheHierarchy uniqueName="[Table1].[Company]" caption="Company" attribute="1" defaultMemberUniqueName="[Table1].[Company].[All]" allUniqueName="[Table1].[Compan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ackage Type]" caption="Package Type" attribute="1" defaultMemberUniqueName="[Table1].[Package Type].[All]" allUniqueName="[Table1].[Package Type].[All]" dimensionUniqueName="[Table1]" displayFolder="" count="2" memberValueDatatype="130" unbalanced="0">
      <fieldsUsage count="2">
        <fieldUsage x="-1"/>
        <fieldUsage x="9"/>
      </fieldsUsage>
    </cacheHierarchy>
    <cacheHierarchy uniqueName="[Table1].[Protection/Care]" caption="Protection/Care" attribute="1" defaultMemberUniqueName="[Table1].[Protection/Care].[All]" allUniqueName="[Table1].[Protection/Care].[All]" dimensionUniqueName="[Table1]" displayFolder="" count="0" memberValueDatatype="130" unbalanced="0"/>
    <cacheHierarchy uniqueName="[Table1].[Package Size]" caption="Package Size" attribute="1" defaultMemberUniqueName="[Table1].[Package Size].[All]" allUniqueName="[Table1].[Package Size].[All]" dimensionUniqueName="[Table1]" displayFolder="" count="0" memberValueDatatype="130" unbalanced="0"/>
    <cacheHierarchy uniqueName="[Table1].[2022]" caption="2022" attribute="1" defaultMemberUniqueName="[Table1].[2022].[All]" allUniqueName="[Table1].[2022].[All]" dimensionUniqueName="[Table1]" displayFolder="" count="0" memberValueDatatype="5" unbalanced="0"/>
    <cacheHierarchy uniqueName="[Table1].[2023]" caption="2023" attribute="1" defaultMemberUniqueName="[Table1].[2023].[All]" allUniqueName="[Table1].[2023].[All]" dimensionUniqueName="[Table1]" displayFolder="" count="0" memberValueDatatype="5" unbalanced="0"/>
    <cacheHierarchy uniqueName="[Table1].[YTD 2024]" caption="YTD 2024" attribute="1" defaultMemberUniqueName="[Table1].[YTD 2024].[All]" allUniqueName="[Table1].[YTD 2024].[All]" dimensionUniqueName="[Table1]" displayFolder="" count="0" memberValueDatatype="5" unbalanced="0"/>
    <cacheHierarchy uniqueName="[Table1].[Volume 2022]" caption="Volume 2022" attribute="1" defaultMemberUniqueName="[Table1].[Volume 2022].[All]" allUniqueName="[Table1].[Volume 2022].[All]" dimensionUniqueName="[Table1]" displayFolder="" count="0" memberValueDatatype="5" unbalanced="0"/>
    <cacheHierarchy uniqueName="[Table1].[Volume 2023]" caption="Volume 2023" attribute="1" defaultMemberUniqueName="[Table1].[Volume 2023].[All]" allUniqueName="[Table1].[Volume 2023].[All]" dimensionUniqueName="[Table1]" displayFolder="" count="0" memberValueDatatype="5" unbalanced="0"/>
    <cacheHierarchy uniqueName="[Table1].[Volume YTD 2024]" caption="Volume YTD 2024" attribute="1" defaultMemberUniqueName="[Table1].[Volume YTD 2024].[All]" allUniqueName="[Table1].[Volume YTD 2024].[All]" dimensionUniqueName="[Table1]" displayFolder="" count="0" memberValueDatatype="5" unbalanced="0"/>
    <cacheHierarchy uniqueName="[Table1].[Total Value]" caption="Total Value" attribute="1" defaultMemberUniqueName="[Table1].[Total Value].[All]" allUniqueName="[Table1].[Total Value].[All]" dimensionUniqueName="[Table1]" displayFolder="" count="0" memberValueDatatype="5" unbalanced="0"/>
    <cacheHierarchy uniqueName="[Table2].[PRODUCT]" caption="PRODUCT" attribute="1" defaultMemberUniqueName="[Table2].[PRODUCT].[All]" allUniqueName="[Table2].[PRODUCT].[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PACKAGE TYPE]" caption="PACKAGE TYPE" attribute="1" defaultMemberUniqueName="[Table2].[PACKAGE TYPE].[All]" allUniqueName="[Table2].[PACKAGE TYPE].[All]" dimensionUniqueName="[Table2]" displayFolder="" count="0" memberValueDatatype="130" unbalanced="0"/>
    <cacheHierarchy uniqueName="[Table2].[PROTECTION / CARE]" caption="PROTECTION / CARE" attribute="1" defaultMemberUniqueName="[Table2].[PROTECTION / CARE].[All]" allUniqueName="[Table2].[PROTECTION / CARE].[All]" dimensionUniqueName="[Table2]" displayFolder="" count="0" memberValueDatatype="130" unbalanced="0"/>
    <cacheHierarchy uniqueName="[Table2].[PACKAGE SIZE]" caption="PACKAGE SIZE" attribute="1" defaultMemberUniqueName="[Table2].[PACKAGE SIZE].[All]" allUniqueName="[Table2].[PACKAGE SIZE].[All]" dimensionUniqueName="[Table2]" displayFolder="" count="2" memberValueDatatype="130" unbalanced="0">
      <fieldsUsage count="2">
        <fieldUsage x="-1"/>
        <fieldUsage x="6"/>
      </fieldsUsage>
    </cacheHierarchy>
    <cacheHierarchy uniqueName="[Table2].[2022]" caption="2022" attribute="1" defaultMemberUniqueName="[Table2].[2022].[All]" allUniqueName="[Table2].[2022].[All]" dimensionUniqueName="[Table2]" displayFolder="" count="0" memberValueDatatype="130" unbalanced="0"/>
    <cacheHierarchy uniqueName="[Table2].[2023]" caption="2023" attribute="1" defaultMemberUniqueName="[Table2].[2023].[All]" allUniqueName="[Table2].[2023].[All]" dimensionUniqueName="[Table2]" displayFolder="" count="0" memberValueDatatype="5" unbalanced="0"/>
    <cacheHierarchy uniqueName="[Table2].[YTD 24]" caption="YTD 24" attribute="1" defaultMemberUniqueName="[Table2].[YTD 24].[All]" allUniqueName="[Table2].[YTD 24].[All]" dimensionUniqueName="[Table2]" displayFolder="" count="0" memberValueDatatype="5" unbalanced="0"/>
    <cacheHierarchy uniqueName="[Table2].[Volume 2022]" caption="Volume 2022" attribute="1" defaultMemberUniqueName="[Table2].[Volume 2022].[All]" allUniqueName="[Table2].[Volume 2022].[All]" dimensionUniqueName="[Table2]" displayFolder="" count="0" memberValueDatatype="5" unbalanced="0"/>
    <cacheHierarchy uniqueName="[Table2].[Volume 2023]" caption="Volume 2023" attribute="1" defaultMemberUniqueName="[Table2].[Volume 2023].[All]" allUniqueName="[Table2].[Volume 2023].[All]" dimensionUniqueName="[Table2]" displayFolder="" count="0" memberValueDatatype="5" unbalanced="0"/>
    <cacheHierarchy uniqueName="[Table2].[Volume YTD 2024]" caption="Volume YTD 2024" attribute="1" defaultMemberUniqueName="[Table2].[Volume YTD 2024].[All]" allUniqueName="[Table2].[Volume YTD 2024].[All]" dimensionUniqueName="[Table2]" displayFolder="" count="0" memberValueDatatype="5" unbalanced="0"/>
    <cacheHierarchy uniqueName="[Table2].[Total Value]" caption="Total Value" attribute="1" defaultMemberUniqueName="[Table2].[Total Value].[All]" allUniqueName="[Table2].[Total Value].[All]" dimensionUniqueName="[Table2]" displayFolder="" count="0" memberValueDatatype="5" unbalanced="0"/>
    <cacheHierarchy uniqueName="[Table2].[YOY Growth 23]" caption="YOY Growth 23" attribute="1" defaultMemberUniqueName="[Table2].[YOY Growth 23].[All]" allUniqueName="[Table2].[YOY Growth 23].[All]" dimensionUniqueName="[Table2]" displayFolder="" count="0" memberValueDatatype="5" unbalanced="0"/>
    <cacheHierarchy uniqueName="[Table2].[YTD Growth 24]" caption="YTD Growth 24" attribute="1" defaultMemberUniqueName="[Table2].[YTD Growth 24].[All]" allUniqueName="[Table2].[YTD Growth 24].[All]" dimensionUniqueName="[Table2]" displayFolder="" count="0" memberValueDatatype="5" unbalanced="0"/>
    <cacheHierarchy uniqueName="[Table2].[Price 2022]" caption="Price 2022" attribute="1" defaultMemberUniqueName="[Table2].[Price 2022].[All]" allUniqueName="[Table2].[Price 2022].[All]" dimensionUniqueName="[Table2]" displayFolder="" count="0" memberValueDatatype="5" unbalanced="0"/>
    <cacheHierarchy uniqueName="[Table2].[Price 2023]" caption="Price 2023" attribute="1" defaultMemberUniqueName="[Table2].[Price 2023].[All]" allUniqueName="[Table2].[Price 2023].[All]" dimensionUniqueName="[Table2]" displayFolder="" count="0" memberValueDatatype="5" unbalanced="0"/>
    <cacheHierarchy uniqueName="[Table2].[Price 2024]" caption="Price 2024" attribute="1" defaultMemberUniqueName="[Table2].[Price 2024].[All]" allUniqueName="[Table2].[Price 2024].[All]" dimensionUniqueName="[Table2]" displayFolder="" count="0" memberValueDatatype="5" unbalanced="0"/>
    <cacheHierarchy uniqueName="[Table4].[Manufacturer]" caption="Manufacturer" attribute="1" defaultMemberUniqueName="[Table4].[Manufacturer].[All]" allUniqueName="[Table4].[Manufacturer].[All]" dimensionUniqueName="[Table4]" displayFolder="" count="0" memberValueDatatype="130" unbalanced="0"/>
    <cacheHierarchy uniqueName="[Table4].[2022]" caption="2022" attribute="1" defaultMemberUniqueName="[Table4].[2022].[All]" allUniqueName="[Table4].[2022].[All]" dimensionUniqueName="[Table4]" displayFolder="" count="0" memberValueDatatype="5" unbalanced="0"/>
    <cacheHierarchy uniqueName="[Table4].[2023]" caption="2023" attribute="1" defaultMemberUniqueName="[Table4].[2023].[All]" allUniqueName="[Table4].[2023].[All]" dimensionUniqueName="[Table4]" displayFolder="" count="0" memberValueDatatype="5" unbalanced="0"/>
    <cacheHierarchy uniqueName="[Table4].[YTD 2024]" caption="YTD 2024" attribute="1" defaultMemberUniqueName="[Table4].[YTD 2024].[All]" allUniqueName="[Table4].[YTD 2024].[All]" dimensionUniqueName="[Table4]" displayFolder="" count="0" memberValueDatatype="5" unbalanced="0"/>
    <cacheHierarchy uniqueName="[Table4].[Volume 2022]" caption="Volume 2022" attribute="1" defaultMemberUniqueName="[Table4].[Volume 2022].[All]" allUniqueName="[Table4].[Volume 2022].[All]" dimensionUniqueName="[Table4]" displayFolder="" count="0" memberValueDatatype="5" unbalanced="0"/>
    <cacheHierarchy uniqueName="[Table4].[Volume 2023]" caption="Volume 2023" attribute="1" defaultMemberUniqueName="[Table4].[Volume 2023].[All]" allUniqueName="[Table4].[Volume 2023].[All]" dimensionUniqueName="[Table4]" displayFolder="" count="0" memberValueDatatype="5" unbalanced="0"/>
    <cacheHierarchy uniqueName="[Table4].[Volume 2024]" caption="Volume 2024" attribute="1" defaultMemberUniqueName="[Table4].[Volume 2024].[All]" allUniqueName="[Table4].[Volume 2024].[All]" dimensionUniqueName="[Table4]" displayFolder="" count="0" memberValueDatatype="5" unbalanced="0"/>
    <cacheHierarchy uniqueName="[Table4].[Total Value]" caption="Total Value" attribute="1" defaultMemberUniqueName="[Table4].[Total Value].[All]" allUniqueName="[Table4].[Total Value].[All]" dimensionUniqueName="[Table4]" displayFolder="" count="0" memberValueDatatype="5" unbalanced="0"/>
    <cacheHierarchy uniqueName="[Table4].[YoY Growth 23]" caption="YoY Growth 23" attribute="1" defaultMemberUniqueName="[Table4].[YoY Growth 23].[All]" allUniqueName="[Table4].[YoY Growth 23].[All]" dimensionUniqueName="[Table4]" displayFolder="" count="0" memberValueDatatype="5" unbalanced="0"/>
    <cacheHierarchy uniqueName="[Table4].[YTD Growth]" caption="YTD Growth" attribute="1" defaultMemberUniqueName="[Table4].[YTD Growth].[All]" allUniqueName="[Table4].[YTD Growth].[All]" dimensionUniqueName="[Table4]" displayFolder="" count="0" memberValueDatatype="5" unbalanced="0"/>
    <cacheHierarchy uniqueName="[Table4].[Price 2022]" caption="Price 2022" attribute="1" defaultMemberUniqueName="[Table4].[Price 2022].[All]" allUniqueName="[Table4].[Price 2022].[All]" dimensionUniqueName="[Table4]" displayFolder="" count="0" memberValueDatatype="5" unbalanced="0"/>
    <cacheHierarchy uniqueName="[Table4].[Price 2023]" caption="Price 2023" attribute="1" defaultMemberUniqueName="[Table4].[Price 2023].[All]" allUniqueName="[Table4].[Price 2023].[All]" dimensionUniqueName="[Table4]" displayFolder="" count="0" memberValueDatatype="5" unbalanced="0"/>
    <cacheHierarchy uniqueName="[Table4].[Price 2024]" caption="Price 2024" attribute="1" defaultMemberUniqueName="[Table4].[Price 2024].[All]" allUniqueName="[Table4].[Price 2024].[All]" dimensionUniqueName="[Table4]" displayFolder="" count="0" memberValueDatatype="5" unbalanced="0"/>
    <cacheHierarchy uniqueName="[Table4_1].[Manufacturer]" caption="Manufacturer" attribute="1" defaultMemberUniqueName="[Table4_1].[Manufacturer].[All]" allUniqueName="[Table4_1].[Manufacturer].[All]" dimensionUniqueName="[Table4_1]" displayFolder="" count="2" memberValueDatatype="130" unbalanced="0">
      <fieldsUsage count="2">
        <fieldUsage x="-1"/>
        <fieldUsage x="0"/>
      </fieldsUsage>
    </cacheHierarchy>
    <cacheHierarchy uniqueName="[Table4_1].[Average Value]" caption="Average Value" attribute="1" defaultMemberUniqueName="[Table4_1].[Average Value].[All]" allUniqueName="[Table4_1].[Average Value].[All]" dimensionUniqueName="[Table4_1]" displayFolder="" count="0" memberValueDatatype="5" unbalanced="0"/>
    <cacheHierarchy uniqueName="[Table4_1].[Volume 2022]" caption="Volume 2022" attribute="1" defaultMemberUniqueName="[Table4_1].[Volume 2022].[All]" allUniqueName="[Table4_1].[Volume 2022].[All]" dimensionUniqueName="[Table4_1]" displayFolder="" count="0" memberValueDatatype="5" unbalanced="0"/>
    <cacheHierarchy uniqueName="[Table4_1].[Volume 2023]" caption="Volume 2023" attribute="1" defaultMemberUniqueName="[Table4_1].[Volume 2023].[All]" allUniqueName="[Table4_1].[Volume 2023].[All]" dimensionUniqueName="[Table4_1]" displayFolder="" count="0" memberValueDatatype="5" unbalanced="0"/>
    <cacheHierarchy uniqueName="[Table4_1].[Volume 2024]" caption="Volume 2024" attribute="1" defaultMemberUniqueName="[Table4_1].[Volume 2024].[All]" allUniqueName="[Table4_1].[Volume 2024].[All]" dimensionUniqueName="[Table4_1]" displayFolder="" count="0" memberValueDatatype="5" unbalanced="0"/>
    <cacheHierarchy uniqueName="[Table4_1].[Average Volume]" caption="Average Volume" attribute="1" defaultMemberUniqueName="[Table4_1].[Average Volume].[All]" allUniqueName="[Table4_1].[Average Volume].[All]" dimensionUniqueName="[Table4_1]" displayFolder="" count="0" memberValueDatatype="5" unbalanced="0"/>
    <cacheHierarchy uniqueName="[Table4_1].[Average Price]" caption="Average Price" attribute="1" defaultMemberUniqueName="[Table4_1].[Average Price].[All]" allUniqueName="[Table4_1].[Average Price].[All]" dimensionUniqueName="[Table4_1]" displayFolder="" count="0" memberValueDatatype="5" unbalanced="0"/>
    <cacheHierarchy uniqueName="[Table7].[in 000s]" caption="in 000s" attribute="1" defaultMemberUniqueName="[Table7].[in 000s].[All]" allUniqueName="[Table7].[in 000s].[All]" dimensionUniqueName="[Table7]" displayFolder="" count="0" memberValueDatatype="130" unbalanced="0"/>
    <cacheHierarchy uniqueName="[Table7].[2022]" caption="2022" attribute="1" defaultMemberUniqueName="[Table7].[2022].[All]" allUniqueName="[Table7].[2022].[All]" dimensionUniqueName="[Table7]" displayFolder="" count="0" memberValueDatatype="5" unbalanced="0"/>
    <cacheHierarchy uniqueName="[Table7].[2023]" caption="2023" attribute="1" defaultMemberUniqueName="[Table7].[2023].[All]" allUniqueName="[Table7].[2023].[All]" dimensionUniqueName="[Table7]" displayFolder="" count="0" memberValueDatatype="5" unbalanced="0"/>
    <cacheHierarchy uniqueName="[Table7].[YTD 2024]" caption="YTD 2024" attribute="1" defaultMemberUniqueName="[Table7].[YTD 2024].[All]" allUniqueName="[Table7].[YTD 2024].[All]" dimensionUniqueName="[Table7]" displayFolder="" count="0" memberValueDatatype="5" unbalanced="0"/>
    <cacheHierarchy uniqueName="[Table7].[Volume 2022]" caption="Volume 2022" attribute="1" defaultMemberUniqueName="[Table7].[Volume 2022].[All]" allUniqueName="[Table7].[Volume 2022].[All]" dimensionUniqueName="[Table7]" displayFolder="" count="0" memberValueDatatype="5" unbalanced="0"/>
    <cacheHierarchy uniqueName="[Table7].[Volume 2023]" caption="Volume 2023" attribute="1" defaultMemberUniqueName="[Table7].[Volume 2023].[All]" allUniqueName="[Table7].[Volume 2023].[All]" dimensionUniqueName="[Table7]" displayFolder="" count="0" memberValueDatatype="5" unbalanced="0"/>
    <cacheHierarchy uniqueName="[Table7].[Volume YTD 2024]" caption="Volume YTD 2024" attribute="1" defaultMemberUniqueName="[Table7].[Volume YTD 2024].[All]" allUniqueName="[Table7].[Volume YTD 2024].[All]" dimensionUniqueName="[Table7]" displayFolder="" count="0" memberValueDatatype="5" unbalanced="0"/>
    <cacheHierarchy uniqueName="[Table7].[Total Volume]" caption="Total Volume" attribute="1" defaultMemberUniqueName="[Table7].[Total Volume].[All]" allUniqueName="[Table7].[Total Volume].[All]" dimensionUniqueName="[Table7]" displayFolder="" count="0" memberValueDatatype="5" unbalanced="0"/>
    <cacheHierarchy uniqueName="[Table7].[Total Value]" caption="Total Value" attribute="1" defaultMemberUniqueName="[Table7].[Total Value].[All]" allUniqueName="[Table7].[Total Value].[All]" dimensionUniqueName="[Table7]" displayFolder="" count="0" memberValueDatatype="5" unbalanced="0"/>
    <cacheHierarchy uniqueName="[Table7].[YoY growth]" caption="YoY growth" attribute="1" defaultMemberUniqueName="[Table7].[YoY growth].[All]" allUniqueName="[Table7].[YoY growth].[All]" dimensionUniqueName="[Table7]" displayFolder="" count="0" memberValueDatatype="5" unbalanced="0"/>
    <cacheHierarchy uniqueName="[Table7].[Volume growth]" caption="Volume growth" attribute="1" defaultMemberUniqueName="[Table7].[Volume growth].[All]" allUniqueName="[Table7].[Volume growth].[All]" dimensionUniqueName="[Table7]" displayFolder="" count="0" memberValueDatatype="5" unbalanced="0"/>
    <cacheHierarchy uniqueName="[Table7].[price growth]" caption="price growth" attribute="1" defaultMemberUniqueName="[Table7].[price growth].[All]" allUniqueName="[Table7].[price growth].[All]" dimensionUniqueName="[Table7]" displayFolder="" count="0" memberValueDatatype="5" unbalanced="0"/>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4_1]" caption="__XL_Count Table4_1" measure="1" displayFolder="" measureGroup="Table4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2022]" caption="Sum of 2022" measure="1" displayFolder="" measureGroup="Table4" count="0" hidden="1"/>
    <cacheHierarchy uniqueName="[Measures].[Sum of 2023]" caption="Sum of 2023" measure="1" displayFolder="" measureGroup="Table4" count="0" hidden="1"/>
    <cacheHierarchy uniqueName="[Measures].[Sum of YTD 2024]" caption="Sum of YTD 2024" measure="1" displayFolder="" measureGroup="Table4" count="0" hidden="1"/>
    <cacheHierarchy uniqueName="[Measures].[Sum of Volume 2022]" caption="Sum of Volume 2022" measure="1" displayFolder="" measureGroup="Table4" count="0" hidden="1"/>
    <cacheHierarchy uniqueName="[Measures].[Sum of Volume 2023]" caption="Sum of Volume 2023" measure="1" displayFolder="" measureGroup="Table4" count="0" hidden="1"/>
    <cacheHierarchy uniqueName="[Measures].[Sum of Volume 2024]" caption="Sum of Volume 2024" measure="1" displayFolder="" measureGroup="Table4" count="0" hidden="1"/>
    <cacheHierarchy uniqueName="[Measures].[Sum of Total Value]" caption="Sum of Total Value" measure="1" displayFolder="" measureGroup="Table4" count="0" oneField="1" hidden="1">
      <fieldsUsage count="1">
        <fieldUsage x="5"/>
      </fieldsUsage>
    </cacheHierarchy>
    <cacheHierarchy uniqueName="[Measures].[Sum of YoY Growth 23]" caption="Sum of YoY Growth 23" measure="1" displayFolder="" measureGroup="Table4" count="0" hidden="1"/>
    <cacheHierarchy uniqueName="[Measures].[Sum of YTD Growth]" caption="Sum of YTD Growth" measure="1" displayFolder="" measureGroup="Table4" count="0" hidden="1"/>
    <cacheHierarchy uniqueName="[Measures].[Sum of Price 2022]" caption="Sum of Price 2022" measure="1" displayFolder="" measureGroup="Table4" count="0" hidden="1"/>
    <cacheHierarchy uniqueName="[Measures].[Sum of Price 2023]" caption="Sum of Price 2023" measure="1" displayFolder="" measureGroup="Table4" count="0" hidden="1"/>
    <cacheHierarchy uniqueName="[Measures].[Sum of Price 2024]" caption="Sum of Price 2024" measure="1" displayFolder="" measureGroup="Table4" count="0" hidden="1"/>
    <cacheHierarchy uniqueName="[Measures].[Sum of 2022 2]" caption="Sum of 2022 2" measure="1" displayFolder="" measureGroup="Table7" count="0" hidden="1"/>
    <cacheHierarchy uniqueName="[Measures].[Sum of 2023 2]" caption="Sum of 2023 2" measure="1" displayFolder="" measureGroup="Table7" count="0" hidden="1"/>
    <cacheHierarchy uniqueName="[Measures].[Sum of YTD 2024 2]" caption="Sum of YTD 2024 2" measure="1" displayFolder="" measureGroup="Table7" count="0" hidden="1"/>
    <cacheHierarchy uniqueName="[Measures].[Sum of Volume 2022 2]" caption="Sum of Volume 2022 2" measure="1" displayFolder="" measureGroup="Table7" count="0" hidden="1"/>
    <cacheHierarchy uniqueName="[Measures].[Sum of Volume 2023 2]" caption="Sum of Volume 2023 2" measure="1" displayFolder="" measureGroup="Table7" count="0" hidden="1"/>
    <cacheHierarchy uniqueName="[Measures].[Sum of Volume YTD 2024]" caption="Sum of Volume YTD 2024" measure="1" displayFolder="" measureGroup="Table7" count="0" hidden="1"/>
    <cacheHierarchy uniqueName="[Measures].[Sum of Total Value 2]" caption="Sum of Total Value 2" measure="1" displayFolder="" measureGroup="Table7" count="0" hidden="1"/>
    <cacheHierarchy uniqueName="[Measures].[Sum of Volume 2022 3]" caption="Sum of Volume 2022 3" measure="1" displayFolder="" measureGroup="Table2" count="0" hidden="1"/>
    <cacheHierarchy uniqueName="[Measures].[Sum of Volume 2023 3]" caption="Sum of Volume 2023 3" measure="1" displayFolder="" measureGroup="Table2" count="0" hidden="1"/>
    <cacheHierarchy uniqueName="[Measures].[Sum of 2023 3]" caption="Sum of 2023 3" measure="1" displayFolder="" measureGroup="Table2" count="0" hidden="1"/>
    <cacheHierarchy uniqueName="[Measures].[Average of 2023]" caption="Average of 2023" measure="1" displayFolder="" measureGroup="Table2" count="0" hidden="1"/>
    <cacheHierarchy uniqueName="[Measures].[Sum of Volume YTD 2024 2]" caption="Sum of Volume YTD 2024 2" measure="1" displayFolder="" measureGroup="Table2" count="0" hidden="1"/>
    <cacheHierarchy uniqueName="[Measures].[Sum of YTD 24]" caption="Sum of YTD 24" measure="1" displayFolder="" measureGroup="Table2" count="0" hidden="1"/>
    <cacheHierarchy uniqueName="[Measures].[Average of YTD 24]" caption="Average of YTD 24" measure="1" displayFolder="" measureGroup="Table2" count="0" hidden="1"/>
    <cacheHierarchy uniqueName="[Measures].[Sum of Price 2022 3]" caption="Sum of Price 2022 3" measure="1" displayFolder="" measureGroup="Table2" count="0" hidden="1"/>
    <cacheHierarchy uniqueName="[Measures].[Sum of Price 2023 3]" caption="Sum of Price 2023 3" measure="1" displayFolder="" measureGroup="Table2" count="0" hidden="1"/>
    <cacheHierarchy uniqueName="[Measures].[Sum of Price 2024 2]" caption="Sum of Price 2024 2" measure="1" displayFolder="" measureGroup="Table2" count="0" hidden="1"/>
    <cacheHierarchy uniqueName="[Measures].[Sum of Average Value]" caption="Sum of Average Value" measure="1" displayFolder="" measureGroup="Table4_1" count="0" hidden="1"/>
    <cacheHierarchy uniqueName="[Measures].[Sum of Volume 2022 4]" caption="Sum of Volume 2022 4" measure="1" displayFolder="" measureGroup="Table4_1" count="0" oneField="1" hidden="1">
      <fieldsUsage count="1">
        <fieldUsage x="1"/>
      </fieldsUsage>
    </cacheHierarchy>
    <cacheHierarchy uniqueName="[Measures].[Sum of Volume 2023 4]" caption="Sum of Volume 2023 4" measure="1" displayFolder="" measureGroup="Table4_1" count="0" oneField="1" hidden="1">
      <fieldsUsage count="1">
        <fieldUsage x="2"/>
      </fieldsUsage>
    </cacheHierarchy>
    <cacheHierarchy uniqueName="[Measures].[Sum of Volume 2024 2]" caption="Sum of Volume 2024 2" measure="1" displayFolder="" measureGroup="Table4_1" count="0" oneField="1" hidden="1">
      <fieldsUsage count="1">
        <fieldUsage x="3"/>
      </fieldsUsage>
    </cacheHierarchy>
    <cacheHierarchy uniqueName="[Measures].[Sum of Average Volume]" caption="Sum of Average Volume" measure="1" displayFolder="" measureGroup="Table4_1" count="0" oneField="1" hidden="1">
      <fieldsUsage count="1">
        <fieldUsage x="4"/>
      </fieldsUsage>
    </cacheHierarchy>
    <cacheHierarchy uniqueName="[Measures].[Sum of Average Price]" caption="Sum of Average Price" measure="1" displayFolder="" measureGroup="Table4_1" count="0" hidden="1"/>
    <cacheHierarchy uniqueName="[Measures].[Count of PACKAGE SIZE]" caption="Count of PACKAGE SIZE" measure="1" displayFolder="" measureGroup="Table2" count="0" hidden="1"/>
    <cacheHierarchy uniqueName="[Measures].[Count of Volume 2022]" caption="Count of Volume 2022" measure="1" displayFolder="" measureGroup="Table2" count="0" hidden="1"/>
    <cacheHierarchy uniqueName="[Measures].[Count of 2022]" caption="Count of 2022" measure="1" displayFolder="" measureGroup="Table2" count="0" hidden="1"/>
    <cacheHierarchy uniqueName="[Measures].[Count of Volume 2023]" caption="Count of Volume 2023" measure="1" displayFolder="" measureGroup="Table2" count="0" hidden="1"/>
    <cacheHierarchy uniqueName="[Measures].[Sum of Total Value 3]" caption="Sum of Total Value 3" measure="1" displayFolder="" measureGroup="Table1" count="0" hidden="1"/>
    <cacheHierarchy uniqueName="[Measures].[Sum of YOY Growth 23 3]" caption="Sum of YOY Growth 23 3" measure="1" displayFolder="" measureGroup="Table2" count="0" hidden="1"/>
    <cacheHierarchy uniqueName="[Measures].[Sum of Total Value 4]" caption="Sum of Total Value 4" measure="1" displayFolder="" measureGroup="Table2" count="0" hidden="1"/>
    <cacheHierarchy uniqueName="[Measures].[Sum of YTD Growth 24]" caption="Sum of YTD Growth 24" measure="1" displayFolder="" measureGroup="Table2" count="0" hidden="1"/>
    <cacheHierarchy uniqueName="[Measures].[Sum of 2022 3]" caption="Sum of 2022 3" measure="1" displayFolder="" measureGroup="Table1" count="0" hidden="1"/>
    <cacheHierarchy uniqueName="[Measures].[Sum of Volume 2022 5]" caption="Sum of Volume 2022 5" measure="1" displayFolder="" measureGroup="Table1" count="0" hidden="1"/>
  </cacheHierarchies>
  <kpis count="0"/>
  <dimensions count="6">
    <dimension measure="1" name="Measures" uniqueName="[Measures]" caption="Measures"/>
    <dimension name="Table1" uniqueName="[Table1]" caption="Table1"/>
    <dimension name="Table2" uniqueName="[Table2]" caption="Table2"/>
    <dimension name="Table4" uniqueName="[Table4]" caption="Table4"/>
    <dimension name="Table4_1" uniqueName="[Table4_1]" caption="Table4_1"/>
    <dimension name="Table7" uniqueName="[Table7]" caption="Table7"/>
  </dimensions>
  <measureGroups count="5">
    <measureGroup name="Table1" caption="Table1"/>
    <measureGroup name="Table2" caption="Table2"/>
    <measureGroup name="Table4" caption="Table4"/>
    <measureGroup name="Table4_1" caption="Table4_1"/>
    <measureGroup name="Table7" caption="Table7"/>
  </measureGroups>
  <maps count="6">
    <map measureGroup="0" dimension="1"/>
    <map measureGroup="1" dimension="2"/>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HP" refreshedDate="46007.897929050923" backgroundQuery="1" createdVersion="8" refreshedVersion="8" minRefreshableVersion="3" recordCount="0" supportSubquery="1" supportAdvancedDrill="1" xr:uid="{438A0C51-AF0B-4A1D-881B-443565FBD5C8}">
  <cacheSource type="external" connectionId="2"/>
  <cacheFields count="9">
    <cacheField name="[Table4].[Manufacturer].[Manufacturer]" caption="Manufacturer" numFmtId="0" hierarchy="31" level="1">
      <sharedItems count="5">
        <s v=" Fulya Beauty"/>
        <s v=" Intelligent Initiative"/>
        <s v=" Proctor &amp; Wager"/>
        <s v=" SepaTextiles"/>
        <s v=" VigaLife"/>
      </sharedItems>
    </cacheField>
    <cacheField name="[Measures].[Sum of 2022]" caption="Sum of 2022" numFmtId="0" hierarchy="69" level="32767"/>
    <cacheField name="[Measures].[Sum of 2023]" caption="Sum of 2023" numFmtId="0" hierarchy="70" level="32767"/>
    <cacheField name="[Measures].[Sum of YTD 2024]" caption="Sum of YTD 2024" numFmtId="0" hierarchy="71" level="32767"/>
    <cacheField name="[Measures].[Sum of Total Value]" caption="Sum of Total Value" numFmtId="0" hierarchy="75" level="32767"/>
    <cacheField name="[Table2].[PACKAGE SIZE].[PACKAGE SIZE]" caption="PACKAGE SIZE" numFmtId="0" hierarchy="18" level="1">
      <sharedItems containsSemiMixedTypes="0" containsNonDate="0" containsString="0"/>
    </cacheField>
    <cacheField name="[Table1].[BRAND].[BRAND]" caption="BRAND" numFmtId="0" hierarchy="1" level="1">
      <sharedItems containsSemiMixedTypes="0" containsNonDate="0" containsString="0"/>
    </cacheField>
    <cacheField name="[Table1].[MANUFACTURER2].[MANUFACTURER2]" caption="MANUFACTURER2" numFmtId="0" level="1">
      <sharedItems containsSemiMixedTypes="0" containsNonDate="0" containsString="0"/>
    </cacheField>
    <cacheField name="[Table1].[Package Type].[Package Type]" caption="Package Type" numFmtId="0" hierarchy="4" level="1">
      <sharedItems containsSemiMixedTypes="0" containsNonDate="0" containsString="0"/>
    </cacheField>
  </cacheFields>
  <cacheHierarchies count="114">
    <cacheHierarchy uniqueName="[Table1].[MANUFACTURER2]" caption="MANUFACTURER2" attribute="1" defaultMemberUniqueName="[Table1].[MANUFACTURER2].[All]" allUniqueName="[Table1].[MANUFACTURER2].[All]" dimensionUniqueName="[Table1]" displayFolder="" count="2" memberValueDatatype="130" unbalanced="0">
      <fieldsUsage count="2">
        <fieldUsage x="-1"/>
        <fieldUsage x="7"/>
      </fieldsUsage>
    </cacheHierarchy>
    <cacheHierarchy uniqueName="[Table1].[BRAND]" caption="BRAND" attribute="1" defaultMemberUniqueName="[Table1].[BRAND].[All]" allUniqueName="[Table1].[BRAND].[All]" dimensionUniqueName="[Table1]" displayFolder="" count="2" memberValueDatatype="130" unbalanced="0">
      <fieldsUsage count="2">
        <fieldUsage x="-1"/>
        <fieldUsage x="6"/>
      </fieldsUsage>
    </cacheHierarchy>
    <cacheHierarchy uniqueName="[Table1].[Company]" caption="Company" attribute="1" defaultMemberUniqueName="[Table1].[Company].[All]" allUniqueName="[Table1].[Compan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ackage Type]" caption="Package Type" attribute="1" defaultMemberUniqueName="[Table1].[Package Type].[All]" allUniqueName="[Table1].[Package Type].[All]" dimensionUniqueName="[Table1]" displayFolder="" count="2" memberValueDatatype="130" unbalanced="0">
      <fieldsUsage count="2">
        <fieldUsage x="-1"/>
        <fieldUsage x="8"/>
      </fieldsUsage>
    </cacheHierarchy>
    <cacheHierarchy uniqueName="[Table1].[Protection/Care]" caption="Protection/Care" attribute="1" defaultMemberUniqueName="[Table1].[Protection/Care].[All]" allUniqueName="[Table1].[Protection/Care].[All]" dimensionUniqueName="[Table1]" displayFolder="" count="0" memberValueDatatype="130" unbalanced="0"/>
    <cacheHierarchy uniqueName="[Table1].[Package Size]" caption="Package Size" attribute="1" defaultMemberUniqueName="[Table1].[Package Size].[All]" allUniqueName="[Table1].[Package Size].[All]" dimensionUniqueName="[Table1]" displayFolder="" count="0" memberValueDatatype="130" unbalanced="0"/>
    <cacheHierarchy uniqueName="[Table1].[2022]" caption="2022" attribute="1" defaultMemberUniqueName="[Table1].[2022].[All]" allUniqueName="[Table1].[2022].[All]" dimensionUniqueName="[Table1]" displayFolder="" count="0" memberValueDatatype="5" unbalanced="0"/>
    <cacheHierarchy uniqueName="[Table1].[2023]" caption="2023" attribute="1" defaultMemberUniqueName="[Table1].[2023].[All]" allUniqueName="[Table1].[2023].[All]" dimensionUniqueName="[Table1]" displayFolder="" count="0" memberValueDatatype="5" unbalanced="0"/>
    <cacheHierarchy uniqueName="[Table1].[YTD 2024]" caption="YTD 2024" attribute="1" defaultMemberUniqueName="[Table1].[YTD 2024].[All]" allUniqueName="[Table1].[YTD 2024].[All]" dimensionUniqueName="[Table1]" displayFolder="" count="0" memberValueDatatype="5" unbalanced="0"/>
    <cacheHierarchy uniqueName="[Table1].[Volume 2022]" caption="Volume 2022" attribute="1" defaultMemberUniqueName="[Table1].[Volume 2022].[All]" allUniqueName="[Table1].[Volume 2022].[All]" dimensionUniqueName="[Table1]" displayFolder="" count="0" memberValueDatatype="5" unbalanced="0"/>
    <cacheHierarchy uniqueName="[Table1].[Volume 2023]" caption="Volume 2023" attribute="1" defaultMemberUniqueName="[Table1].[Volume 2023].[All]" allUniqueName="[Table1].[Volume 2023].[All]" dimensionUniqueName="[Table1]" displayFolder="" count="0" memberValueDatatype="5" unbalanced="0"/>
    <cacheHierarchy uniqueName="[Table1].[Volume YTD 2024]" caption="Volume YTD 2024" attribute="1" defaultMemberUniqueName="[Table1].[Volume YTD 2024].[All]" allUniqueName="[Table1].[Volume YTD 2024].[All]" dimensionUniqueName="[Table1]" displayFolder="" count="0" memberValueDatatype="5" unbalanced="0"/>
    <cacheHierarchy uniqueName="[Table1].[Total Value]" caption="Total Value" attribute="1" defaultMemberUniqueName="[Table1].[Total Value].[All]" allUniqueName="[Table1].[Total Value].[All]" dimensionUniqueName="[Table1]" displayFolder="" count="0" memberValueDatatype="5" unbalanced="0"/>
    <cacheHierarchy uniqueName="[Table2].[PRODUCT]" caption="PRODUCT" attribute="1" defaultMemberUniqueName="[Table2].[PRODUCT].[All]" allUniqueName="[Table2].[PRODUCT].[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PACKAGE TYPE]" caption="PACKAGE TYPE" attribute="1" defaultMemberUniqueName="[Table2].[PACKAGE TYPE].[All]" allUniqueName="[Table2].[PACKAGE TYPE].[All]" dimensionUniqueName="[Table2]" displayFolder="" count="0" memberValueDatatype="130" unbalanced="0"/>
    <cacheHierarchy uniqueName="[Table2].[PROTECTION / CARE]" caption="PROTECTION / CARE" attribute="1" defaultMemberUniqueName="[Table2].[PROTECTION / CARE].[All]" allUniqueName="[Table2].[PROTECTION / CARE].[All]" dimensionUniqueName="[Table2]" displayFolder="" count="0" memberValueDatatype="130" unbalanced="0"/>
    <cacheHierarchy uniqueName="[Table2].[PACKAGE SIZE]" caption="PACKAGE SIZE" attribute="1" defaultMemberUniqueName="[Table2].[PACKAGE SIZE].[All]" allUniqueName="[Table2].[PACKAGE SIZE].[All]" dimensionUniqueName="[Table2]" displayFolder="" count="2" memberValueDatatype="130" unbalanced="0">
      <fieldsUsage count="2">
        <fieldUsage x="-1"/>
        <fieldUsage x="5"/>
      </fieldsUsage>
    </cacheHierarchy>
    <cacheHierarchy uniqueName="[Table2].[2022]" caption="2022" attribute="1" defaultMemberUniqueName="[Table2].[2022].[All]" allUniqueName="[Table2].[2022].[All]" dimensionUniqueName="[Table2]" displayFolder="" count="0" memberValueDatatype="130" unbalanced="0"/>
    <cacheHierarchy uniqueName="[Table2].[2023]" caption="2023" attribute="1" defaultMemberUniqueName="[Table2].[2023].[All]" allUniqueName="[Table2].[2023].[All]" dimensionUniqueName="[Table2]" displayFolder="" count="0" memberValueDatatype="5" unbalanced="0"/>
    <cacheHierarchy uniqueName="[Table2].[YTD 24]" caption="YTD 24" attribute="1" defaultMemberUniqueName="[Table2].[YTD 24].[All]" allUniqueName="[Table2].[YTD 24].[All]" dimensionUniqueName="[Table2]" displayFolder="" count="0" memberValueDatatype="5" unbalanced="0"/>
    <cacheHierarchy uniqueName="[Table2].[Volume 2022]" caption="Volume 2022" attribute="1" defaultMemberUniqueName="[Table2].[Volume 2022].[All]" allUniqueName="[Table2].[Volume 2022].[All]" dimensionUniqueName="[Table2]" displayFolder="" count="0" memberValueDatatype="5" unbalanced="0"/>
    <cacheHierarchy uniqueName="[Table2].[Volume 2023]" caption="Volume 2023" attribute="1" defaultMemberUniqueName="[Table2].[Volume 2023].[All]" allUniqueName="[Table2].[Volume 2023].[All]" dimensionUniqueName="[Table2]" displayFolder="" count="0" memberValueDatatype="5" unbalanced="0"/>
    <cacheHierarchy uniqueName="[Table2].[Volume YTD 2024]" caption="Volume YTD 2024" attribute="1" defaultMemberUniqueName="[Table2].[Volume YTD 2024].[All]" allUniqueName="[Table2].[Volume YTD 2024].[All]" dimensionUniqueName="[Table2]" displayFolder="" count="0" memberValueDatatype="5" unbalanced="0"/>
    <cacheHierarchy uniqueName="[Table2].[Total Value]" caption="Total Value" attribute="1" defaultMemberUniqueName="[Table2].[Total Value].[All]" allUniqueName="[Table2].[Total Value].[All]" dimensionUniqueName="[Table2]" displayFolder="" count="0" memberValueDatatype="5" unbalanced="0"/>
    <cacheHierarchy uniqueName="[Table2].[YOY Growth 23]" caption="YOY Growth 23" attribute="1" defaultMemberUniqueName="[Table2].[YOY Growth 23].[All]" allUniqueName="[Table2].[YOY Growth 23].[All]" dimensionUniqueName="[Table2]" displayFolder="" count="0" memberValueDatatype="5" unbalanced="0"/>
    <cacheHierarchy uniqueName="[Table2].[YTD Growth 24]" caption="YTD Growth 24" attribute="1" defaultMemberUniqueName="[Table2].[YTD Growth 24].[All]" allUniqueName="[Table2].[YTD Growth 24].[All]" dimensionUniqueName="[Table2]" displayFolder="" count="0" memberValueDatatype="5" unbalanced="0"/>
    <cacheHierarchy uniqueName="[Table2].[Price 2022]" caption="Price 2022" attribute="1" defaultMemberUniqueName="[Table2].[Price 2022].[All]" allUniqueName="[Table2].[Price 2022].[All]" dimensionUniqueName="[Table2]" displayFolder="" count="0" memberValueDatatype="5" unbalanced="0"/>
    <cacheHierarchy uniqueName="[Table2].[Price 2023]" caption="Price 2023" attribute="1" defaultMemberUniqueName="[Table2].[Price 2023].[All]" allUniqueName="[Table2].[Price 2023].[All]" dimensionUniqueName="[Table2]" displayFolder="" count="0" memberValueDatatype="5" unbalanced="0"/>
    <cacheHierarchy uniqueName="[Table2].[Price 2024]" caption="Price 2024" attribute="1" defaultMemberUniqueName="[Table2].[Price 2024].[All]" allUniqueName="[Table2].[Price 2024].[All]" dimensionUniqueName="[Table2]" displayFolder="" count="0" memberValueDatatype="5" unbalanced="0"/>
    <cacheHierarchy uniqueName="[Table4].[Manufacturer]" caption="Manufacturer" attribute="1" defaultMemberUniqueName="[Table4].[Manufacturer].[All]" allUniqueName="[Table4].[Manufacturer].[All]" dimensionUniqueName="[Table4]" displayFolder="" count="2" memberValueDatatype="130" unbalanced="0">
      <fieldsUsage count="2">
        <fieldUsage x="-1"/>
        <fieldUsage x="0"/>
      </fieldsUsage>
    </cacheHierarchy>
    <cacheHierarchy uniqueName="[Table4].[2022]" caption="2022" attribute="1" defaultMemberUniqueName="[Table4].[2022].[All]" allUniqueName="[Table4].[2022].[All]" dimensionUniqueName="[Table4]" displayFolder="" count="0" memberValueDatatype="5" unbalanced="0"/>
    <cacheHierarchy uniqueName="[Table4].[2023]" caption="2023" attribute="1" defaultMemberUniqueName="[Table4].[2023].[All]" allUniqueName="[Table4].[2023].[All]" dimensionUniqueName="[Table4]" displayFolder="" count="0" memberValueDatatype="5" unbalanced="0"/>
    <cacheHierarchy uniqueName="[Table4].[YTD 2024]" caption="YTD 2024" attribute="1" defaultMemberUniqueName="[Table4].[YTD 2024].[All]" allUniqueName="[Table4].[YTD 2024].[All]" dimensionUniqueName="[Table4]" displayFolder="" count="0" memberValueDatatype="5" unbalanced="0"/>
    <cacheHierarchy uniqueName="[Table4].[Volume 2022]" caption="Volume 2022" attribute="1" defaultMemberUniqueName="[Table4].[Volume 2022].[All]" allUniqueName="[Table4].[Volume 2022].[All]" dimensionUniqueName="[Table4]" displayFolder="" count="0" memberValueDatatype="5" unbalanced="0"/>
    <cacheHierarchy uniqueName="[Table4].[Volume 2023]" caption="Volume 2023" attribute="1" defaultMemberUniqueName="[Table4].[Volume 2023].[All]" allUniqueName="[Table4].[Volume 2023].[All]" dimensionUniqueName="[Table4]" displayFolder="" count="0" memberValueDatatype="5" unbalanced="0"/>
    <cacheHierarchy uniqueName="[Table4].[Volume 2024]" caption="Volume 2024" attribute="1" defaultMemberUniqueName="[Table4].[Volume 2024].[All]" allUniqueName="[Table4].[Volume 2024].[All]" dimensionUniqueName="[Table4]" displayFolder="" count="0" memberValueDatatype="5" unbalanced="0"/>
    <cacheHierarchy uniqueName="[Table4].[Total Value]" caption="Total Value" attribute="1" defaultMemberUniqueName="[Table4].[Total Value].[All]" allUniqueName="[Table4].[Total Value].[All]" dimensionUniqueName="[Table4]" displayFolder="" count="0" memberValueDatatype="5" unbalanced="0"/>
    <cacheHierarchy uniqueName="[Table4].[YoY Growth 23]" caption="YoY Growth 23" attribute="1" defaultMemberUniqueName="[Table4].[YoY Growth 23].[All]" allUniqueName="[Table4].[YoY Growth 23].[All]" dimensionUniqueName="[Table4]" displayFolder="" count="0" memberValueDatatype="5" unbalanced="0"/>
    <cacheHierarchy uniqueName="[Table4].[YTD Growth]" caption="YTD Growth" attribute="1" defaultMemberUniqueName="[Table4].[YTD Growth].[All]" allUniqueName="[Table4].[YTD Growth].[All]" dimensionUniqueName="[Table4]" displayFolder="" count="0" memberValueDatatype="5" unbalanced="0"/>
    <cacheHierarchy uniqueName="[Table4].[Price 2022]" caption="Price 2022" attribute="1" defaultMemberUniqueName="[Table4].[Price 2022].[All]" allUniqueName="[Table4].[Price 2022].[All]" dimensionUniqueName="[Table4]" displayFolder="" count="0" memberValueDatatype="5" unbalanced="0"/>
    <cacheHierarchy uniqueName="[Table4].[Price 2023]" caption="Price 2023" attribute="1" defaultMemberUniqueName="[Table4].[Price 2023].[All]" allUniqueName="[Table4].[Price 2023].[All]" dimensionUniqueName="[Table4]" displayFolder="" count="0" memberValueDatatype="5" unbalanced="0"/>
    <cacheHierarchy uniqueName="[Table4].[Price 2024]" caption="Price 2024" attribute="1" defaultMemberUniqueName="[Table4].[Price 2024].[All]" allUniqueName="[Table4].[Price 2024].[All]" dimensionUniqueName="[Table4]" displayFolder="" count="0" memberValueDatatype="5" unbalanced="0"/>
    <cacheHierarchy uniqueName="[Table4_1].[Manufacturer]" caption="Manufacturer" attribute="1" defaultMemberUniqueName="[Table4_1].[Manufacturer].[All]" allUniqueName="[Table4_1].[Manufacturer].[All]" dimensionUniqueName="[Table4_1]" displayFolder="" count="0" memberValueDatatype="130" unbalanced="0"/>
    <cacheHierarchy uniqueName="[Table4_1].[Average Value]" caption="Average Value" attribute="1" defaultMemberUniqueName="[Table4_1].[Average Value].[All]" allUniqueName="[Table4_1].[Average Value].[All]" dimensionUniqueName="[Table4_1]" displayFolder="" count="0" memberValueDatatype="5" unbalanced="0"/>
    <cacheHierarchy uniqueName="[Table4_1].[Volume 2022]" caption="Volume 2022" attribute="1" defaultMemberUniqueName="[Table4_1].[Volume 2022].[All]" allUniqueName="[Table4_1].[Volume 2022].[All]" dimensionUniqueName="[Table4_1]" displayFolder="" count="0" memberValueDatatype="5" unbalanced="0"/>
    <cacheHierarchy uniqueName="[Table4_1].[Volume 2023]" caption="Volume 2023" attribute="1" defaultMemberUniqueName="[Table4_1].[Volume 2023].[All]" allUniqueName="[Table4_1].[Volume 2023].[All]" dimensionUniqueName="[Table4_1]" displayFolder="" count="0" memberValueDatatype="5" unbalanced="0"/>
    <cacheHierarchy uniqueName="[Table4_1].[Volume 2024]" caption="Volume 2024" attribute="1" defaultMemberUniqueName="[Table4_1].[Volume 2024].[All]" allUniqueName="[Table4_1].[Volume 2024].[All]" dimensionUniqueName="[Table4_1]" displayFolder="" count="0" memberValueDatatype="5" unbalanced="0"/>
    <cacheHierarchy uniqueName="[Table4_1].[Average Volume]" caption="Average Volume" attribute="1" defaultMemberUniqueName="[Table4_1].[Average Volume].[All]" allUniqueName="[Table4_1].[Average Volume].[All]" dimensionUniqueName="[Table4_1]" displayFolder="" count="0" memberValueDatatype="5" unbalanced="0"/>
    <cacheHierarchy uniqueName="[Table4_1].[Average Price]" caption="Average Price" attribute="1" defaultMemberUniqueName="[Table4_1].[Average Price].[All]" allUniqueName="[Table4_1].[Average Price].[All]" dimensionUniqueName="[Table4_1]" displayFolder="" count="0" memberValueDatatype="5" unbalanced="0"/>
    <cacheHierarchy uniqueName="[Table7].[in 000s]" caption="in 000s" attribute="1" defaultMemberUniqueName="[Table7].[in 000s].[All]" allUniqueName="[Table7].[in 000s].[All]" dimensionUniqueName="[Table7]" displayFolder="" count="0" memberValueDatatype="130" unbalanced="0"/>
    <cacheHierarchy uniqueName="[Table7].[2022]" caption="2022" attribute="1" defaultMemberUniqueName="[Table7].[2022].[All]" allUniqueName="[Table7].[2022].[All]" dimensionUniqueName="[Table7]" displayFolder="" count="0" memberValueDatatype="5" unbalanced="0"/>
    <cacheHierarchy uniqueName="[Table7].[2023]" caption="2023" attribute="1" defaultMemberUniqueName="[Table7].[2023].[All]" allUniqueName="[Table7].[2023].[All]" dimensionUniqueName="[Table7]" displayFolder="" count="0" memberValueDatatype="5" unbalanced="0"/>
    <cacheHierarchy uniqueName="[Table7].[YTD 2024]" caption="YTD 2024" attribute="1" defaultMemberUniqueName="[Table7].[YTD 2024].[All]" allUniqueName="[Table7].[YTD 2024].[All]" dimensionUniqueName="[Table7]" displayFolder="" count="0" memberValueDatatype="5" unbalanced="0"/>
    <cacheHierarchy uniqueName="[Table7].[Volume 2022]" caption="Volume 2022" attribute="1" defaultMemberUniqueName="[Table7].[Volume 2022].[All]" allUniqueName="[Table7].[Volume 2022].[All]" dimensionUniqueName="[Table7]" displayFolder="" count="0" memberValueDatatype="5" unbalanced="0"/>
    <cacheHierarchy uniqueName="[Table7].[Volume 2023]" caption="Volume 2023" attribute="1" defaultMemberUniqueName="[Table7].[Volume 2023].[All]" allUniqueName="[Table7].[Volume 2023].[All]" dimensionUniqueName="[Table7]" displayFolder="" count="0" memberValueDatatype="5" unbalanced="0"/>
    <cacheHierarchy uniqueName="[Table7].[Volume YTD 2024]" caption="Volume YTD 2024" attribute="1" defaultMemberUniqueName="[Table7].[Volume YTD 2024].[All]" allUniqueName="[Table7].[Volume YTD 2024].[All]" dimensionUniqueName="[Table7]" displayFolder="" count="0" memberValueDatatype="5" unbalanced="0"/>
    <cacheHierarchy uniqueName="[Table7].[Total Volume]" caption="Total Volume" attribute="1" defaultMemberUniqueName="[Table7].[Total Volume].[All]" allUniqueName="[Table7].[Total Volume].[All]" dimensionUniqueName="[Table7]" displayFolder="" count="0" memberValueDatatype="5" unbalanced="0"/>
    <cacheHierarchy uniqueName="[Table7].[Total Value]" caption="Total Value" attribute="1" defaultMemberUniqueName="[Table7].[Total Value].[All]" allUniqueName="[Table7].[Total Value].[All]" dimensionUniqueName="[Table7]" displayFolder="" count="0" memberValueDatatype="5" unbalanced="0"/>
    <cacheHierarchy uniqueName="[Table7].[YoY growth]" caption="YoY growth" attribute="1" defaultMemberUniqueName="[Table7].[YoY growth].[All]" allUniqueName="[Table7].[YoY growth].[All]" dimensionUniqueName="[Table7]" displayFolder="" count="0" memberValueDatatype="5" unbalanced="0"/>
    <cacheHierarchy uniqueName="[Table7].[Volume growth]" caption="Volume growth" attribute="1" defaultMemberUniqueName="[Table7].[Volume growth].[All]" allUniqueName="[Table7].[Volume growth].[All]" dimensionUniqueName="[Table7]" displayFolder="" count="0" memberValueDatatype="5" unbalanced="0"/>
    <cacheHierarchy uniqueName="[Table7].[price growth]" caption="price growth" attribute="1" defaultMemberUniqueName="[Table7].[price growth].[All]" allUniqueName="[Table7].[price growth].[All]" dimensionUniqueName="[Table7]" displayFolder="" count="0" memberValueDatatype="5" unbalanced="0"/>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4_1]" caption="__XL_Count Table4_1" measure="1" displayFolder="" measureGroup="Table4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2022]" caption="Sum of 2022" measure="1" displayFolder="" measureGroup="Table4" count="0" oneField="1" hidden="1">
      <fieldsUsage count="1">
        <fieldUsage x="1"/>
      </fieldsUsage>
    </cacheHierarchy>
    <cacheHierarchy uniqueName="[Measures].[Sum of 2023]" caption="Sum of 2023" measure="1" displayFolder="" measureGroup="Table4" count="0" oneField="1" hidden="1">
      <fieldsUsage count="1">
        <fieldUsage x="2"/>
      </fieldsUsage>
    </cacheHierarchy>
    <cacheHierarchy uniqueName="[Measures].[Sum of YTD 2024]" caption="Sum of YTD 2024" measure="1" displayFolder="" measureGroup="Table4" count="0" oneField="1" hidden="1">
      <fieldsUsage count="1">
        <fieldUsage x="3"/>
      </fieldsUsage>
    </cacheHierarchy>
    <cacheHierarchy uniqueName="[Measures].[Sum of Volume 2022]" caption="Sum of Volume 2022" measure="1" displayFolder="" measureGroup="Table4" count="0" hidden="1"/>
    <cacheHierarchy uniqueName="[Measures].[Sum of Volume 2023]" caption="Sum of Volume 2023" measure="1" displayFolder="" measureGroup="Table4" count="0" hidden="1"/>
    <cacheHierarchy uniqueName="[Measures].[Sum of Volume 2024]" caption="Sum of Volume 2024" measure="1" displayFolder="" measureGroup="Table4" count="0" hidden="1"/>
    <cacheHierarchy uniqueName="[Measures].[Sum of Total Value]" caption="Sum of Total Value" measure="1" displayFolder="" measureGroup="Table4" count="0" oneField="1" hidden="1">
      <fieldsUsage count="1">
        <fieldUsage x="4"/>
      </fieldsUsage>
    </cacheHierarchy>
    <cacheHierarchy uniqueName="[Measures].[Sum of YoY Growth 23]" caption="Sum of YoY Growth 23" measure="1" displayFolder="" measureGroup="Table4" count="0" hidden="1"/>
    <cacheHierarchy uniqueName="[Measures].[Sum of YTD Growth]" caption="Sum of YTD Growth" measure="1" displayFolder="" measureGroup="Table4" count="0" hidden="1"/>
    <cacheHierarchy uniqueName="[Measures].[Sum of Price 2022]" caption="Sum of Price 2022" measure="1" displayFolder="" measureGroup="Table4" count="0" hidden="1"/>
    <cacheHierarchy uniqueName="[Measures].[Sum of Price 2023]" caption="Sum of Price 2023" measure="1" displayFolder="" measureGroup="Table4" count="0" hidden="1"/>
    <cacheHierarchy uniqueName="[Measures].[Sum of Price 2024]" caption="Sum of Price 2024" measure="1" displayFolder="" measureGroup="Table4" count="0" hidden="1"/>
    <cacheHierarchy uniqueName="[Measures].[Sum of 2022 2]" caption="Sum of 2022 2" measure="1" displayFolder="" measureGroup="Table7" count="0" hidden="1"/>
    <cacheHierarchy uniqueName="[Measures].[Sum of 2023 2]" caption="Sum of 2023 2" measure="1" displayFolder="" measureGroup="Table7" count="0" hidden="1"/>
    <cacheHierarchy uniqueName="[Measures].[Sum of YTD 2024 2]" caption="Sum of YTD 2024 2" measure="1" displayFolder="" measureGroup="Table7" count="0" hidden="1"/>
    <cacheHierarchy uniqueName="[Measures].[Sum of Volume 2022 2]" caption="Sum of Volume 2022 2" measure="1" displayFolder="" measureGroup="Table7" count="0" hidden="1"/>
    <cacheHierarchy uniqueName="[Measures].[Sum of Volume 2023 2]" caption="Sum of Volume 2023 2" measure="1" displayFolder="" measureGroup="Table7" count="0" hidden="1"/>
    <cacheHierarchy uniqueName="[Measures].[Sum of Volume YTD 2024]" caption="Sum of Volume YTD 2024" measure="1" displayFolder="" measureGroup="Table7" count="0" hidden="1"/>
    <cacheHierarchy uniqueName="[Measures].[Sum of Total Value 2]" caption="Sum of Total Value 2" measure="1" displayFolder="" measureGroup="Table7" count="0" hidden="1"/>
    <cacheHierarchy uniqueName="[Measures].[Sum of Volume 2022 3]" caption="Sum of Volume 2022 3" measure="1" displayFolder="" measureGroup="Table2" count="0" hidden="1"/>
    <cacheHierarchy uniqueName="[Measures].[Sum of Volume 2023 3]" caption="Sum of Volume 2023 3" measure="1" displayFolder="" measureGroup="Table2" count="0" hidden="1"/>
    <cacheHierarchy uniqueName="[Measures].[Sum of 2023 3]" caption="Sum of 2023 3" measure="1" displayFolder="" measureGroup="Table2" count="0" hidden="1"/>
    <cacheHierarchy uniqueName="[Measures].[Average of 2023]" caption="Average of 2023" measure="1" displayFolder="" measureGroup="Table2" count="0" hidden="1"/>
    <cacheHierarchy uniqueName="[Measures].[Sum of Volume YTD 2024 2]" caption="Sum of Volume YTD 2024 2" measure="1" displayFolder="" measureGroup="Table2" count="0" hidden="1"/>
    <cacheHierarchy uniqueName="[Measures].[Sum of YTD 24]" caption="Sum of YTD 24" measure="1" displayFolder="" measureGroup="Table2" count="0" hidden="1"/>
    <cacheHierarchy uniqueName="[Measures].[Average of YTD 24]" caption="Average of YTD 24" measure="1" displayFolder="" measureGroup="Table2" count="0" hidden="1"/>
    <cacheHierarchy uniqueName="[Measures].[Sum of Price 2022 3]" caption="Sum of Price 2022 3" measure="1" displayFolder="" measureGroup="Table2" count="0" hidden="1"/>
    <cacheHierarchy uniqueName="[Measures].[Sum of Price 2023 3]" caption="Sum of Price 2023 3" measure="1" displayFolder="" measureGroup="Table2" count="0" hidden="1"/>
    <cacheHierarchy uniqueName="[Measures].[Sum of Price 2024 2]" caption="Sum of Price 2024 2" measure="1" displayFolder="" measureGroup="Table2" count="0" hidden="1"/>
    <cacheHierarchy uniqueName="[Measures].[Sum of Average Value]" caption="Sum of Average Value" measure="1" displayFolder="" measureGroup="Table4_1" count="0" hidden="1"/>
    <cacheHierarchy uniqueName="[Measures].[Sum of Volume 2022 4]" caption="Sum of Volume 2022 4" measure="1" displayFolder="" measureGroup="Table4_1" count="0" hidden="1"/>
    <cacheHierarchy uniqueName="[Measures].[Sum of Volume 2023 4]" caption="Sum of Volume 2023 4" measure="1" displayFolder="" measureGroup="Table4_1" count="0" hidden="1"/>
    <cacheHierarchy uniqueName="[Measures].[Sum of Volume 2024 2]" caption="Sum of Volume 2024 2" measure="1" displayFolder="" measureGroup="Table4_1" count="0" hidden="1"/>
    <cacheHierarchy uniqueName="[Measures].[Sum of Average Volume]" caption="Sum of Average Volume" measure="1" displayFolder="" measureGroup="Table4_1" count="0" hidden="1"/>
    <cacheHierarchy uniqueName="[Measures].[Sum of Average Price]" caption="Sum of Average Price" measure="1" displayFolder="" measureGroup="Table4_1" count="0" hidden="1"/>
    <cacheHierarchy uniqueName="[Measures].[Count of PACKAGE SIZE]" caption="Count of PACKAGE SIZE" measure="1" displayFolder="" measureGroup="Table2" count="0" hidden="1"/>
    <cacheHierarchy uniqueName="[Measures].[Count of Volume 2022]" caption="Count of Volume 2022" measure="1" displayFolder="" measureGroup="Table2" count="0" hidden="1"/>
    <cacheHierarchy uniqueName="[Measures].[Count of 2022]" caption="Count of 2022" measure="1" displayFolder="" measureGroup="Table2" count="0" hidden="1"/>
    <cacheHierarchy uniqueName="[Measures].[Count of Volume 2023]" caption="Count of Volume 2023" measure="1" displayFolder="" measureGroup="Table2" count="0" hidden="1"/>
    <cacheHierarchy uniqueName="[Measures].[Sum of Total Value 3]" caption="Sum of Total Value 3" measure="1" displayFolder="" measureGroup="Table1" count="0" hidden="1"/>
    <cacheHierarchy uniqueName="[Measures].[Sum of YOY Growth 23 3]" caption="Sum of YOY Growth 23 3" measure="1" displayFolder="" measureGroup="Table2" count="0" hidden="1"/>
    <cacheHierarchy uniqueName="[Measures].[Sum of Total Value 4]" caption="Sum of Total Value 4" measure="1" displayFolder="" measureGroup="Table2" count="0" hidden="1"/>
    <cacheHierarchy uniqueName="[Measures].[Sum of YTD Growth 24]" caption="Sum of YTD Growth 24" measure="1" displayFolder="" measureGroup="Table2" count="0" hidden="1"/>
    <cacheHierarchy uniqueName="[Measures].[Sum of 2022 3]" caption="Sum of 2022 3" measure="1" displayFolder="" measureGroup="Table1" count="0" hidden="1"/>
    <cacheHierarchy uniqueName="[Measures].[Sum of Volume 2022 5]" caption="Sum of Volume 2022 5" measure="1" displayFolder="" measureGroup="Table1" count="0" hidden="1"/>
  </cacheHierarchies>
  <kpis count="0"/>
  <dimensions count="6">
    <dimension measure="1" name="Measures" uniqueName="[Measures]" caption="Measures"/>
    <dimension name="Table1" uniqueName="[Table1]" caption="Table1"/>
    <dimension name="Table2" uniqueName="[Table2]" caption="Table2"/>
    <dimension name="Table4" uniqueName="[Table4]" caption="Table4"/>
    <dimension name="Table4_1" uniqueName="[Table4_1]" caption="Table4_1"/>
    <dimension name="Table7" uniqueName="[Table7]" caption="Table7"/>
  </dimensions>
  <measureGroups count="5">
    <measureGroup name="Table1" caption="Table1"/>
    <measureGroup name="Table2" caption="Table2"/>
    <measureGroup name="Table4" caption="Table4"/>
    <measureGroup name="Table4_1" caption="Table4_1"/>
    <measureGroup name="Table7" caption="Table7"/>
  </measureGroups>
  <maps count="6">
    <map measureGroup="0" dimension="1"/>
    <map measureGroup="1" dimension="2"/>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HP" refreshedDate="46007.897941087962" backgroundQuery="1" createdVersion="8" refreshedVersion="8" minRefreshableVersion="3" recordCount="0" supportSubquery="1" supportAdvancedDrill="1" xr:uid="{0BA52492-4D8B-4C75-AA8A-7F96FD522AC5}">
  <cacheSource type="external" connectionId="2"/>
  <cacheFields count="11">
    <cacheField name="[Table7].[in 000s].[in 000s]" caption="in 000s" numFmtId="0" hierarchy="51" level="1">
      <sharedItems count="159">
        <s v="BABY CREMA (VigaLife)"/>
        <s v="EVENT (AxisOn Group)"/>
        <s v="LARA (LARA KOZMETIK)"/>
        <s v="LINDY (Intelligent Initiative)"/>
        <s v="PAMPERS (PROCTER &amp; GAMBLE)"/>
        <s v="FRESHMAKER (FULYA COSMETICS)" u="1"/>
        <s v="BABY CARE (MEGA)" u="1"/>
        <s v="COTTON SOFT (SEPA MENSUCAT)" u="1"/>
        <s v="MOLFIX (HAYAT KIMYA)" u="1"/>
        <s v="RENKLI (SEVIMLER)" u="1"/>
        <s v="ALVESTA (SWORDSON LTD)" u="1"/>
        <s v="AQUELLA ( CottonUnion)" u="1"/>
        <s v="ASALI (SEPA MENSUCAT)" u="1"/>
        <s v="AURA ( CottonUnion)" u="1"/>
        <s v="BABS &amp; BABS (OZDAMARLAR GIDA A.S.)" u="1"/>
        <s v="BABY 2000 (Nova Garbagnate)" u="1"/>
        <s v="BABY CARE (TradeKing Cengiz)" u="1"/>
        <s v="BABY WISH (ChillClean)" u="1"/>
        <s v="BABYLINO (MEGA S.A.)" u="1"/>
        <s v="BAMBINO (ULTRA COSMETICS)" u="1"/>
        <s v="BAMBO (BeneCare)" u="1"/>
        <s v="BEBECAN (RAMER KOZMETIK)" u="1"/>
        <s v="BEBECAN (TNCR GIDA)" u="1"/>
        <s v="BEBECAN (YESIL ILGAZ)" u="1"/>
        <s v="BEBECEN (KANTARA PRODUKSIYON DAGITIM)" u="1"/>
        <s v="BEBIKO (PAKSEL KIMYA)" u="1"/>
        <s v="BELUX (RENKSAN)" u="1"/>
        <s v="BERFINY (FULYA COSMETICS)" u="1"/>
        <s v="BETTY (PHOENIX PHARMA DOO)" u="1"/>
        <s v="BIG SOFT (MORAMEX GROUP / TOBI MG LTD)" u="1"/>
        <s v="BIMBO &amp; BIMBA (REGINA TRADING LTD)" u="1"/>
        <s v="BIONIKE (ICIM INTERNATIONAL)" u="1"/>
        <s v="BIVY (TAHA KIMYA KOZMETIK)" u="1"/>
        <s v="CAN BEBE (ONTEX)" u="1"/>
        <s v="CHICCO (CultureSana)" u="1"/>
        <s v="CLEANIC (HARPER HYGIENICS)" u="1"/>
        <s v="ClearSight (ClearSight)" u="1"/>
        <s v="CONFY (LIDERSAN SAGLIK VE GIDA)" u="1"/>
        <s v="COSMI" u="1"/>
        <s v="COTTON BABY ( CottonUnion)" u="1"/>
        <s v="DAISY (TEKSAN)" u="1"/>
        <s v="DOCTOR (SC EUROPACK MEDIA SRL)" u="1"/>
        <s v="DOVE (UNILEVER)" u="1"/>
        <s v="ELAN (Esburg Health)" u="1"/>
        <s v="ELVIM (SEPA MENSUCAT)" u="1"/>
        <s v="EVY BABY (EveCraft)" u="1"/>
        <s v="FARMACOTONE (SISMA S.P.A.)" u="1"/>
        <s v="FEMOLE (FEM COSMETIC)" u="1"/>
        <s v="FLAMINGO (SEPA MENSUCAT)" u="1"/>
        <s v="FOMEX (EastChem)" u="1"/>
        <s v="FRESH (NUR GIDA SAN)" u="1"/>
        <s v="FRESH (PIRAMIDA 72 DOO)" u="1"/>
        <s v="FRESH BABY (NAVIGA TURKEY)" u="1"/>
        <s v="FRESH RUNY (FULYA COSMETICS)" u="1"/>
        <s v="FRESH SENSE (NUR GIDA SAN)" u="1"/>
        <s v="GIAN (SCK ZETA COMPANY)" u="1"/>
        <s v="GOLDEN (NAVIGA TURKEY)" u="1"/>
        <s v="HAPPY (FULYA COSMETICS)" u="1"/>
        <s v="HAPPY (MORAMEX GROUP / TOBI MG LTD)" u="1"/>
        <s v="HAPPY FRESH (ArsenicChem)" u="1"/>
        <s v="HIMALAYA (HIMALAYA DRUG)" u="1"/>
        <s v="HIPP (HIPP GMBH)" u="1"/>
        <s v="HONEY BEBISH (Arkana PaperCraft)" u="1"/>
        <s v="HOPS (SAPRO TEMIZLIK)" u="1"/>
        <s v="HUGGIES (KIMBERLEY CLARK)" u="1"/>
        <s v="HUGGLO (ArborChemistry)" u="1"/>
        <s v="HUGGLO (MIS SAGLIK SAN.)" u="1"/>
        <s v="HUGO BABY (TRUVA KOZMETIK)" u="1"/>
        <s v="IASSMIN (SEVIMLER)" u="1"/>
        <s v="INCI (SEPA MENSUCAT)" u="1"/>
        <s v="JOHNSONS (JOHNSON &amp; JOHNSON INT.)" u="1"/>
        <s v="JUNIOR &amp; TOMMY (SEVIMLER)" u="1"/>
        <s v="KANZ ( Creativa Worldwide)" u="1"/>
        <s v="KIDS (FULYA KOZM.)" u="1"/>
        <s v="KLORANE (PIERRE FABRE)" u="1"/>
        <s v="KOMILI (KOMILI S.A.)" u="1"/>
        <s v="KOPRINA (OZYURT TEKSTIL SAN)" u="1"/>
        <s v="KRISPA (KAPPUS)" u="1"/>
        <s v="LADY FRESH (SEVIMLER)" u="1"/>
        <s v="LANSINOH (LANSINOH LABORATORIE INC)" u="1"/>
        <s v="LIBERO (ESSITY)" u="1"/>
        <s v="LIO FRESH (FULYA COSMETICS)" u="1"/>
        <s v="LIOLA (FULYA COSMETICS)" u="1"/>
        <s v="LUBA (BroadLeaf Group)" u="1"/>
        <s v="L'UNICO (MONTRASIO)" u="1"/>
        <s v="MAIA (KALESAN)" u="1"/>
        <s v="MAMMI (SEMA TREYD ODD)" u="1"/>
        <s v="MAXIMENS (SARIHAN TEMIZLIK)" u="1"/>
        <s v="MEDPROFFESIONAL (SC EUROPACK MEDIA SRL)" u="1"/>
        <s v="MELANI (PROBEG 97)" u="1"/>
        <s v="MIKE LINE (GRUPA POLUDNIE SP)" u="1"/>
        <s v="MIMI ( CottonUnion)" u="1"/>
        <s v="MIMOSA (MAPA INTERNATIONAL)" u="1"/>
        <s v="MIS MAK (SWORDSON LTD)" u="1"/>
        <s v="MORS (MORS COSMETICS)" u="1"/>
        <s v="MUSTELA (LABORATORY EXPANSCIENCE)" u="1"/>
        <s v="MY COMFORT ( CottonUnion)" u="1"/>
        <s v="MY FIX (NAVIGA TURKEY)" u="1"/>
        <s v="NAPEEZ BY GRACIA (GRACIA COMPANY)" u="1"/>
        <s v="NATURAVERDE (SO.DI.CO - SOCIETA DISTRIBU" u="1"/>
        <s v="NATY (NATY AB)" u="1"/>
        <s v="NEMDIL (FULYA COSMETICS)" u="1"/>
        <s v="NICE BABY ( CottonUnion)" u="1"/>
        <s v="NIK &amp; SI (SEVIMLER)" u="1"/>
        <s v="NIKI (SEVIMLER )" u="1"/>
        <s v="NIVEA (AlpineMeadow)" u="1"/>
        <s v="OKIDOKI (CodeInt B.V.)" u="1"/>
        <s v="PADDLERS (ENKA HIJYUEN)" u="1"/>
        <s v="PAPATYA (PAPATYA PAMUK KOSMETIK)" u="1"/>
        <s v="PAPILION (ArkPapers)" u="1"/>
        <s v="PAW PATROL (JELLYWORKS HEALTHCARE)" u="1"/>
        <s v="PEPINO (SEVIMLER)" u="1"/>
        <s v="PEPPA PIG (JELLYWORKS HEALTHCARE)" u="1"/>
        <s v="PERFETTO (PERFETTO GROUP)" u="1"/>
        <s v="PETINO (HARPER HYGIENICS)" u="1"/>
        <s v="PINE (Arkana PaperCraft)" u="1"/>
        <s v="PONKY (GULSAH KOZMETIK)" u="1"/>
        <s v="POZZY (GULSAH KOZMETIK)" u="1"/>
        <s v="PREMIUM (FULYA COSMETICS)" u="1"/>
        <s v="PRIMA (PROCTER &amp; GAMBLE)" u="1"/>
        <s v="PRIME (GRUPPO AVELLA SRL )" u="1"/>
        <s v="PROSOFT (TRUVA KOZMETIK TIC)" u="1"/>
        <s v="PUFFY (NAVIGA TURKEY)" u="1"/>
        <s v="PUFY (LARA COSMETIC)" u="1"/>
        <s v="PUFY (NUR GIDA SANAYI)" u="1"/>
        <s v="PURE ( ErusHealth Products)" u="1"/>
        <s v="PURE (FULYA COSMETICS)" u="1"/>
        <s v="RENKLY BABY (KARTOPU KOLONYA)" u="1"/>
        <s v="SEBAMED (SEBAPHARMA)" u="1"/>
        <s v="SECKIN (RENKSAN)" u="1"/>
        <s v="SEMI (SEVIMLER)" u="1"/>
        <s v="SENCE (MAXBRANDS MARKETING B.V.)" u="1"/>
        <s v="SEPTONA (SEPTONA SA)" u="1"/>
        <s v="SETABLU (SCProducts)" u="1"/>
        <s v="SLEEPY ( ErusHealth Products)" u="1"/>
        <s v="SLIPP (PREDO)" u="1"/>
        <s v="SMILE (BIOSPHERE CORP.)" u="1"/>
        <s v="SOFT &amp; FRESH (KARDESLER UCANYAGLAR SAN A" u="1"/>
        <s v="SOFT CARE (SANO LTD)" u="1"/>
        <s v="SOFTLINE (BurdenCo)" u="1"/>
        <s v="SPEEDY CARE (O-PAC S.R.L.)" u="1"/>
        <s v="SPRING LINE (SC EUROPACK MEDIA SRL)" u="1"/>
        <s v="SWEET (SEVIMLER)" u="1"/>
        <s v="TANGO (KOZMO KIMYA)" u="1"/>
        <s v="TEX (PureAim Cleaners)" u="1"/>
        <s v="TITO (NAVIGA TURKEY)" u="1"/>
        <s v="TOP BLITZ (LARA KOSMETICK)" u="1"/>
        <s v="TOVA (STANQUEEN INVESTMENT)" u="1"/>
        <s v="TROMPY (Fragrantium S.A.)" u="1"/>
        <s v="ULTRA COMPACT (ArsenicChem)" u="1"/>
        <s v="UNAC (UNAC GROUP KOZMETIK SAN.)" u="1"/>
        <s v="UNI (Ataman Industries)" u="1"/>
        <s v="URIAGE (PUIG)" u="1"/>
        <s v="VIBELLE (REGINA TRADING LTD)" u="1"/>
        <s v="VOI (SMILE COSMETICS)" u="1"/>
        <s v="WATER WIPES (IRISH BREEZE LTD)" u="1"/>
        <s v="WINEX ( CottonUnion)" u="1"/>
        <s v="WIPEST (MORS COSMETICS)" u="1"/>
        <s v="YESS BABY (ERUSLU)" u="1"/>
      </sharedItems>
    </cacheField>
    <cacheField name="[Table2].[PACKAGE SIZE].[PACKAGE SIZE]" caption="PACKAGE SIZE" numFmtId="0" hierarchy="18" level="1">
      <sharedItems containsSemiMixedTypes="0" containsNonDate="0" containsString="0"/>
    </cacheField>
    <cacheField name="[Measures].[Sum of 2022 2]" caption="Sum of 2022 2" numFmtId="0" hierarchy="81" level="32767"/>
    <cacheField name="[Measures].[Sum of 2023 2]" caption="Sum of 2023 2" numFmtId="0" hierarchy="82" level="32767"/>
    <cacheField name="[Measures].[Sum of YTD 2024 2]" caption="Sum of YTD 2024 2" numFmtId="0" hierarchy="83" level="32767"/>
    <cacheField name="[Measures].[Sum of Total Value 2]" caption="Sum of Total Value 2" numFmtId="0" hierarchy="87" level="32767"/>
    <cacheField name="[Table2].[PACKAGE TYPE].[PACKAGE TYPE]" caption="PACKAGE TYPE" numFmtId="0" hierarchy="16" level="1">
      <sharedItems containsSemiMixedTypes="0" containsNonDate="0" containsString="0"/>
    </cacheField>
    <cacheField name="[Table2].[PROTECTION / CARE].[PROTECTION / CARE]" caption="PROTECTION / CARE" numFmtId="0" hierarchy="17" level="1">
      <sharedItems containsSemiMixedTypes="0" containsNonDate="0" containsString="0"/>
    </cacheField>
    <cacheField name="[Table1].[BRAND].[BRAND]" caption="BRAND" numFmtId="0" hierarchy="1" level="1">
      <sharedItems containsSemiMixedTypes="0" containsNonDate="0" containsString="0"/>
    </cacheField>
    <cacheField name="[Table1].[MANUFACTURER2].[MANUFACTURER2]" caption="MANUFACTURER2" numFmtId="0" level="1">
      <sharedItems containsSemiMixedTypes="0" containsNonDate="0" containsString="0"/>
    </cacheField>
    <cacheField name="[Table1].[Package Type].[Package Type]" caption="Package Type" numFmtId="0" hierarchy="4" level="1">
      <sharedItems containsSemiMixedTypes="0" containsNonDate="0" containsString="0"/>
    </cacheField>
  </cacheFields>
  <cacheHierarchies count="114">
    <cacheHierarchy uniqueName="[Table1].[MANUFACTURER2]" caption="MANUFACTURER2" attribute="1" defaultMemberUniqueName="[Table1].[MANUFACTURER2].[All]" allUniqueName="[Table1].[MANUFACTURER2].[All]" dimensionUniqueName="[Table1]" displayFolder="" count="2" memberValueDatatype="130" unbalanced="0">
      <fieldsUsage count="2">
        <fieldUsage x="-1"/>
        <fieldUsage x="9"/>
      </fieldsUsage>
    </cacheHierarchy>
    <cacheHierarchy uniqueName="[Table1].[BRAND]" caption="BRAND" attribute="1" defaultMemberUniqueName="[Table1].[BRAND].[All]" allUniqueName="[Table1].[BRAND].[All]" dimensionUniqueName="[Table1]" displayFolder="" count="2" memberValueDatatype="130" unbalanced="0">
      <fieldsUsage count="2">
        <fieldUsage x="-1"/>
        <fieldUsage x="8"/>
      </fieldsUsage>
    </cacheHierarchy>
    <cacheHierarchy uniqueName="[Table1].[Company]" caption="Company" attribute="1" defaultMemberUniqueName="[Table1].[Company].[All]" allUniqueName="[Table1].[Compan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ackage Type]" caption="Package Type" attribute="1" defaultMemberUniqueName="[Table1].[Package Type].[All]" allUniqueName="[Table1].[Package Type].[All]" dimensionUniqueName="[Table1]" displayFolder="" count="2" memberValueDatatype="130" unbalanced="0">
      <fieldsUsage count="2">
        <fieldUsage x="-1"/>
        <fieldUsage x="10"/>
      </fieldsUsage>
    </cacheHierarchy>
    <cacheHierarchy uniqueName="[Table1].[Protection/Care]" caption="Protection/Care" attribute="1" defaultMemberUniqueName="[Table1].[Protection/Care].[All]" allUniqueName="[Table1].[Protection/Care].[All]" dimensionUniqueName="[Table1]" displayFolder="" count="0" memberValueDatatype="130" unbalanced="0"/>
    <cacheHierarchy uniqueName="[Table1].[Package Size]" caption="Package Size" attribute="1" defaultMemberUniqueName="[Table1].[Package Size].[All]" allUniqueName="[Table1].[Package Size].[All]" dimensionUniqueName="[Table1]" displayFolder="" count="0" memberValueDatatype="130" unbalanced="0"/>
    <cacheHierarchy uniqueName="[Table1].[2022]" caption="2022" attribute="1" defaultMemberUniqueName="[Table1].[2022].[All]" allUniqueName="[Table1].[2022].[All]" dimensionUniqueName="[Table1]" displayFolder="" count="0" memberValueDatatype="5" unbalanced="0"/>
    <cacheHierarchy uniqueName="[Table1].[2023]" caption="2023" attribute="1" defaultMemberUniqueName="[Table1].[2023].[All]" allUniqueName="[Table1].[2023].[All]" dimensionUniqueName="[Table1]" displayFolder="" count="0" memberValueDatatype="5" unbalanced="0"/>
    <cacheHierarchy uniqueName="[Table1].[YTD 2024]" caption="YTD 2024" attribute="1" defaultMemberUniqueName="[Table1].[YTD 2024].[All]" allUniqueName="[Table1].[YTD 2024].[All]" dimensionUniqueName="[Table1]" displayFolder="" count="0" memberValueDatatype="5" unbalanced="0"/>
    <cacheHierarchy uniqueName="[Table1].[Volume 2022]" caption="Volume 2022" attribute="1" defaultMemberUniqueName="[Table1].[Volume 2022].[All]" allUniqueName="[Table1].[Volume 2022].[All]" dimensionUniqueName="[Table1]" displayFolder="" count="0" memberValueDatatype="5" unbalanced="0"/>
    <cacheHierarchy uniqueName="[Table1].[Volume 2023]" caption="Volume 2023" attribute="1" defaultMemberUniqueName="[Table1].[Volume 2023].[All]" allUniqueName="[Table1].[Volume 2023].[All]" dimensionUniqueName="[Table1]" displayFolder="" count="0" memberValueDatatype="5" unbalanced="0"/>
    <cacheHierarchy uniqueName="[Table1].[Volume YTD 2024]" caption="Volume YTD 2024" attribute="1" defaultMemberUniqueName="[Table1].[Volume YTD 2024].[All]" allUniqueName="[Table1].[Volume YTD 2024].[All]" dimensionUniqueName="[Table1]" displayFolder="" count="0" memberValueDatatype="5" unbalanced="0"/>
    <cacheHierarchy uniqueName="[Table1].[Total Value]" caption="Total Value" attribute="1" defaultMemberUniqueName="[Table1].[Total Value].[All]" allUniqueName="[Table1].[Total Value].[All]" dimensionUniqueName="[Table1]" displayFolder="" count="0" memberValueDatatype="5" unbalanced="0"/>
    <cacheHierarchy uniqueName="[Table2].[PRODUCT]" caption="PRODUCT" attribute="1" defaultMemberUniqueName="[Table2].[PRODUCT].[All]" allUniqueName="[Table2].[PRODUCT].[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PACKAGE TYPE]" caption="PACKAGE TYPE" attribute="1" defaultMemberUniqueName="[Table2].[PACKAGE TYPE].[All]" allUniqueName="[Table2].[PACKAGE TYPE].[All]" dimensionUniqueName="[Table2]" displayFolder="" count="2" memberValueDatatype="130" unbalanced="0">
      <fieldsUsage count="2">
        <fieldUsage x="-1"/>
        <fieldUsage x="6"/>
      </fieldsUsage>
    </cacheHierarchy>
    <cacheHierarchy uniqueName="[Table2].[PROTECTION / CARE]" caption="PROTECTION / CARE" attribute="1" defaultMemberUniqueName="[Table2].[PROTECTION / CARE].[All]" allUniqueName="[Table2].[PROTECTION / CARE].[All]" dimensionUniqueName="[Table2]" displayFolder="" count="2" memberValueDatatype="130" unbalanced="0">
      <fieldsUsage count="2">
        <fieldUsage x="-1"/>
        <fieldUsage x="7"/>
      </fieldsUsage>
    </cacheHierarchy>
    <cacheHierarchy uniqueName="[Table2].[PACKAGE SIZE]" caption="PACKAGE SIZE" attribute="1" defaultMemberUniqueName="[Table2].[PACKAGE SIZE].[All]" allUniqueName="[Table2].[PACKAGE SIZE].[All]" dimensionUniqueName="[Table2]" displayFolder="" count="2" memberValueDatatype="130" unbalanced="0">
      <fieldsUsage count="2">
        <fieldUsage x="-1"/>
        <fieldUsage x="1"/>
      </fieldsUsage>
    </cacheHierarchy>
    <cacheHierarchy uniqueName="[Table2].[2022]" caption="2022" attribute="1" defaultMemberUniqueName="[Table2].[2022].[All]" allUniqueName="[Table2].[2022].[All]" dimensionUniqueName="[Table2]" displayFolder="" count="0" memberValueDatatype="130" unbalanced="0"/>
    <cacheHierarchy uniqueName="[Table2].[2023]" caption="2023" attribute="1" defaultMemberUniqueName="[Table2].[2023].[All]" allUniqueName="[Table2].[2023].[All]" dimensionUniqueName="[Table2]" displayFolder="" count="0" memberValueDatatype="5" unbalanced="0"/>
    <cacheHierarchy uniqueName="[Table2].[YTD 24]" caption="YTD 24" attribute="1" defaultMemberUniqueName="[Table2].[YTD 24].[All]" allUniqueName="[Table2].[YTD 24].[All]" dimensionUniqueName="[Table2]" displayFolder="" count="0" memberValueDatatype="5" unbalanced="0"/>
    <cacheHierarchy uniqueName="[Table2].[Volume 2022]" caption="Volume 2022" attribute="1" defaultMemberUniqueName="[Table2].[Volume 2022].[All]" allUniqueName="[Table2].[Volume 2022].[All]" dimensionUniqueName="[Table2]" displayFolder="" count="0" memberValueDatatype="5" unbalanced="0"/>
    <cacheHierarchy uniqueName="[Table2].[Volume 2023]" caption="Volume 2023" attribute="1" defaultMemberUniqueName="[Table2].[Volume 2023].[All]" allUniqueName="[Table2].[Volume 2023].[All]" dimensionUniqueName="[Table2]" displayFolder="" count="0" memberValueDatatype="5" unbalanced="0"/>
    <cacheHierarchy uniqueName="[Table2].[Volume YTD 2024]" caption="Volume YTD 2024" attribute="1" defaultMemberUniqueName="[Table2].[Volume YTD 2024].[All]" allUniqueName="[Table2].[Volume YTD 2024].[All]" dimensionUniqueName="[Table2]" displayFolder="" count="0" memberValueDatatype="5" unbalanced="0"/>
    <cacheHierarchy uniqueName="[Table2].[Total Value]" caption="Total Value" attribute="1" defaultMemberUniqueName="[Table2].[Total Value].[All]" allUniqueName="[Table2].[Total Value].[All]" dimensionUniqueName="[Table2]" displayFolder="" count="0" memberValueDatatype="5" unbalanced="0"/>
    <cacheHierarchy uniqueName="[Table2].[YOY Growth 23]" caption="YOY Growth 23" attribute="1" defaultMemberUniqueName="[Table2].[YOY Growth 23].[All]" allUniqueName="[Table2].[YOY Growth 23].[All]" dimensionUniqueName="[Table2]" displayFolder="" count="0" memberValueDatatype="5" unbalanced="0"/>
    <cacheHierarchy uniqueName="[Table2].[YTD Growth 24]" caption="YTD Growth 24" attribute="1" defaultMemberUniqueName="[Table2].[YTD Growth 24].[All]" allUniqueName="[Table2].[YTD Growth 24].[All]" dimensionUniqueName="[Table2]" displayFolder="" count="0" memberValueDatatype="5" unbalanced="0"/>
    <cacheHierarchy uniqueName="[Table2].[Price 2022]" caption="Price 2022" attribute="1" defaultMemberUniqueName="[Table2].[Price 2022].[All]" allUniqueName="[Table2].[Price 2022].[All]" dimensionUniqueName="[Table2]" displayFolder="" count="0" memberValueDatatype="5" unbalanced="0"/>
    <cacheHierarchy uniqueName="[Table2].[Price 2023]" caption="Price 2023" attribute="1" defaultMemberUniqueName="[Table2].[Price 2023].[All]" allUniqueName="[Table2].[Price 2023].[All]" dimensionUniqueName="[Table2]" displayFolder="" count="0" memberValueDatatype="5" unbalanced="0"/>
    <cacheHierarchy uniqueName="[Table2].[Price 2024]" caption="Price 2024" attribute="1" defaultMemberUniqueName="[Table2].[Price 2024].[All]" allUniqueName="[Table2].[Price 2024].[All]" dimensionUniqueName="[Table2]" displayFolder="" count="0" memberValueDatatype="5" unbalanced="0"/>
    <cacheHierarchy uniqueName="[Table4].[Manufacturer]" caption="Manufacturer" attribute="1" defaultMemberUniqueName="[Table4].[Manufacturer].[All]" allUniqueName="[Table4].[Manufacturer].[All]" dimensionUniqueName="[Table4]" displayFolder="" count="0" memberValueDatatype="130" unbalanced="0"/>
    <cacheHierarchy uniqueName="[Table4].[2022]" caption="2022" attribute="1" defaultMemberUniqueName="[Table4].[2022].[All]" allUniqueName="[Table4].[2022].[All]" dimensionUniqueName="[Table4]" displayFolder="" count="0" memberValueDatatype="5" unbalanced="0"/>
    <cacheHierarchy uniqueName="[Table4].[2023]" caption="2023" attribute="1" defaultMemberUniqueName="[Table4].[2023].[All]" allUniqueName="[Table4].[2023].[All]" dimensionUniqueName="[Table4]" displayFolder="" count="0" memberValueDatatype="5" unbalanced="0"/>
    <cacheHierarchy uniqueName="[Table4].[YTD 2024]" caption="YTD 2024" attribute="1" defaultMemberUniqueName="[Table4].[YTD 2024].[All]" allUniqueName="[Table4].[YTD 2024].[All]" dimensionUniqueName="[Table4]" displayFolder="" count="0" memberValueDatatype="5" unbalanced="0"/>
    <cacheHierarchy uniqueName="[Table4].[Volume 2022]" caption="Volume 2022" attribute="1" defaultMemberUniqueName="[Table4].[Volume 2022].[All]" allUniqueName="[Table4].[Volume 2022].[All]" dimensionUniqueName="[Table4]" displayFolder="" count="0" memberValueDatatype="5" unbalanced="0"/>
    <cacheHierarchy uniqueName="[Table4].[Volume 2023]" caption="Volume 2023" attribute="1" defaultMemberUniqueName="[Table4].[Volume 2023].[All]" allUniqueName="[Table4].[Volume 2023].[All]" dimensionUniqueName="[Table4]" displayFolder="" count="0" memberValueDatatype="5" unbalanced="0"/>
    <cacheHierarchy uniqueName="[Table4].[Volume 2024]" caption="Volume 2024" attribute="1" defaultMemberUniqueName="[Table4].[Volume 2024].[All]" allUniqueName="[Table4].[Volume 2024].[All]" dimensionUniqueName="[Table4]" displayFolder="" count="0" memberValueDatatype="5" unbalanced="0"/>
    <cacheHierarchy uniqueName="[Table4].[Total Value]" caption="Total Value" attribute="1" defaultMemberUniqueName="[Table4].[Total Value].[All]" allUniqueName="[Table4].[Total Value].[All]" dimensionUniqueName="[Table4]" displayFolder="" count="0" memberValueDatatype="5" unbalanced="0"/>
    <cacheHierarchy uniqueName="[Table4].[YoY Growth 23]" caption="YoY Growth 23" attribute="1" defaultMemberUniqueName="[Table4].[YoY Growth 23].[All]" allUniqueName="[Table4].[YoY Growth 23].[All]" dimensionUniqueName="[Table4]" displayFolder="" count="0" memberValueDatatype="5" unbalanced="0"/>
    <cacheHierarchy uniqueName="[Table4].[YTD Growth]" caption="YTD Growth" attribute="1" defaultMemberUniqueName="[Table4].[YTD Growth].[All]" allUniqueName="[Table4].[YTD Growth].[All]" dimensionUniqueName="[Table4]" displayFolder="" count="0" memberValueDatatype="5" unbalanced="0"/>
    <cacheHierarchy uniqueName="[Table4].[Price 2022]" caption="Price 2022" attribute="1" defaultMemberUniqueName="[Table4].[Price 2022].[All]" allUniqueName="[Table4].[Price 2022].[All]" dimensionUniqueName="[Table4]" displayFolder="" count="0" memberValueDatatype="5" unbalanced="0"/>
    <cacheHierarchy uniqueName="[Table4].[Price 2023]" caption="Price 2023" attribute="1" defaultMemberUniqueName="[Table4].[Price 2023].[All]" allUniqueName="[Table4].[Price 2023].[All]" dimensionUniqueName="[Table4]" displayFolder="" count="0" memberValueDatatype="5" unbalanced="0"/>
    <cacheHierarchy uniqueName="[Table4].[Price 2024]" caption="Price 2024" attribute="1" defaultMemberUniqueName="[Table4].[Price 2024].[All]" allUniqueName="[Table4].[Price 2024].[All]" dimensionUniqueName="[Table4]" displayFolder="" count="0" memberValueDatatype="5" unbalanced="0"/>
    <cacheHierarchy uniqueName="[Table4_1].[Manufacturer]" caption="Manufacturer" attribute="1" defaultMemberUniqueName="[Table4_1].[Manufacturer].[All]" allUniqueName="[Table4_1].[Manufacturer].[All]" dimensionUniqueName="[Table4_1]" displayFolder="" count="0" memberValueDatatype="130" unbalanced="0"/>
    <cacheHierarchy uniqueName="[Table4_1].[Average Value]" caption="Average Value" attribute="1" defaultMemberUniqueName="[Table4_1].[Average Value].[All]" allUniqueName="[Table4_1].[Average Value].[All]" dimensionUniqueName="[Table4_1]" displayFolder="" count="0" memberValueDatatype="5" unbalanced="0"/>
    <cacheHierarchy uniqueName="[Table4_1].[Volume 2022]" caption="Volume 2022" attribute="1" defaultMemberUniqueName="[Table4_1].[Volume 2022].[All]" allUniqueName="[Table4_1].[Volume 2022].[All]" dimensionUniqueName="[Table4_1]" displayFolder="" count="0" memberValueDatatype="5" unbalanced="0"/>
    <cacheHierarchy uniqueName="[Table4_1].[Volume 2023]" caption="Volume 2023" attribute="1" defaultMemberUniqueName="[Table4_1].[Volume 2023].[All]" allUniqueName="[Table4_1].[Volume 2023].[All]" dimensionUniqueName="[Table4_1]" displayFolder="" count="0" memberValueDatatype="5" unbalanced="0"/>
    <cacheHierarchy uniqueName="[Table4_1].[Volume 2024]" caption="Volume 2024" attribute="1" defaultMemberUniqueName="[Table4_1].[Volume 2024].[All]" allUniqueName="[Table4_1].[Volume 2024].[All]" dimensionUniqueName="[Table4_1]" displayFolder="" count="0" memberValueDatatype="5" unbalanced="0"/>
    <cacheHierarchy uniqueName="[Table4_1].[Average Volume]" caption="Average Volume" attribute="1" defaultMemberUniqueName="[Table4_1].[Average Volume].[All]" allUniqueName="[Table4_1].[Average Volume].[All]" dimensionUniqueName="[Table4_1]" displayFolder="" count="0" memberValueDatatype="5" unbalanced="0"/>
    <cacheHierarchy uniqueName="[Table4_1].[Average Price]" caption="Average Price" attribute="1" defaultMemberUniqueName="[Table4_1].[Average Price].[All]" allUniqueName="[Table4_1].[Average Price].[All]" dimensionUniqueName="[Table4_1]" displayFolder="" count="0" memberValueDatatype="5" unbalanced="0"/>
    <cacheHierarchy uniqueName="[Table7].[in 000s]" caption="in 000s" attribute="1" defaultMemberUniqueName="[Table7].[in 000s].[All]" allUniqueName="[Table7].[in 000s].[All]" dimensionUniqueName="[Table7]" displayFolder="" count="2" memberValueDatatype="130" unbalanced="0">
      <fieldsUsage count="2">
        <fieldUsage x="-1"/>
        <fieldUsage x="0"/>
      </fieldsUsage>
    </cacheHierarchy>
    <cacheHierarchy uniqueName="[Table7].[2022]" caption="2022" attribute="1" defaultMemberUniqueName="[Table7].[2022].[All]" allUniqueName="[Table7].[2022].[All]" dimensionUniqueName="[Table7]" displayFolder="" count="0" memberValueDatatype="5" unbalanced="0"/>
    <cacheHierarchy uniqueName="[Table7].[2023]" caption="2023" attribute="1" defaultMemberUniqueName="[Table7].[2023].[All]" allUniqueName="[Table7].[2023].[All]" dimensionUniqueName="[Table7]" displayFolder="" count="0" memberValueDatatype="5" unbalanced="0"/>
    <cacheHierarchy uniqueName="[Table7].[YTD 2024]" caption="YTD 2024" attribute="1" defaultMemberUniqueName="[Table7].[YTD 2024].[All]" allUniqueName="[Table7].[YTD 2024].[All]" dimensionUniqueName="[Table7]" displayFolder="" count="0" memberValueDatatype="5" unbalanced="0"/>
    <cacheHierarchy uniqueName="[Table7].[Volume 2022]" caption="Volume 2022" attribute="1" defaultMemberUniqueName="[Table7].[Volume 2022].[All]" allUniqueName="[Table7].[Volume 2022].[All]" dimensionUniqueName="[Table7]" displayFolder="" count="0" memberValueDatatype="5" unbalanced="0"/>
    <cacheHierarchy uniqueName="[Table7].[Volume 2023]" caption="Volume 2023" attribute="1" defaultMemberUniqueName="[Table7].[Volume 2023].[All]" allUniqueName="[Table7].[Volume 2023].[All]" dimensionUniqueName="[Table7]" displayFolder="" count="0" memberValueDatatype="5" unbalanced="0"/>
    <cacheHierarchy uniqueName="[Table7].[Volume YTD 2024]" caption="Volume YTD 2024" attribute="1" defaultMemberUniqueName="[Table7].[Volume YTD 2024].[All]" allUniqueName="[Table7].[Volume YTD 2024].[All]" dimensionUniqueName="[Table7]" displayFolder="" count="0" memberValueDatatype="5" unbalanced="0"/>
    <cacheHierarchy uniqueName="[Table7].[Total Volume]" caption="Total Volume" attribute="1" defaultMemberUniqueName="[Table7].[Total Volume].[All]" allUniqueName="[Table7].[Total Volume].[All]" dimensionUniqueName="[Table7]" displayFolder="" count="0" memberValueDatatype="5" unbalanced="0"/>
    <cacheHierarchy uniqueName="[Table7].[Total Value]" caption="Total Value" attribute="1" defaultMemberUniqueName="[Table7].[Total Value].[All]" allUniqueName="[Table7].[Total Value].[All]" dimensionUniqueName="[Table7]" displayFolder="" count="0" memberValueDatatype="5" unbalanced="0"/>
    <cacheHierarchy uniqueName="[Table7].[YoY growth]" caption="YoY growth" attribute="1" defaultMemberUniqueName="[Table7].[YoY growth].[All]" allUniqueName="[Table7].[YoY growth].[All]" dimensionUniqueName="[Table7]" displayFolder="" count="0" memberValueDatatype="5" unbalanced="0"/>
    <cacheHierarchy uniqueName="[Table7].[Volume growth]" caption="Volume growth" attribute="1" defaultMemberUniqueName="[Table7].[Volume growth].[All]" allUniqueName="[Table7].[Volume growth].[All]" dimensionUniqueName="[Table7]" displayFolder="" count="0" memberValueDatatype="5" unbalanced="0"/>
    <cacheHierarchy uniqueName="[Table7].[price growth]" caption="price growth" attribute="1" defaultMemberUniqueName="[Table7].[price growth].[All]" allUniqueName="[Table7].[price growth].[All]" dimensionUniqueName="[Table7]" displayFolder="" count="0" memberValueDatatype="5" unbalanced="0"/>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4_1]" caption="__XL_Count Table4_1" measure="1" displayFolder="" measureGroup="Table4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2022]" caption="Sum of 2022" measure="1" displayFolder="" measureGroup="Table4" count="0" hidden="1"/>
    <cacheHierarchy uniqueName="[Measures].[Sum of 2023]" caption="Sum of 2023" measure="1" displayFolder="" measureGroup="Table4" count="0" hidden="1"/>
    <cacheHierarchy uniqueName="[Measures].[Sum of YTD 2024]" caption="Sum of YTD 2024" measure="1" displayFolder="" measureGroup="Table4" count="0" hidden="1"/>
    <cacheHierarchy uniqueName="[Measures].[Sum of Volume 2022]" caption="Sum of Volume 2022" measure="1" displayFolder="" measureGroup="Table4" count="0" hidden="1"/>
    <cacheHierarchy uniqueName="[Measures].[Sum of Volume 2023]" caption="Sum of Volume 2023" measure="1" displayFolder="" measureGroup="Table4" count="0" hidden="1"/>
    <cacheHierarchy uniqueName="[Measures].[Sum of Volume 2024]" caption="Sum of Volume 2024" measure="1" displayFolder="" measureGroup="Table4" count="0" hidden="1"/>
    <cacheHierarchy uniqueName="[Measures].[Sum of Total Value]" caption="Sum of Total Value" measure="1" displayFolder="" measureGroup="Table4" count="0" hidden="1"/>
    <cacheHierarchy uniqueName="[Measures].[Sum of YoY Growth 23]" caption="Sum of YoY Growth 23" measure="1" displayFolder="" measureGroup="Table4" count="0" hidden="1"/>
    <cacheHierarchy uniqueName="[Measures].[Sum of YTD Growth]" caption="Sum of YTD Growth" measure="1" displayFolder="" measureGroup="Table4" count="0" hidden="1"/>
    <cacheHierarchy uniqueName="[Measures].[Sum of Price 2022]" caption="Sum of Price 2022" measure="1" displayFolder="" measureGroup="Table4" count="0" hidden="1"/>
    <cacheHierarchy uniqueName="[Measures].[Sum of Price 2023]" caption="Sum of Price 2023" measure="1" displayFolder="" measureGroup="Table4" count="0" hidden="1"/>
    <cacheHierarchy uniqueName="[Measures].[Sum of Price 2024]" caption="Sum of Price 2024" measure="1" displayFolder="" measureGroup="Table4" count="0" hidden="1"/>
    <cacheHierarchy uniqueName="[Measures].[Sum of 2022 2]" caption="Sum of 2022 2" measure="1" displayFolder="" measureGroup="Table7" count="0" oneField="1" hidden="1">
      <fieldsUsage count="1">
        <fieldUsage x="2"/>
      </fieldsUsage>
    </cacheHierarchy>
    <cacheHierarchy uniqueName="[Measures].[Sum of 2023 2]" caption="Sum of 2023 2" measure="1" displayFolder="" measureGroup="Table7" count="0" oneField="1" hidden="1">
      <fieldsUsage count="1">
        <fieldUsage x="3"/>
      </fieldsUsage>
    </cacheHierarchy>
    <cacheHierarchy uniqueName="[Measures].[Sum of YTD 2024 2]" caption="Sum of YTD 2024 2" measure="1" displayFolder="" measureGroup="Table7" count="0" oneField="1" hidden="1">
      <fieldsUsage count="1">
        <fieldUsage x="4"/>
      </fieldsUsage>
    </cacheHierarchy>
    <cacheHierarchy uniqueName="[Measures].[Sum of Volume 2022 2]" caption="Sum of Volume 2022 2" measure="1" displayFolder="" measureGroup="Table7" count="0" hidden="1"/>
    <cacheHierarchy uniqueName="[Measures].[Sum of Volume 2023 2]" caption="Sum of Volume 2023 2" measure="1" displayFolder="" measureGroup="Table7" count="0" hidden="1"/>
    <cacheHierarchy uniqueName="[Measures].[Sum of Volume YTD 2024]" caption="Sum of Volume YTD 2024" measure="1" displayFolder="" measureGroup="Table7" count="0" hidden="1"/>
    <cacheHierarchy uniqueName="[Measures].[Sum of Total Value 2]" caption="Sum of Total Value 2" measure="1" displayFolder="" measureGroup="Table7" count="0" oneField="1" hidden="1">
      <fieldsUsage count="1">
        <fieldUsage x="5"/>
      </fieldsUsage>
    </cacheHierarchy>
    <cacheHierarchy uniqueName="[Measures].[Sum of Volume 2022 3]" caption="Sum of Volume 2022 3" measure="1" displayFolder="" measureGroup="Table2" count="0" hidden="1"/>
    <cacheHierarchy uniqueName="[Measures].[Sum of Volume 2023 3]" caption="Sum of Volume 2023 3" measure="1" displayFolder="" measureGroup="Table2" count="0" hidden="1"/>
    <cacheHierarchy uniqueName="[Measures].[Sum of 2023 3]" caption="Sum of 2023 3" measure="1" displayFolder="" measureGroup="Table2" count="0" hidden="1"/>
    <cacheHierarchy uniqueName="[Measures].[Average of 2023]" caption="Average of 2023" measure="1" displayFolder="" measureGroup="Table2" count="0" hidden="1"/>
    <cacheHierarchy uniqueName="[Measures].[Sum of Volume YTD 2024 2]" caption="Sum of Volume YTD 2024 2" measure="1" displayFolder="" measureGroup="Table2" count="0" hidden="1"/>
    <cacheHierarchy uniqueName="[Measures].[Sum of YTD 24]" caption="Sum of YTD 24" measure="1" displayFolder="" measureGroup="Table2" count="0" hidden="1"/>
    <cacheHierarchy uniqueName="[Measures].[Average of YTD 24]" caption="Average of YTD 24" measure="1" displayFolder="" measureGroup="Table2" count="0" hidden="1"/>
    <cacheHierarchy uniqueName="[Measures].[Sum of Price 2022 3]" caption="Sum of Price 2022 3" measure="1" displayFolder="" measureGroup="Table2" count="0" hidden="1"/>
    <cacheHierarchy uniqueName="[Measures].[Sum of Price 2023 3]" caption="Sum of Price 2023 3" measure="1" displayFolder="" measureGroup="Table2" count="0" hidden="1"/>
    <cacheHierarchy uniqueName="[Measures].[Sum of Price 2024 2]" caption="Sum of Price 2024 2" measure="1" displayFolder="" measureGroup="Table2" count="0" hidden="1"/>
    <cacheHierarchy uniqueName="[Measures].[Sum of Average Value]" caption="Sum of Average Value" measure="1" displayFolder="" measureGroup="Table4_1" count="0" hidden="1"/>
    <cacheHierarchy uniqueName="[Measures].[Sum of Volume 2022 4]" caption="Sum of Volume 2022 4" measure="1" displayFolder="" measureGroup="Table4_1" count="0" hidden="1"/>
    <cacheHierarchy uniqueName="[Measures].[Sum of Volume 2023 4]" caption="Sum of Volume 2023 4" measure="1" displayFolder="" measureGroup="Table4_1" count="0" hidden="1"/>
    <cacheHierarchy uniqueName="[Measures].[Sum of Volume 2024 2]" caption="Sum of Volume 2024 2" measure="1" displayFolder="" measureGroup="Table4_1" count="0" hidden="1"/>
    <cacheHierarchy uniqueName="[Measures].[Sum of Average Volume]" caption="Sum of Average Volume" measure="1" displayFolder="" measureGroup="Table4_1" count="0" hidden="1"/>
    <cacheHierarchy uniqueName="[Measures].[Sum of Average Price]" caption="Sum of Average Price" measure="1" displayFolder="" measureGroup="Table4_1" count="0" hidden="1"/>
    <cacheHierarchy uniqueName="[Measures].[Count of PACKAGE SIZE]" caption="Count of PACKAGE SIZE" measure="1" displayFolder="" measureGroup="Table2" count="0" hidden="1"/>
    <cacheHierarchy uniqueName="[Measures].[Count of Volume 2022]" caption="Count of Volume 2022" measure="1" displayFolder="" measureGroup="Table2" count="0" hidden="1"/>
    <cacheHierarchy uniqueName="[Measures].[Count of 2022]" caption="Count of 2022" measure="1" displayFolder="" measureGroup="Table2" count="0" hidden="1"/>
    <cacheHierarchy uniqueName="[Measures].[Count of Volume 2023]" caption="Count of Volume 2023" measure="1" displayFolder="" measureGroup="Table2" count="0" hidden="1"/>
    <cacheHierarchy uniqueName="[Measures].[Sum of Total Value 3]" caption="Sum of Total Value 3" measure="1" displayFolder="" measureGroup="Table1" count="0" hidden="1"/>
    <cacheHierarchy uniqueName="[Measures].[Sum of YOY Growth 23 3]" caption="Sum of YOY Growth 23 3" measure="1" displayFolder="" measureGroup="Table2" count="0" hidden="1"/>
    <cacheHierarchy uniqueName="[Measures].[Sum of Total Value 4]" caption="Sum of Total Value 4" measure="1" displayFolder="" measureGroup="Table2" count="0" hidden="1"/>
    <cacheHierarchy uniqueName="[Measures].[Sum of YTD Growth 24]" caption="Sum of YTD Growth 24" measure="1" displayFolder="" measureGroup="Table2" count="0" hidden="1"/>
    <cacheHierarchy uniqueName="[Measures].[Sum of 2022 3]" caption="Sum of 2022 3" measure="1" displayFolder="" measureGroup="Table1" count="0" hidden="1"/>
    <cacheHierarchy uniqueName="[Measures].[Sum of Volume 2022 5]" caption="Sum of Volume 2022 5" measure="1" displayFolder="" measureGroup="Table1" count="0" hidden="1"/>
  </cacheHierarchies>
  <kpis count="0"/>
  <dimensions count="6">
    <dimension measure="1" name="Measures" uniqueName="[Measures]" caption="Measures"/>
    <dimension name="Table1" uniqueName="[Table1]" caption="Table1"/>
    <dimension name="Table2" uniqueName="[Table2]" caption="Table2"/>
    <dimension name="Table4" uniqueName="[Table4]" caption="Table4"/>
    <dimension name="Table4_1" uniqueName="[Table4_1]" caption="Table4_1"/>
    <dimension name="Table7" uniqueName="[Table7]" caption="Table7"/>
  </dimensions>
  <measureGroups count="5">
    <measureGroup name="Table1" caption="Table1"/>
    <measureGroup name="Table2" caption="Table2"/>
    <measureGroup name="Table4" caption="Table4"/>
    <measureGroup name="Table4_1" caption="Table4_1"/>
    <measureGroup name="Table7" caption="Table7"/>
  </measureGroups>
  <maps count="6">
    <map measureGroup="0" dimension="1"/>
    <map measureGroup="1" dimension="2"/>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7.897950925922" backgroundQuery="1" createdVersion="8" refreshedVersion="8" minRefreshableVersion="3" recordCount="0" supportSubquery="1" supportAdvancedDrill="1" xr:uid="{B57C267A-75F2-4E65-9DC1-4448324C371C}">
  <cacheSource type="external" connectionId="2"/>
  <cacheFields count="6">
    <cacheField name="[Table2].[PROTECTION / CARE].[PROTECTION / CARE]" caption="PROTECTION / CARE" numFmtId="0" hierarchy="17" level="1">
      <sharedItems containsSemiMixedTypes="0" containsNonDate="0" containsString="0"/>
    </cacheField>
    <cacheField name="[Table2].[PACKAGE SIZE].[PACKAGE SIZE]" caption="PACKAGE SIZE" numFmtId="0" hierarchy="18" level="1">
      <sharedItems count="36">
        <s v="10"/>
        <s v="100"/>
        <s v="102"/>
        <s v="110"/>
        <s v="12"/>
        <s v="120"/>
        <s v="130"/>
        <s v="140"/>
        <s v="144"/>
        <s v="15"/>
        <s v="20"/>
        <s v="24"/>
        <s v="240"/>
        <s v="25"/>
        <s v="28"/>
        <s v="30"/>
        <s v="37"/>
        <s v="40"/>
        <s v="42.0000"/>
        <s v="48"/>
        <s v="50"/>
        <s v="52"/>
        <s v="54"/>
        <s v="56"/>
        <s v="57"/>
        <s v="60"/>
        <s v="63"/>
        <s v="64"/>
        <s v="66"/>
        <s v="70"/>
        <s v="72"/>
        <s v="75"/>
        <s v="80"/>
        <s v="88"/>
        <s v="90"/>
        <s v="96"/>
      </sharedItems>
    </cacheField>
    <cacheField name="[Measures].[Count of Volume 2022]" caption="Count of Volume 2022" numFmtId="0" hierarchy="105" level="32767"/>
    <cacheField name="[Table1].[BRAND].[BRAND]" caption="BRAND" numFmtId="0" hierarchy="1" level="1">
      <sharedItems containsSemiMixedTypes="0" containsNonDate="0" containsString="0"/>
    </cacheField>
    <cacheField name="[Table1].[MANUFACTURER2].[MANUFACTURER2]" caption="MANUFACTURER2" numFmtId="0" level="1">
      <sharedItems containsSemiMixedTypes="0" containsNonDate="0" containsString="0"/>
    </cacheField>
    <cacheField name="[Table1].[Package Type].[Package Type]" caption="Package Type" numFmtId="0" hierarchy="4" level="1">
      <sharedItems containsSemiMixedTypes="0" containsNonDate="0" containsString="0"/>
    </cacheField>
  </cacheFields>
  <cacheHierarchies count="114">
    <cacheHierarchy uniqueName="[Table1].[MANUFACTURER2]" caption="MANUFACTURER2" attribute="1" defaultMemberUniqueName="[Table1].[MANUFACTURER2].[All]" allUniqueName="[Table1].[MANUFACTURER2].[All]" dimensionUniqueName="[Table1]" displayFolder="" count="2" memberValueDatatype="130" unbalanced="0">
      <fieldsUsage count="2">
        <fieldUsage x="-1"/>
        <fieldUsage x="4"/>
      </fieldsUsage>
    </cacheHierarchy>
    <cacheHierarchy uniqueName="[Table1].[BRAND]" caption="BRAND" attribute="1" defaultMemberUniqueName="[Table1].[BRAND].[All]" allUniqueName="[Table1].[BRAND].[All]" dimensionUniqueName="[Table1]" displayFolder="" count="2" memberValueDatatype="130" unbalanced="0">
      <fieldsUsage count="2">
        <fieldUsage x="-1"/>
        <fieldUsage x="3"/>
      </fieldsUsage>
    </cacheHierarchy>
    <cacheHierarchy uniqueName="[Table1].[Company]" caption="Company" attribute="1" defaultMemberUniqueName="[Table1].[Company].[All]" allUniqueName="[Table1].[Compan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ackage Type]" caption="Package Type" attribute="1" defaultMemberUniqueName="[Table1].[Package Type].[All]" allUniqueName="[Table1].[Package Type].[All]" dimensionUniqueName="[Table1]" displayFolder="" count="2" memberValueDatatype="130" unbalanced="0">
      <fieldsUsage count="2">
        <fieldUsage x="-1"/>
        <fieldUsage x="5"/>
      </fieldsUsage>
    </cacheHierarchy>
    <cacheHierarchy uniqueName="[Table1].[Protection/Care]" caption="Protection/Care" attribute="1" defaultMemberUniqueName="[Table1].[Protection/Care].[All]" allUniqueName="[Table1].[Protection/Care].[All]" dimensionUniqueName="[Table1]" displayFolder="" count="0" memberValueDatatype="130" unbalanced="0"/>
    <cacheHierarchy uniqueName="[Table1].[Package Size]" caption="Package Size" attribute="1" defaultMemberUniqueName="[Table1].[Package Size].[All]" allUniqueName="[Table1].[Package Size].[All]" dimensionUniqueName="[Table1]" displayFolder="" count="0" memberValueDatatype="130" unbalanced="0"/>
    <cacheHierarchy uniqueName="[Table1].[2022]" caption="2022" attribute="1" defaultMemberUniqueName="[Table1].[2022].[All]" allUniqueName="[Table1].[2022].[All]" dimensionUniqueName="[Table1]" displayFolder="" count="0" memberValueDatatype="5" unbalanced="0"/>
    <cacheHierarchy uniqueName="[Table1].[2023]" caption="2023" attribute="1" defaultMemberUniqueName="[Table1].[2023].[All]" allUniqueName="[Table1].[2023].[All]" dimensionUniqueName="[Table1]" displayFolder="" count="0" memberValueDatatype="5" unbalanced="0"/>
    <cacheHierarchy uniqueName="[Table1].[YTD 2024]" caption="YTD 2024" attribute="1" defaultMemberUniqueName="[Table1].[YTD 2024].[All]" allUniqueName="[Table1].[YTD 2024].[All]" dimensionUniqueName="[Table1]" displayFolder="" count="0" memberValueDatatype="5" unbalanced="0"/>
    <cacheHierarchy uniqueName="[Table1].[Volume 2022]" caption="Volume 2022" attribute="1" defaultMemberUniqueName="[Table1].[Volume 2022].[All]" allUniqueName="[Table1].[Volume 2022].[All]" dimensionUniqueName="[Table1]" displayFolder="" count="0" memberValueDatatype="5" unbalanced="0"/>
    <cacheHierarchy uniqueName="[Table1].[Volume 2023]" caption="Volume 2023" attribute="1" defaultMemberUniqueName="[Table1].[Volume 2023].[All]" allUniqueName="[Table1].[Volume 2023].[All]" dimensionUniqueName="[Table1]" displayFolder="" count="0" memberValueDatatype="5" unbalanced="0"/>
    <cacheHierarchy uniqueName="[Table1].[Volume YTD 2024]" caption="Volume YTD 2024" attribute="1" defaultMemberUniqueName="[Table1].[Volume YTD 2024].[All]" allUniqueName="[Table1].[Volume YTD 2024].[All]" dimensionUniqueName="[Table1]" displayFolder="" count="0" memberValueDatatype="5" unbalanced="0"/>
    <cacheHierarchy uniqueName="[Table1].[Total Value]" caption="Total Value" attribute="1" defaultMemberUniqueName="[Table1].[Total Value].[All]" allUniqueName="[Table1].[Total Value].[All]" dimensionUniqueName="[Table1]" displayFolder="" count="0" memberValueDatatype="5" unbalanced="0"/>
    <cacheHierarchy uniqueName="[Table2].[PRODUCT]" caption="PRODUCT" attribute="1" defaultMemberUniqueName="[Table2].[PRODUCT].[All]" allUniqueName="[Table2].[PRODUCT].[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PACKAGE TYPE]" caption="PACKAGE TYPE" attribute="1" defaultMemberUniqueName="[Table2].[PACKAGE TYPE].[All]" allUniqueName="[Table2].[PACKAGE TYPE].[All]" dimensionUniqueName="[Table2]" displayFolder="" count="0" memberValueDatatype="130" unbalanced="0"/>
    <cacheHierarchy uniqueName="[Table2].[PROTECTION / CARE]" caption="PROTECTION / CARE" attribute="1" defaultMemberUniqueName="[Table2].[PROTECTION / CARE].[All]" allUniqueName="[Table2].[PROTECTION / CARE].[All]" dimensionUniqueName="[Table2]" displayFolder="" count="2" memberValueDatatype="130" unbalanced="0">
      <fieldsUsage count="2">
        <fieldUsage x="-1"/>
        <fieldUsage x="0"/>
      </fieldsUsage>
    </cacheHierarchy>
    <cacheHierarchy uniqueName="[Table2].[PACKAGE SIZE]" caption="PACKAGE SIZE" attribute="1" defaultMemberUniqueName="[Table2].[PACKAGE SIZE].[All]" allUniqueName="[Table2].[PACKAGE SIZE].[All]" dimensionUniqueName="[Table2]" displayFolder="" count="2" memberValueDatatype="130" unbalanced="0">
      <fieldsUsage count="2">
        <fieldUsage x="-1"/>
        <fieldUsage x="1"/>
      </fieldsUsage>
    </cacheHierarchy>
    <cacheHierarchy uniqueName="[Table2].[2022]" caption="2022" attribute="1" defaultMemberUniqueName="[Table2].[2022].[All]" allUniqueName="[Table2].[2022].[All]" dimensionUniqueName="[Table2]" displayFolder="" count="0" memberValueDatatype="130" unbalanced="0"/>
    <cacheHierarchy uniqueName="[Table2].[2023]" caption="2023" attribute="1" defaultMemberUniqueName="[Table2].[2023].[All]" allUniqueName="[Table2].[2023].[All]" dimensionUniqueName="[Table2]" displayFolder="" count="0" memberValueDatatype="5" unbalanced="0"/>
    <cacheHierarchy uniqueName="[Table2].[YTD 24]" caption="YTD 24" attribute="1" defaultMemberUniqueName="[Table2].[YTD 24].[All]" allUniqueName="[Table2].[YTD 24].[All]" dimensionUniqueName="[Table2]" displayFolder="" count="0" memberValueDatatype="5" unbalanced="0"/>
    <cacheHierarchy uniqueName="[Table2].[Volume 2022]" caption="Volume 2022" attribute="1" defaultMemberUniqueName="[Table2].[Volume 2022].[All]" allUniqueName="[Table2].[Volume 2022].[All]" dimensionUniqueName="[Table2]" displayFolder="" count="0" memberValueDatatype="5" unbalanced="0"/>
    <cacheHierarchy uniqueName="[Table2].[Volume 2023]" caption="Volume 2023" attribute="1" defaultMemberUniqueName="[Table2].[Volume 2023].[All]" allUniqueName="[Table2].[Volume 2023].[All]" dimensionUniqueName="[Table2]" displayFolder="" count="0" memberValueDatatype="5" unbalanced="0"/>
    <cacheHierarchy uniqueName="[Table2].[Volume YTD 2024]" caption="Volume YTD 2024" attribute="1" defaultMemberUniqueName="[Table2].[Volume YTD 2024].[All]" allUniqueName="[Table2].[Volume YTD 2024].[All]" dimensionUniqueName="[Table2]" displayFolder="" count="0" memberValueDatatype="5" unbalanced="0"/>
    <cacheHierarchy uniqueName="[Table2].[Total Value]" caption="Total Value" attribute="1" defaultMemberUniqueName="[Table2].[Total Value].[All]" allUniqueName="[Table2].[Total Value].[All]" dimensionUniqueName="[Table2]" displayFolder="" count="0" memberValueDatatype="5" unbalanced="0"/>
    <cacheHierarchy uniqueName="[Table2].[YOY Growth 23]" caption="YOY Growth 23" attribute="1" defaultMemberUniqueName="[Table2].[YOY Growth 23].[All]" allUniqueName="[Table2].[YOY Growth 23].[All]" dimensionUniqueName="[Table2]" displayFolder="" count="0" memberValueDatatype="5" unbalanced="0"/>
    <cacheHierarchy uniqueName="[Table2].[YTD Growth 24]" caption="YTD Growth 24" attribute="1" defaultMemberUniqueName="[Table2].[YTD Growth 24].[All]" allUniqueName="[Table2].[YTD Growth 24].[All]" dimensionUniqueName="[Table2]" displayFolder="" count="0" memberValueDatatype="5" unbalanced="0"/>
    <cacheHierarchy uniqueName="[Table2].[Price 2022]" caption="Price 2022" attribute="1" defaultMemberUniqueName="[Table2].[Price 2022].[All]" allUniqueName="[Table2].[Price 2022].[All]" dimensionUniqueName="[Table2]" displayFolder="" count="0" memberValueDatatype="5" unbalanced="0"/>
    <cacheHierarchy uniqueName="[Table2].[Price 2023]" caption="Price 2023" attribute="1" defaultMemberUniqueName="[Table2].[Price 2023].[All]" allUniqueName="[Table2].[Price 2023].[All]" dimensionUniqueName="[Table2]" displayFolder="" count="0" memberValueDatatype="5" unbalanced="0"/>
    <cacheHierarchy uniqueName="[Table2].[Price 2024]" caption="Price 2024" attribute="1" defaultMemberUniqueName="[Table2].[Price 2024].[All]" allUniqueName="[Table2].[Price 2024].[All]" dimensionUniqueName="[Table2]" displayFolder="" count="0" memberValueDatatype="5" unbalanced="0"/>
    <cacheHierarchy uniqueName="[Table4].[Manufacturer]" caption="Manufacturer" attribute="1" defaultMemberUniqueName="[Table4].[Manufacturer].[All]" allUniqueName="[Table4].[Manufacturer].[All]" dimensionUniqueName="[Table4]" displayFolder="" count="0" memberValueDatatype="130" unbalanced="0"/>
    <cacheHierarchy uniqueName="[Table4].[2022]" caption="2022" attribute="1" defaultMemberUniqueName="[Table4].[2022].[All]" allUniqueName="[Table4].[2022].[All]" dimensionUniqueName="[Table4]" displayFolder="" count="0" memberValueDatatype="5" unbalanced="0"/>
    <cacheHierarchy uniqueName="[Table4].[2023]" caption="2023" attribute="1" defaultMemberUniqueName="[Table4].[2023].[All]" allUniqueName="[Table4].[2023].[All]" dimensionUniqueName="[Table4]" displayFolder="" count="0" memberValueDatatype="5" unbalanced="0"/>
    <cacheHierarchy uniqueName="[Table4].[YTD 2024]" caption="YTD 2024" attribute="1" defaultMemberUniqueName="[Table4].[YTD 2024].[All]" allUniqueName="[Table4].[YTD 2024].[All]" dimensionUniqueName="[Table4]" displayFolder="" count="0" memberValueDatatype="5" unbalanced="0"/>
    <cacheHierarchy uniqueName="[Table4].[Volume 2022]" caption="Volume 2022" attribute="1" defaultMemberUniqueName="[Table4].[Volume 2022].[All]" allUniqueName="[Table4].[Volume 2022].[All]" dimensionUniqueName="[Table4]" displayFolder="" count="0" memberValueDatatype="5" unbalanced="0"/>
    <cacheHierarchy uniqueName="[Table4].[Volume 2023]" caption="Volume 2023" attribute="1" defaultMemberUniqueName="[Table4].[Volume 2023].[All]" allUniqueName="[Table4].[Volume 2023].[All]" dimensionUniqueName="[Table4]" displayFolder="" count="0" memberValueDatatype="5" unbalanced="0"/>
    <cacheHierarchy uniqueName="[Table4].[Volume 2024]" caption="Volume 2024" attribute="1" defaultMemberUniqueName="[Table4].[Volume 2024].[All]" allUniqueName="[Table4].[Volume 2024].[All]" dimensionUniqueName="[Table4]" displayFolder="" count="0" memberValueDatatype="5" unbalanced="0"/>
    <cacheHierarchy uniqueName="[Table4].[Total Value]" caption="Total Value" attribute="1" defaultMemberUniqueName="[Table4].[Total Value].[All]" allUniqueName="[Table4].[Total Value].[All]" dimensionUniqueName="[Table4]" displayFolder="" count="0" memberValueDatatype="5" unbalanced="0"/>
    <cacheHierarchy uniqueName="[Table4].[YoY Growth 23]" caption="YoY Growth 23" attribute="1" defaultMemberUniqueName="[Table4].[YoY Growth 23].[All]" allUniqueName="[Table4].[YoY Growth 23].[All]" dimensionUniqueName="[Table4]" displayFolder="" count="0" memberValueDatatype="5" unbalanced="0"/>
    <cacheHierarchy uniqueName="[Table4].[YTD Growth]" caption="YTD Growth" attribute="1" defaultMemberUniqueName="[Table4].[YTD Growth].[All]" allUniqueName="[Table4].[YTD Growth].[All]" dimensionUniqueName="[Table4]" displayFolder="" count="0" memberValueDatatype="5" unbalanced="0"/>
    <cacheHierarchy uniqueName="[Table4].[Price 2022]" caption="Price 2022" attribute="1" defaultMemberUniqueName="[Table4].[Price 2022].[All]" allUniqueName="[Table4].[Price 2022].[All]" dimensionUniqueName="[Table4]" displayFolder="" count="0" memberValueDatatype="5" unbalanced="0"/>
    <cacheHierarchy uniqueName="[Table4].[Price 2023]" caption="Price 2023" attribute="1" defaultMemberUniqueName="[Table4].[Price 2023].[All]" allUniqueName="[Table4].[Price 2023].[All]" dimensionUniqueName="[Table4]" displayFolder="" count="0" memberValueDatatype="5" unbalanced="0"/>
    <cacheHierarchy uniqueName="[Table4].[Price 2024]" caption="Price 2024" attribute="1" defaultMemberUniqueName="[Table4].[Price 2024].[All]" allUniqueName="[Table4].[Price 2024].[All]" dimensionUniqueName="[Table4]" displayFolder="" count="0" memberValueDatatype="5" unbalanced="0"/>
    <cacheHierarchy uniqueName="[Table4_1].[Manufacturer]" caption="Manufacturer" attribute="1" defaultMemberUniqueName="[Table4_1].[Manufacturer].[All]" allUniqueName="[Table4_1].[Manufacturer].[All]" dimensionUniqueName="[Table4_1]" displayFolder="" count="0" memberValueDatatype="130" unbalanced="0"/>
    <cacheHierarchy uniqueName="[Table4_1].[Average Value]" caption="Average Value" attribute="1" defaultMemberUniqueName="[Table4_1].[Average Value].[All]" allUniqueName="[Table4_1].[Average Value].[All]" dimensionUniqueName="[Table4_1]" displayFolder="" count="0" memberValueDatatype="5" unbalanced="0"/>
    <cacheHierarchy uniqueName="[Table4_1].[Volume 2022]" caption="Volume 2022" attribute="1" defaultMemberUniqueName="[Table4_1].[Volume 2022].[All]" allUniqueName="[Table4_1].[Volume 2022].[All]" dimensionUniqueName="[Table4_1]" displayFolder="" count="0" memberValueDatatype="5" unbalanced="0"/>
    <cacheHierarchy uniqueName="[Table4_1].[Volume 2023]" caption="Volume 2023" attribute="1" defaultMemberUniqueName="[Table4_1].[Volume 2023].[All]" allUniqueName="[Table4_1].[Volume 2023].[All]" dimensionUniqueName="[Table4_1]" displayFolder="" count="0" memberValueDatatype="5" unbalanced="0"/>
    <cacheHierarchy uniqueName="[Table4_1].[Volume 2024]" caption="Volume 2024" attribute="1" defaultMemberUniqueName="[Table4_1].[Volume 2024].[All]" allUniqueName="[Table4_1].[Volume 2024].[All]" dimensionUniqueName="[Table4_1]" displayFolder="" count="0" memberValueDatatype="5" unbalanced="0"/>
    <cacheHierarchy uniqueName="[Table4_1].[Average Volume]" caption="Average Volume" attribute="1" defaultMemberUniqueName="[Table4_1].[Average Volume].[All]" allUniqueName="[Table4_1].[Average Volume].[All]" dimensionUniqueName="[Table4_1]" displayFolder="" count="0" memberValueDatatype="5" unbalanced="0"/>
    <cacheHierarchy uniqueName="[Table4_1].[Average Price]" caption="Average Price" attribute="1" defaultMemberUniqueName="[Table4_1].[Average Price].[All]" allUniqueName="[Table4_1].[Average Price].[All]" dimensionUniqueName="[Table4_1]" displayFolder="" count="0" memberValueDatatype="5" unbalanced="0"/>
    <cacheHierarchy uniqueName="[Table7].[in 000s]" caption="in 000s" attribute="1" defaultMemberUniqueName="[Table7].[in 000s].[All]" allUniqueName="[Table7].[in 000s].[All]" dimensionUniqueName="[Table7]" displayFolder="" count="0" memberValueDatatype="130" unbalanced="0"/>
    <cacheHierarchy uniqueName="[Table7].[2022]" caption="2022" attribute="1" defaultMemberUniqueName="[Table7].[2022].[All]" allUniqueName="[Table7].[2022].[All]" dimensionUniqueName="[Table7]" displayFolder="" count="0" memberValueDatatype="5" unbalanced="0"/>
    <cacheHierarchy uniqueName="[Table7].[2023]" caption="2023" attribute="1" defaultMemberUniqueName="[Table7].[2023].[All]" allUniqueName="[Table7].[2023].[All]" dimensionUniqueName="[Table7]" displayFolder="" count="0" memberValueDatatype="5" unbalanced="0"/>
    <cacheHierarchy uniqueName="[Table7].[YTD 2024]" caption="YTD 2024" attribute="1" defaultMemberUniqueName="[Table7].[YTD 2024].[All]" allUniqueName="[Table7].[YTD 2024].[All]" dimensionUniqueName="[Table7]" displayFolder="" count="0" memberValueDatatype="5" unbalanced="0"/>
    <cacheHierarchy uniqueName="[Table7].[Volume 2022]" caption="Volume 2022" attribute="1" defaultMemberUniqueName="[Table7].[Volume 2022].[All]" allUniqueName="[Table7].[Volume 2022].[All]" dimensionUniqueName="[Table7]" displayFolder="" count="0" memberValueDatatype="5" unbalanced="0"/>
    <cacheHierarchy uniqueName="[Table7].[Volume 2023]" caption="Volume 2023" attribute="1" defaultMemberUniqueName="[Table7].[Volume 2023].[All]" allUniqueName="[Table7].[Volume 2023].[All]" dimensionUniqueName="[Table7]" displayFolder="" count="0" memberValueDatatype="5" unbalanced="0"/>
    <cacheHierarchy uniqueName="[Table7].[Volume YTD 2024]" caption="Volume YTD 2024" attribute="1" defaultMemberUniqueName="[Table7].[Volume YTD 2024].[All]" allUniqueName="[Table7].[Volume YTD 2024].[All]" dimensionUniqueName="[Table7]" displayFolder="" count="0" memberValueDatatype="5" unbalanced="0"/>
    <cacheHierarchy uniqueName="[Table7].[Total Volume]" caption="Total Volume" attribute="1" defaultMemberUniqueName="[Table7].[Total Volume].[All]" allUniqueName="[Table7].[Total Volume].[All]" dimensionUniqueName="[Table7]" displayFolder="" count="0" memberValueDatatype="5" unbalanced="0"/>
    <cacheHierarchy uniqueName="[Table7].[Total Value]" caption="Total Value" attribute="1" defaultMemberUniqueName="[Table7].[Total Value].[All]" allUniqueName="[Table7].[Total Value].[All]" dimensionUniqueName="[Table7]" displayFolder="" count="0" memberValueDatatype="5" unbalanced="0"/>
    <cacheHierarchy uniqueName="[Table7].[YoY growth]" caption="YoY growth" attribute="1" defaultMemberUniqueName="[Table7].[YoY growth].[All]" allUniqueName="[Table7].[YoY growth].[All]" dimensionUniqueName="[Table7]" displayFolder="" count="0" memberValueDatatype="5" unbalanced="0"/>
    <cacheHierarchy uniqueName="[Table7].[Volume growth]" caption="Volume growth" attribute="1" defaultMemberUniqueName="[Table7].[Volume growth].[All]" allUniqueName="[Table7].[Volume growth].[All]" dimensionUniqueName="[Table7]" displayFolder="" count="0" memberValueDatatype="5" unbalanced="0"/>
    <cacheHierarchy uniqueName="[Table7].[price growth]" caption="price growth" attribute="1" defaultMemberUniqueName="[Table7].[price growth].[All]" allUniqueName="[Table7].[price growth].[All]" dimensionUniqueName="[Table7]" displayFolder="" count="0" memberValueDatatype="5" unbalanced="0"/>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4_1]" caption="__XL_Count Table4_1" measure="1" displayFolder="" measureGroup="Table4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2022]" caption="Sum of 2022" measure="1" displayFolder="" measureGroup="Table4" count="0" hidden="1"/>
    <cacheHierarchy uniqueName="[Measures].[Sum of 2023]" caption="Sum of 2023" measure="1" displayFolder="" measureGroup="Table4" count="0" hidden="1"/>
    <cacheHierarchy uniqueName="[Measures].[Sum of YTD 2024]" caption="Sum of YTD 2024" measure="1" displayFolder="" measureGroup="Table4" count="0" hidden="1"/>
    <cacheHierarchy uniqueName="[Measures].[Sum of Volume 2022]" caption="Sum of Volume 2022" measure="1" displayFolder="" measureGroup="Table4" count="0" hidden="1"/>
    <cacheHierarchy uniqueName="[Measures].[Sum of Volume 2023]" caption="Sum of Volume 2023" measure="1" displayFolder="" measureGroup="Table4" count="0" hidden="1"/>
    <cacheHierarchy uniqueName="[Measures].[Sum of Volume 2024]" caption="Sum of Volume 2024" measure="1" displayFolder="" measureGroup="Table4" count="0" hidden="1"/>
    <cacheHierarchy uniqueName="[Measures].[Sum of Total Value]" caption="Sum of Total Value" measure="1" displayFolder="" measureGroup="Table4" count="0" hidden="1"/>
    <cacheHierarchy uniqueName="[Measures].[Sum of YoY Growth 23]" caption="Sum of YoY Growth 23" measure="1" displayFolder="" measureGroup="Table4" count="0" hidden="1"/>
    <cacheHierarchy uniqueName="[Measures].[Sum of YTD Growth]" caption="Sum of YTD Growth" measure="1" displayFolder="" measureGroup="Table4" count="0" hidden="1"/>
    <cacheHierarchy uniqueName="[Measures].[Sum of Price 2022]" caption="Sum of Price 2022" measure="1" displayFolder="" measureGroup="Table4" count="0" hidden="1"/>
    <cacheHierarchy uniqueName="[Measures].[Sum of Price 2023]" caption="Sum of Price 2023" measure="1" displayFolder="" measureGroup="Table4" count="0" hidden="1"/>
    <cacheHierarchy uniqueName="[Measures].[Sum of Price 2024]" caption="Sum of Price 2024" measure="1" displayFolder="" measureGroup="Table4" count="0" hidden="1"/>
    <cacheHierarchy uniqueName="[Measures].[Sum of 2022 2]" caption="Sum of 2022 2" measure="1" displayFolder="" measureGroup="Table7" count="0" hidden="1"/>
    <cacheHierarchy uniqueName="[Measures].[Sum of 2023 2]" caption="Sum of 2023 2" measure="1" displayFolder="" measureGroup="Table7" count="0" hidden="1"/>
    <cacheHierarchy uniqueName="[Measures].[Sum of YTD 2024 2]" caption="Sum of YTD 2024 2" measure="1" displayFolder="" measureGroup="Table7" count="0" hidden="1"/>
    <cacheHierarchy uniqueName="[Measures].[Sum of Volume 2022 2]" caption="Sum of Volume 2022 2" measure="1" displayFolder="" measureGroup="Table7" count="0" hidden="1"/>
    <cacheHierarchy uniqueName="[Measures].[Sum of Volume 2023 2]" caption="Sum of Volume 2023 2" measure="1" displayFolder="" measureGroup="Table7" count="0" hidden="1"/>
    <cacheHierarchy uniqueName="[Measures].[Sum of Volume YTD 2024]" caption="Sum of Volume YTD 2024" measure="1" displayFolder="" measureGroup="Table7" count="0" hidden="1"/>
    <cacheHierarchy uniqueName="[Measures].[Sum of Total Value 2]" caption="Sum of Total Value 2" measure="1" displayFolder="" measureGroup="Table7" count="0" hidden="1"/>
    <cacheHierarchy uniqueName="[Measures].[Sum of Volume 2022 3]" caption="Sum of Volume 2022 3" measure="1" displayFolder="" measureGroup="Table2" count="0" hidden="1"/>
    <cacheHierarchy uniqueName="[Measures].[Sum of Volume 2023 3]" caption="Sum of Volume 2023 3" measure="1" displayFolder="" measureGroup="Table2" count="0" hidden="1"/>
    <cacheHierarchy uniqueName="[Measures].[Sum of 2023 3]" caption="Sum of 2023 3" measure="1" displayFolder="" measureGroup="Table2" count="0" hidden="1"/>
    <cacheHierarchy uniqueName="[Measures].[Average of 2023]" caption="Average of 2023" measure="1" displayFolder="" measureGroup="Table2" count="0" hidden="1"/>
    <cacheHierarchy uniqueName="[Measures].[Sum of Volume YTD 2024 2]" caption="Sum of Volume YTD 2024 2" measure="1" displayFolder="" measureGroup="Table2" count="0" hidden="1"/>
    <cacheHierarchy uniqueName="[Measures].[Sum of YTD 24]" caption="Sum of YTD 24" measure="1" displayFolder="" measureGroup="Table2" count="0" hidden="1"/>
    <cacheHierarchy uniqueName="[Measures].[Average of YTD 24]" caption="Average of YTD 24" measure="1" displayFolder="" measureGroup="Table2" count="0" hidden="1"/>
    <cacheHierarchy uniqueName="[Measures].[Sum of Price 2022 3]" caption="Sum of Price 2022 3" measure="1" displayFolder="" measureGroup="Table2" count="0" hidden="1"/>
    <cacheHierarchy uniqueName="[Measures].[Sum of Price 2023 3]" caption="Sum of Price 2023 3" measure="1" displayFolder="" measureGroup="Table2" count="0" hidden="1"/>
    <cacheHierarchy uniqueName="[Measures].[Sum of Price 2024 2]" caption="Sum of Price 2024 2" measure="1" displayFolder="" measureGroup="Table2" count="0" hidden="1"/>
    <cacheHierarchy uniqueName="[Measures].[Sum of Average Value]" caption="Sum of Average Value" measure="1" displayFolder="" measureGroup="Table4_1" count="0" hidden="1"/>
    <cacheHierarchy uniqueName="[Measures].[Sum of Volume 2022 4]" caption="Sum of Volume 2022 4" measure="1" displayFolder="" measureGroup="Table4_1" count="0" hidden="1"/>
    <cacheHierarchy uniqueName="[Measures].[Sum of Volume 2023 4]" caption="Sum of Volume 2023 4" measure="1" displayFolder="" measureGroup="Table4_1" count="0" hidden="1"/>
    <cacheHierarchy uniqueName="[Measures].[Sum of Volume 2024 2]" caption="Sum of Volume 2024 2" measure="1" displayFolder="" measureGroup="Table4_1" count="0" hidden="1"/>
    <cacheHierarchy uniqueName="[Measures].[Sum of Average Volume]" caption="Sum of Average Volume" measure="1" displayFolder="" measureGroup="Table4_1" count="0" hidden="1"/>
    <cacheHierarchy uniqueName="[Measures].[Sum of Average Price]" caption="Sum of Average Price" measure="1" displayFolder="" measureGroup="Table4_1" count="0" hidden="1"/>
    <cacheHierarchy uniqueName="[Measures].[Count of PACKAGE SIZE]" caption="Count of PACKAGE SIZE" measure="1" displayFolder="" measureGroup="Table2" count="0" hidden="1"/>
    <cacheHierarchy uniqueName="[Measures].[Count of Volume 2022]" caption="Count of Volume 2022" measure="1" displayFolder="" measureGroup="Table2" count="0" oneField="1" hidden="1">
      <fieldsUsage count="1">
        <fieldUsage x="2"/>
      </fieldsUsage>
    </cacheHierarchy>
    <cacheHierarchy uniqueName="[Measures].[Count of 2022]" caption="Count of 2022" measure="1" displayFolder="" measureGroup="Table2" count="0" hidden="1"/>
    <cacheHierarchy uniqueName="[Measures].[Count of Volume 2023]" caption="Count of Volume 2023" measure="1" displayFolder="" measureGroup="Table2" count="0" hidden="1"/>
    <cacheHierarchy uniqueName="[Measures].[Sum of Total Value 3]" caption="Sum of Total Value 3" measure="1" displayFolder="" measureGroup="Table1" count="0" hidden="1"/>
    <cacheHierarchy uniqueName="[Measures].[Sum of YOY Growth 23 3]" caption="Sum of YOY Growth 23 3" measure="1" displayFolder="" measureGroup="Table2" count="0" hidden="1"/>
    <cacheHierarchy uniqueName="[Measures].[Sum of Total Value 4]" caption="Sum of Total Value 4" measure="1" displayFolder="" measureGroup="Table2" count="0" hidden="1"/>
    <cacheHierarchy uniqueName="[Measures].[Sum of YTD Growth 24]" caption="Sum of YTD Growth 24" measure="1" displayFolder="" measureGroup="Table2" count="0" hidden="1"/>
    <cacheHierarchy uniqueName="[Measures].[Sum of 2022 3]" caption="Sum of 2022 3" measure="1" displayFolder="" measureGroup="Table1" count="0" hidden="1"/>
    <cacheHierarchy uniqueName="[Measures].[Sum of Volume 2022 5]" caption="Sum of Volume 2022 5" measure="1" displayFolder="" measureGroup="Table1" count="0" hidden="1"/>
  </cacheHierarchies>
  <kpis count="0"/>
  <dimensions count="6">
    <dimension measure="1" name="Measures" uniqueName="[Measures]" caption="Measures"/>
    <dimension name="Table1" uniqueName="[Table1]" caption="Table1"/>
    <dimension name="Table2" uniqueName="[Table2]" caption="Table2"/>
    <dimension name="Table4" uniqueName="[Table4]" caption="Table4"/>
    <dimension name="Table4_1" uniqueName="[Table4_1]" caption="Table4_1"/>
    <dimension name="Table7" uniqueName="[Table7]" caption="Table7"/>
  </dimensions>
  <measureGroups count="5">
    <measureGroup name="Table1" caption="Table1"/>
    <measureGroup name="Table2" caption="Table2"/>
    <measureGroup name="Table4" caption="Table4"/>
    <measureGroup name="Table4_1" caption="Table4_1"/>
    <measureGroup name="Table7" caption="Table7"/>
  </measureGroups>
  <maps count="6">
    <map measureGroup="0" dimension="1"/>
    <map measureGroup="1" dimension="2"/>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7.897958680558" backgroundQuery="1" createdVersion="8" refreshedVersion="8" minRefreshableVersion="3" recordCount="0" supportSubquery="1" supportAdvancedDrill="1" xr:uid="{8924F32C-05C2-4327-90BD-8A3EF57A238A}">
  <cacheSource type="external" connectionId="2"/>
  <cacheFields count="5">
    <cacheField name="[Table1].[BRAND].[BRAND]" caption="BRAND" numFmtId="0" hierarchy="1" level="1">
      <sharedItems count="10">
        <s v="BABY CARE"/>
        <s v="BABY CREMA"/>
        <s v="COTTON SOFT"/>
        <s v="EVENT"/>
        <s v="FRESHMAKER"/>
        <s v="LARA"/>
        <s v="LINDY"/>
        <s v="MOLFIX"/>
        <s v="PAMPERS"/>
        <s v="RENKLI"/>
      </sharedItems>
    </cacheField>
    <cacheField name="[Table1].[MANUFACTURER2].[MANUFACTURER2]" caption="MANUFACTURER2" numFmtId="0" level="1">
      <sharedItems containsSemiMixedTypes="0" containsNonDate="0" containsString="0"/>
    </cacheField>
    <cacheField name="[Measures].[Sum of Total Value 3]" caption="Sum of Total Value 3" numFmtId="0" hierarchy="108" level="32767"/>
    <cacheField name="[Table2].[PACKAGE SIZE].[PACKAGE SIZE]" caption="PACKAGE SIZE" numFmtId="0" hierarchy="18" level="1">
      <sharedItems containsSemiMixedTypes="0" containsNonDate="0" containsString="0"/>
    </cacheField>
    <cacheField name="[Table1].[Package Type].[Package Type]" caption="Package Type" numFmtId="0" hierarchy="4" level="1">
      <sharedItems containsSemiMixedTypes="0" containsNonDate="0" containsString="0"/>
    </cacheField>
  </cacheFields>
  <cacheHierarchies count="114">
    <cacheHierarchy uniqueName="[Table1].[MANUFACTURER2]" caption="MANUFACTURER2" attribute="1" defaultMemberUniqueName="[Table1].[MANUFACTURER2].[All]" allUniqueName="[Table1].[MANUFACTURER2].[All]" dimensionUniqueName="[Table1]" displayFolder="" count="2" memberValueDatatype="130" unbalanced="0">
      <fieldsUsage count="2">
        <fieldUsage x="-1"/>
        <fieldUsage x="1"/>
      </fieldsUsage>
    </cacheHierarchy>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Company]" caption="Company" attribute="1" defaultMemberUniqueName="[Table1].[Company].[All]" allUniqueName="[Table1].[Compan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ackage Type]" caption="Package Type" attribute="1" defaultMemberUniqueName="[Table1].[Package Type].[All]" allUniqueName="[Table1].[Package Type].[All]" dimensionUniqueName="[Table1]" displayFolder="" count="2" memberValueDatatype="130" unbalanced="0">
      <fieldsUsage count="2">
        <fieldUsage x="-1"/>
        <fieldUsage x="4"/>
      </fieldsUsage>
    </cacheHierarchy>
    <cacheHierarchy uniqueName="[Table1].[Protection/Care]" caption="Protection/Care" attribute="1" defaultMemberUniqueName="[Table1].[Protection/Care].[All]" allUniqueName="[Table1].[Protection/Care].[All]" dimensionUniqueName="[Table1]" displayFolder="" count="0" memberValueDatatype="130" unbalanced="0"/>
    <cacheHierarchy uniqueName="[Table1].[Package Size]" caption="Package Size" attribute="1" defaultMemberUniqueName="[Table1].[Package Size].[All]" allUniqueName="[Table1].[Package Size].[All]" dimensionUniqueName="[Table1]" displayFolder="" count="0" memberValueDatatype="130" unbalanced="0"/>
    <cacheHierarchy uniqueName="[Table1].[2022]" caption="2022" attribute="1" defaultMemberUniqueName="[Table1].[2022].[All]" allUniqueName="[Table1].[2022].[All]" dimensionUniqueName="[Table1]" displayFolder="" count="0" memberValueDatatype="5" unbalanced="0"/>
    <cacheHierarchy uniqueName="[Table1].[2023]" caption="2023" attribute="1" defaultMemberUniqueName="[Table1].[2023].[All]" allUniqueName="[Table1].[2023].[All]" dimensionUniqueName="[Table1]" displayFolder="" count="0" memberValueDatatype="5" unbalanced="0"/>
    <cacheHierarchy uniqueName="[Table1].[YTD 2024]" caption="YTD 2024" attribute="1" defaultMemberUniqueName="[Table1].[YTD 2024].[All]" allUniqueName="[Table1].[YTD 2024].[All]" dimensionUniqueName="[Table1]" displayFolder="" count="0" memberValueDatatype="5" unbalanced="0"/>
    <cacheHierarchy uniqueName="[Table1].[Volume 2022]" caption="Volume 2022" attribute="1" defaultMemberUniqueName="[Table1].[Volume 2022].[All]" allUniqueName="[Table1].[Volume 2022].[All]" dimensionUniqueName="[Table1]" displayFolder="" count="0" memberValueDatatype="5" unbalanced="0"/>
    <cacheHierarchy uniqueName="[Table1].[Volume 2023]" caption="Volume 2023" attribute="1" defaultMemberUniqueName="[Table1].[Volume 2023].[All]" allUniqueName="[Table1].[Volume 2023].[All]" dimensionUniqueName="[Table1]" displayFolder="" count="0" memberValueDatatype="5" unbalanced="0"/>
    <cacheHierarchy uniqueName="[Table1].[Volume YTD 2024]" caption="Volume YTD 2024" attribute="1" defaultMemberUniqueName="[Table1].[Volume YTD 2024].[All]" allUniqueName="[Table1].[Volume YTD 2024].[All]" dimensionUniqueName="[Table1]" displayFolder="" count="0" memberValueDatatype="5" unbalanced="0"/>
    <cacheHierarchy uniqueName="[Table1].[Total Value]" caption="Total Value" attribute="1" defaultMemberUniqueName="[Table1].[Total Value].[All]" allUniqueName="[Table1].[Total Value].[All]" dimensionUniqueName="[Table1]" displayFolder="" count="0" memberValueDatatype="5" unbalanced="0"/>
    <cacheHierarchy uniqueName="[Table2].[PRODUCT]" caption="PRODUCT" attribute="1" defaultMemberUniqueName="[Table2].[PRODUCT].[All]" allUniqueName="[Table2].[PRODUCT].[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PACKAGE TYPE]" caption="PACKAGE TYPE" attribute="1" defaultMemberUniqueName="[Table2].[PACKAGE TYPE].[All]" allUniqueName="[Table2].[PACKAGE TYPE].[All]" dimensionUniqueName="[Table2]" displayFolder="" count="0" memberValueDatatype="130" unbalanced="0"/>
    <cacheHierarchy uniqueName="[Table2].[PROTECTION / CARE]" caption="PROTECTION / CARE" attribute="1" defaultMemberUniqueName="[Table2].[PROTECTION / CARE].[All]" allUniqueName="[Table2].[PROTECTION / CARE].[All]" dimensionUniqueName="[Table2]" displayFolder="" count="0" memberValueDatatype="130" unbalanced="0"/>
    <cacheHierarchy uniqueName="[Table2].[PACKAGE SIZE]" caption="PACKAGE SIZE" attribute="1" defaultMemberUniqueName="[Table2].[PACKAGE SIZE].[All]" allUniqueName="[Table2].[PACKAGE SIZE].[All]" dimensionUniqueName="[Table2]" displayFolder="" count="2" memberValueDatatype="130" unbalanced="0">
      <fieldsUsage count="2">
        <fieldUsage x="-1"/>
        <fieldUsage x="3"/>
      </fieldsUsage>
    </cacheHierarchy>
    <cacheHierarchy uniqueName="[Table2].[2022]" caption="2022" attribute="1" defaultMemberUniqueName="[Table2].[2022].[All]" allUniqueName="[Table2].[2022].[All]" dimensionUniqueName="[Table2]" displayFolder="" count="0" memberValueDatatype="130" unbalanced="0"/>
    <cacheHierarchy uniqueName="[Table2].[2023]" caption="2023" attribute="1" defaultMemberUniqueName="[Table2].[2023].[All]" allUniqueName="[Table2].[2023].[All]" dimensionUniqueName="[Table2]" displayFolder="" count="0" memberValueDatatype="5" unbalanced="0"/>
    <cacheHierarchy uniqueName="[Table2].[YTD 24]" caption="YTD 24" attribute="1" defaultMemberUniqueName="[Table2].[YTD 24].[All]" allUniqueName="[Table2].[YTD 24].[All]" dimensionUniqueName="[Table2]" displayFolder="" count="0" memberValueDatatype="5" unbalanced="0"/>
    <cacheHierarchy uniqueName="[Table2].[Volume 2022]" caption="Volume 2022" attribute="1" defaultMemberUniqueName="[Table2].[Volume 2022].[All]" allUniqueName="[Table2].[Volume 2022].[All]" dimensionUniqueName="[Table2]" displayFolder="" count="0" memberValueDatatype="5" unbalanced="0"/>
    <cacheHierarchy uniqueName="[Table2].[Volume 2023]" caption="Volume 2023" attribute="1" defaultMemberUniqueName="[Table2].[Volume 2023].[All]" allUniqueName="[Table2].[Volume 2023].[All]" dimensionUniqueName="[Table2]" displayFolder="" count="0" memberValueDatatype="5" unbalanced="0"/>
    <cacheHierarchy uniqueName="[Table2].[Volume YTD 2024]" caption="Volume YTD 2024" attribute="1" defaultMemberUniqueName="[Table2].[Volume YTD 2024].[All]" allUniqueName="[Table2].[Volume YTD 2024].[All]" dimensionUniqueName="[Table2]" displayFolder="" count="0" memberValueDatatype="5" unbalanced="0"/>
    <cacheHierarchy uniqueName="[Table2].[Total Value]" caption="Total Value" attribute="1" defaultMemberUniqueName="[Table2].[Total Value].[All]" allUniqueName="[Table2].[Total Value].[All]" dimensionUniqueName="[Table2]" displayFolder="" count="0" memberValueDatatype="5" unbalanced="0"/>
    <cacheHierarchy uniqueName="[Table2].[YOY Growth 23]" caption="YOY Growth 23" attribute="1" defaultMemberUniqueName="[Table2].[YOY Growth 23].[All]" allUniqueName="[Table2].[YOY Growth 23].[All]" dimensionUniqueName="[Table2]" displayFolder="" count="0" memberValueDatatype="5" unbalanced="0"/>
    <cacheHierarchy uniqueName="[Table2].[YTD Growth 24]" caption="YTD Growth 24" attribute="1" defaultMemberUniqueName="[Table2].[YTD Growth 24].[All]" allUniqueName="[Table2].[YTD Growth 24].[All]" dimensionUniqueName="[Table2]" displayFolder="" count="0" memberValueDatatype="5" unbalanced="0"/>
    <cacheHierarchy uniqueName="[Table2].[Price 2022]" caption="Price 2022" attribute="1" defaultMemberUniqueName="[Table2].[Price 2022].[All]" allUniqueName="[Table2].[Price 2022].[All]" dimensionUniqueName="[Table2]" displayFolder="" count="0" memberValueDatatype="5" unbalanced="0"/>
    <cacheHierarchy uniqueName="[Table2].[Price 2023]" caption="Price 2023" attribute="1" defaultMemberUniqueName="[Table2].[Price 2023].[All]" allUniqueName="[Table2].[Price 2023].[All]" dimensionUniqueName="[Table2]" displayFolder="" count="0" memberValueDatatype="5" unbalanced="0"/>
    <cacheHierarchy uniqueName="[Table2].[Price 2024]" caption="Price 2024" attribute="1" defaultMemberUniqueName="[Table2].[Price 2024].[All]" allUniqueName="[Table2].[Price 2024].[All]" dimensionUniqueName="[Table2]" displayFolder="" count="0" memberValueDatatype="5" unbalanced="0"/>
    <cacheHierarchy uniqueName="[Table4].[Manufacturer]" caption="Manufacturer" attribute="1" defaultMemberUniqueName="[Table4].[Manufacturer].[All]" allUniqueName="[Table4].[Manufacturer].[All]" dimensionUniqueName="[Table4]" displayFolder="" count="0" memberValueDatatype="130" unbalanced="0"/>
    <cacheHierarchy uniqueName="[Table4].[2022]" caption="2022" attribute="1" defaultMemberUniqueName="[Table4].[2022].[All]" allUniqueName="[Table4].[2022].[All]" dimensionUniqueName="[Table4]" displayFolder="" count="0" memberValueDatatype="5" unbalanced="0"/>
    <cacheHierarchy uniqueName="[Table4].[2023]" caption="2023" attribute="1" defaultMemberUniqueName="[Table4].[2023].[All]" allUniqueName="[Table4].[2023].[All]" dimensionUniqueName="[Table4]" displayFolder="" count="0" memberValueDatatype="5" unbalanced="0"/>
    <cacheHierarchy uniqueName="[Table4].[YTD 2024]" caption="YTD 2024" attribute="1" defaultMemberUniqueName="[Table4].[YTD 2024].[All]" allUniqueName="[Table4].[YTD 2024].[All]" dimensionUniqueName="[Table4]" displayFolder="" count="0" memberValueDatatype="5" unbalanced="0"/>
    <cacheHierarchy uniqueName="[Table4].[Volume 2022]" caption="Volume 2022" attribute="1" defaultMemberUniqueName="[Table4].[Volume 2022].[All]" allUniqueName="[Table4].[Volume 2022].[All]" dimensionUniqueName="[Table4]" displayFolder="" count="0" memberValueDatatype="5" unbalanced="0"/>
    <cacheHierarchy uniqueName="[Table4].[Volume 2023]" caption="Volume 2023" attribute="1" defaultMemberUniqueName="[Table4].[Volume 2023].[All]" allUniqueName="[Table4].[Volume 2023].[All]" dimensionUniqueName="[Table4]" displayFolder="" count="0" memberValueDatatype="5" unbalanced="0"/>
    <cacheHierarchy uniqueName="[Table4].[Volume 2024]" caption="Volume 2024" attribute="1" defaultMemberUniqueName="[Table4].[Volume 2024].[All]" allUniqueName="[Table4].[Volume 2024].[All]" dimensionUniqueName="[Table4]" displayFolder="" count="0" memberValueDatatype="5" unbalanced="0"/>
    <cacheHierarchy uniqueName="[Table4].[Total Value]" caption="Total Value" attribute="1" defaultMemberUniqueName="[Table4].[Total Value].[All]" allUniqueName="[Table4].[Total Value].[All]" dimensionUniqueName="[Table4]" displayFolder="" count="0" memberValueDatatype="5" unbalanced="0"/>
    <cacheHierarchy uniqueName="[Table4].[YoY Growth 23]" caption="YoY Growth 23" attribute="1" defaultMemberUniqueName="[Table4].[YoY Growth 23].[All]" allUniqueName="[Table4].[YoY Growth 23].[All]" dimensionUniqueName="[Table4]" displayFolder="" count="0" memberValueDatatype="5" unbalanced="0"/>
    <cacheHierarchy uniqueName="[Table4].[YTD Growth]" caption="YTD Growth" attribute="1" defaultMemberUniqueName="[Table4].[YTD Growth].[All]" allUniqueName="[Table4].[YTD Growth].[All]" dimensionUniqueName="[Table4]" displayFolder="" count="0" memberValueDatatype="5" unbalanced="0"/>
    <cacheHierarchy uniqueName="[Table4].[Price 2022]" caption="Price 2022" attribute="1" defaultMemberUniqueName="[Table4].[Price 2022].[All]" allUniqueName="[Table4].[Price 2022].[All]" dimensionUniqueName="[Table4]" displayFolder="" count="0" memberValueDatatype="5" unbalanced="0"/>
    <cacheHierarchy uniqueName="[Table4].[Price 2023]" caption="Price 2023" attribute="1" defaultMemberUniqueName="[Table4].[Price 2023].[All]" allUniqueName="[Table4].[Price 2023].[All]" dimensionUniqueName="[Table4]" displayFolder="" count="0" memberValueDatatype="5" unbalanced="0"/>
    <cacheHierarchy uniqueName="[Table4].[Price 2024]" caption="Price 2024" attribute="1" defaultMemberUniqueName="[Table4].[Price 2024].[All]" allUniqueName="[Table4].[Price 2024].[All]" dimensionUniqueName="[Table4]" displayFolder="" count="0" memberValueDatatype="5" unbalanced="0"/>
    <cacheHierarchy uniqueName="[Table4_1].[Manufacturer]" caption="Manufacturer" attribute="1" defaultMemberUniqueName="[Table4_1].[Manufacturer].[All]" allUniqueName="[Table4_1].[Manufacturer].[All]" dimensionUniqueName="[Table4_1]" displayFolder="" count="0" memberValueDatatype="130" unbalanced="0"/>
    <cacheHierarchy uniqueName="[Table4_1].[Average Value]" caption="Average Value" attribute="1" defaultMemberUniqueName="[Table4_1].[Average Value].[All]" allUniqueName="[Table4_1].[Average Value].[All]" dimensionUniqueName="[Table4_1]" displayFolder="" count="0" memberValueDatatype="5" unbalanced="0"/>
    <cacheHierarchy uniqueName="[Table4_1].[Volume 2022]" caption="Volume 2022" attribute="1" defaultMemberUniqueName="[Table4_1].[Volume 2022].[All]" allUniqueName="[Table4_1].[Volume 2022].[All]" dimensionUniqueName="[Table4_1]" displayFolder="" count="0" memberValueDatatype="5" unbalanced="0"/>
    <cacheHierarchy uniqueName="[Table4_1].[Volume 2023]" caption="Volume 2023" attribute="1" defaultMemberUniqueName="[Table4_1].[Volume 2023].[All]" allUniqueName="[Table4_1].[Volume 2023].[All]" dimensionUniqueName="[Table4_1]" displayFolder="" count="0" memberValueDatatype="5" unbalanced="0"/>
    <cacheHierarchy uniqueName="[Table4_1].[Volume 2024]" caption="Volume 2024" attribute="1" defaultMemberUniqueName="[Table4_1].[Volume 2024].[All]" allUniqueName="[Table4_1].[Volume 2024].[All]" dimensionUniqueName="[Table4_1]" displayFolder="" count="0" memberValueDatatype="5" unbalanced="0"/>
    <cacheHierarchy uniqueName="[Table4_1].[Average Volume]" caption="Average Volume" attribute="1" defaultMemberUniqueName="[Table4_1].[Average Volume].[All]" allUniqueName="[Table4_1].[Average Volume].[All]" dimensionUniqueName="[Table4_1]" displayFolder="" count="0" memberValueDatatype="5" unbalanced="0"/>
    <cacheHierarchy uniqueName="[Table4_1].[Average Price]" caption="Average Price" attribute="1" defaultMemberUniqueName="[Table4_1].[Average Price].[All]" allUniqueName="[Table4_1].[Average Price].[All]" dimensionUniqueName="[Table4_1]" displayFolder="" count="0" memberValueDatatype="5" unbalanced="0"/>
    <cacheHierarchy uniqueName="[Table7].[in 000s]" caption="in 000s" attribute="1" defaultMemberUniqueName="[Table7].[in 000s].[All]" allUniqueName="[Table7].[in 000s].[All]" dimensionUniqueName="[Table7]" displayFolder="" count="0" memberValueDatatype="130" unbalanced="0"/>
    <cacheHierarchy uniqueName="[Table7].[2022]" caption="2022" attribute="1" defaultMemberUniqueName="[Table7].[2022].[All]" allUniqueName="[Table7].[2022].[All]" dimensionUniqueName="[Table7]" displayFolder="" count="0" memberValueDatatype="5" unbalanced="0"/>
    <cacheHierarchy uniqueName="[Table7].[2023]" caption="2023" attribute="1" defaultMemberUniqueName="[Table7].[2023].[All]" allUniqueName="[Table7].[2023].[All]" dimensionUniqueName="[Table7]" displayFolder="" count="0" memberValueDatatype="5" unbalanced="0"/>
    <cacheHierarchy uniqueName="[Table7].[YTD 2024]" caption="YTD 2024" attribute="1" defaultMemberUniqueName="[Table7].[YTD 2024].[All]" allUniqueName="[Table7].[YTD 2024].[All]" dimensionUniqueName="[Table7]" displayFolder="" count="0" memberValueDatatype="5" unbalanced="0"/>
    <cacheHierarchy uniqueName="[Table7].[Volume 2022]" caption="Volume 2022" attribute="1" defaultMemberUniqueName="[Table7].[Volume 2022].[All]" allUniqueName="[Table7].[Volume 2022].[All]" dimensionUniqueName="[Table7]" displayFolder="" count="0" memberValueDatatype="5" unbalanced="0"/>
    <cacheHierarchy uniqueName="[Table7].[Volume 2023]" caption="Volume 2023" attribute="1" defaultMemberUniqueName="[Table7].[Volume 2023].[All]" allUniqueName="[Table7].[Volume 2023].[All]" dimensionUniqueName="[Table7]" displayFolder="" count="0" memberValueDatatype="5" unbalanced="0"/>
    <cacheHierarchy uniqueName="[Table7].[Volume YTD 2024]" caption="Volume YTD 2024" attribute="1" defaultMemberUniqueName="[Table7].[Volume YTD 2024].[All]" allUniqueName="[Table7].[Volume YTD 2024].[All]" dimensionUniqueName="[Table7]" displayFolder="" count="0" memberValueDatatype="5" unbalanced="0"/>
    <cacheHierarchy uniqueName="[Table7].[Total Volume]" caption="Total Volume" attribute="1" defaultMemberUniqueName="[Table7].[Total Volume].[All]" allUniqueName="[Table7].[Total Volume].[All]" dimensionUniqueName="[Table7]" displayFolder="" count="0" memberValueDatatype="5" unbalanced="0"/>
    <cacheHierarchy uniqueName="[Table7].[Total Value]" caption="Total Value" attribute="1" defaultMemberUniqueName="[Table7].[Total Value].[All]" allUniqueName="[Table7].[Total Value].[All]" dimensionUniqueName="[Table7]" displayFolder="" count="0" memberValueDatatype="5" unbalanced="0"/>
    <cacheHierarchy uniqueName="[Table7].[YoY growth]" caption="YoY growth" attribute="1" defaultMemberUniqueName="[Table7].[YoY growth].[All]" allUniqueName="[Table7].[YoY growth].[All]" dimensionUniqueName="[Table7]" displayFolder="" count="0" memberValueDatatype="5" unbalanced="0"/>
    <cacheHierarchy uniqueName="[Table7].[Volume growth]" caption="Volume growth" attribute="1" defaultMemberUniqueName="[Table7].[Volume growth].[All]" allUniqueName="[Table7].[Volume growth].[All]" dimensionUniqueName="[Table7]" displayFolder="" count="0" memberValueDatatype="5" unbalanced="0"/>
    <cacheHierarchy uniqueName="[Table7].[price growth]" caption="price growth" attribute="1" defaultMemberUniqueName="[Table7].[price growth].[All]" allUniqueName="[Table7].[price growth].[All]" dimensionUniqueName="[Table7]" displayFolder="" count="0" memberValueDatatype="5" unbalanced="0"/>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4_1]" caption="__XL_Count Table4_1" measure="1" displayFolder="" measureGroup="Table4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2022]" caption="Sum of 2022" measure="1" displayFolder="" measureGroup="Table4" count="0" hidden="1"/>
    <cacheHierarchy uniqueName="[Measures].[Sum of 2023]" caption="Sum of 2023" measure="1" displayFolder="" measureGroup="Table4" count="0" hidden="1"/>
    <cacheHierarchy uniqueName="[Measures].[Sum of YTD 2024]" caption="Sum of YTD 2024" measure="1" displayFolder="" measureGroup="Table4" count="0" hidden="1"/>
    <cacheHierarchy uniqueName="[Measures].[Sum of Volume 2022]" caption="Sum of Volume 2022" measure="1" displayFolder="" measureGroup="Table4" count="0" hidden="1"/>
    <cacheHierarchy uniqueName="[Measures].[Sum of Volume 2023]" caption="Sum of Volume 2023" measure="1" displayFolder="" measureGroup="Table4" count="0" hidden="1"/>
    <cacheHierarchy uniqueName="[Measures].[Sum of Volume 2024]" caption="Sum of Volume 2024" measure="1" displayFolder="" measureGroup="Table4" count="0" hidden="1"/>
    <cacheHierarchy uniqueName="[Measures].[Sum of Total Value]" caption="Sum of Total Value" measure="1" displayFolder="" measureGroup="Table4" count="0" hidden="1"/>
    <cacheHierarchy uniqueName="[Measures].[Sum of YoY Growth 23]" caption="Sum of YoY Growth 23" measure="1" displayFolder="" measureGroup="Table4" count="0" hidden="1"/>
    <cacheHierarchy uniqueName="[Measures].[Sum of YTD Growth]" caption="Sum of YTD Growth" measure="1" displayFolder="" measureGroup="Table4" count="0" hidden="1"/>
    <cacheHierarchy uniqueName="[Measures].[Sum of Price 2022]" caption="Sum of Price 2022" measure="1" displayFolder="" measureGroup="Table4" count="0" hidden="1"/>
    <cacheHierarchy uniqueName="[Measures].[Sum of Price 2023]" caption="Sum of Price 2023" measure="1" displayFolder="" measureGroup="Table4" count="0" hidden="1"/>
    <cacheHierarchy uniqueName="[Measures].[Sum of Price 2024]" caption="Sum of Price 2024" measure="1" displayFolder="" measureGroup="Table4" count="0" hidden="1"/>
    <cacheHierarchy uniqueName="[Measures].[Sum of 2022 2]" caption="Sum of 2022 2" measure="1" displayFolder="" measureGroup="Table7" count="0" hidden="1"/>
    <cacheHierarchy uniqueName="[Measures].[Sum of 2023 2]" caption="Sum of 2023 2" measure="1" displayFolder="" measureGroup="Table7" count="0" hidden="1"/>
    <cacheHierarchy uniqueName="[Measures].[Sum of YTD 2024 2]" caption="Sum of YTD 2024 2" measure="1" displayFolder="" measureGroup="Table7" count="0" hidden="1"/>
    <cacheHierarchy uniqueName="[Measures].[Sum of Volume 2022 2]" caption="Sum of Volume 2022 2" measure="1" displayFolder="" measureGroup="Table7" count="0" hidden="1"/>
    <cacheHierarchy uniqueName="[Measures].[Sum of Volume 2023 2]" caption="Sum of Volume 2023 2" measure="1" displayFolder="" measureGroup="Table7" count="0" hidden="1"/>
    <cacheHierarchy uniqueName="[Measures].[Sum of Volume YTD 2024]" caption="Sum of Volume YTD 2024" measure="1" displayFolder="" measureGroup="Table7" count="0" hidden="1"/>
    <cacheHierarchy uniqueName="[Measures].[Sum of Total Value 2]" caption="Sum of Total Value 2" measure="1" displayFolder="" measureGroup="Table7" count="0" hidden="1"/>
    <cacheHierarchy uniqueName="[Measures].[Sum of Volume 2022 3]" caption="Sum of Volume 2022 3" measure="1" displayFolder="" measureGroup="Table2" count="0" hidden="1"/>
    <cacheHierarchy uniqueName="[Measures].[Sum of Volume 2023 3]" caption="Sum of Volume 2023 3" measure="1" displayFolder="" measureGroup="Table2" count="0" hidden="1"/>
    <cacheHierarchy uniqueName="[Measures].[Sum of 2023 3]" caption="Sum of 2023 3" measure="1" displayFolder="" measureGroup="Table2" count="0" hidden="1"/>
    <cacheHierarchy uniqueName="[Measures].[Average of 2023]" caption="Average of 2023" measure="1" displayFolder="" measureGroup="Table2" count="0" hidden="1"/>
    <cacheHierarchy uniqueName="[Measures].[Sum of Volume YTD 2024 2]" caption="Sum of Volume YTD 2024 2" measure="1" displayFolder="" measureGroup="Table2" count="0" hidden="1"/>
    <cacheHierarchy uniqueName="[Measures].[Sum of YTD 24]" caption="Sum of YTD 24" measure="1" displayFolder="" measureGroup="Table2" count="0" hidden="1"/>
    <cacheHierarchy uniqueName="[Measures].[Average of YTD 24]" caption="Average of YTD 24" measure="1" displayFolder="" measureGroup="Table2" count="0" hidden="1"/>
    <cacheHierarchy uniqueName="[Measures].[Sum of Price 2022 3]" caption="Sum of Price 2022 3" measure="1" displayFolder="" measureGroup="Table2" count="0" hidden="1"/>
    <cacheHierarchy uniqueName="[Measures].[Sum of Price 2023 3]" caption="Sum of Price 2023 3" measure="1" displayFolder="" measureGroup="Table2" count="0" hidden="1"/>
    <cacheHierarchy uniqueName="[Measures].[Sum of Price 2024 2]" caption="Sum of Price 2024 2" measure="1" displayFolder="" measureGroup="Table2" count="0" hidden="1"/>
    <cacheHierarchy uniqueName="[Measures].[Sum of Average Value]" caption="Sum of Average Value" measure="1" displayFolder="" measureGroup="Table4_1" count="0" hidden="1"/>
    <cacheHierarchy uniqueName="[Measures].[Sum of Volume 2022 4]" caption="Sum of Volume 2022 4" measure="1" displayFolder="" measureGroup="Table4_1" count="0" hidden="1"/>
    <cacheHierarchy uniqueName="[Measures].[Sum of Volume 2023 4]" caption="Sum of Volume 2023 4" measure="1" displayFolder="" measureGroup="Table4_1" count="0" hidden="1"/>
    <cacheHierarchy uniqueName="[Measures].[Sum of Volume 2024 2]" caption="Sum of Volume 2024 2" measure="1" displayFolder="" measureGroup="Table4_1" count="0" hidden="1"/>
    <cacheHierarchy uniqueName="[Measures].[Sum of Average Volume]" caption="Sum of Average Volume" measure="1" displayFolder="" measureGroup="Table4_1" count="0" hidden="1"/>
    <cacheHierarchy uniqueName="[Measures].[Sum of Average Price]" caption="Sum of Average Price" measure="1" displayFolder="" measureGroup="Table4_1" count="0" hidden="1"/>
    <cacheHierarchy uniqueName="[Measures].[Count of PACKAGE SIZE]" caption="Count of PACKAGE SIZE" measure="1" displayFolder="" measureGroup="Table2" count="0" hidden="1"/>
    <cacheHierarchy uniqueName="[Measures].[Count of Volume 2022]" caption="Count of Volume 2022" measure="1" displayFolder="" measureGroup="Table2" count="0" hidden="1"/>
    <cacheHierarchy uniqueName="[Measures].[Count of 2022]" caption="Count of 2022" measure="1" displayFolder="" measureGroup="Table2" count="0" hidden="1"/>
    <cacheHierarchy uniqueName="[Measures].[Count of Volume 2023]" caption="Count of Volume 2023" measure="1" displayFolder="" measureGroup="Table2" count="0" hidden="1"/>
    <cacheHierarchy uniqueName="[Measures].[Sum of Total Value 3]" caption="Sum of Total Value 3" measure="1" displayFolder="" measureGroup="Table1" count="0" oneField="1" hidden="1">
      <fieldsUsage count="1">
        <fieldUsage x="2"/>
      </fieldsUsage>
    </cacheHierarchy>
    <cacheHierarchy uniqueName="[Measures].[Sum of YOY Growth 23 3]" caption="Sum of YOY Growth 23 3" measure="1" displayFolder="" measureGroup="Table2" count="0" hidden="1"/>
    <cacheHierarchy uniqueName="[Measures].[Sum of Total Value 4]" caption="Sum of Total Value 4" measure="1" displayFolder="" measureGroup="Table2" count="0" hidden="1"/>
    <cacheHierarchy uniqueName="[Measures].[Sum of YTD Growth 24]" caption="Sum of YTD Growth 24" measure="1" displayFolder="" measureGroup="Table2" count="0" hidden="1"/>
    <cacheHierarchy uniqueName="[Measures].[Sum of 2022 3]" caption="Sum of 2022 3" measure="1" displayFolder="" measureGroup="Table1" count="0" hidden="1"/>
    <cacheHierarchy uniqueName="[Measures].[Sum of Volume 2022 5]" caption="Sum of Volume 2022 5" measure="1" displayFolder="" measureGroup="Table1" count="0" hidden="1"/>
  </cacheHierarchies>
  <kpis count="0"/>
  <dimensions count="6">
    <dimension measure="1" name="Measures" uniqueName="[Measures]" caption="Measures"/>
    <dimension name="Table1" uniqueName="[Table1]" caption="Table1"/>
    <dimension name="Table2" uniqueName="[Table2]" caption="Table2"/>
    <dimension name="Table4" uniqueName="[Table4]" caption="Table4"/>
    <dimension name="Table4_1" uniqueName="[Table4_1]" caption="Table4_1"/>
    <dimension name="Table7" uniqueName="[Table7]" caption="Table7"/>
  </dimensions>
  <measureGroups count="5">
    <measureGroup name="Table1" caption="Table1"/>
    <measureGroup name="Table2" caption="Table2"/>
    <measureGroup name="Table4" caption="Table4"/>
    <measureGroup name="Table4_1" caption="Table4_1"/>
    <measureGroup name="Table7" caption="Table7"/>
  </measureGroups>
  <maps count="6">
    <map measureGroup="0" dimension="1"/>
    <map measureGroup="1" dimension="2"/>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8.920623032405" createdVersion="8" refreshedVersion="8" minRefreshableVersion="3" recordCount="159" xr:uid="{B67A7F3E-F4E1-4A75-94EB-33EE976F4F21}">
  <cacheSource type="worksheet">
    <worksheetSource name="Table7"/>
  </cacheSource>
  <cacheFields count="13">
    <cacheField name="in 000s" numFmtId="49">
      <sharedItems count="159">
        <s v="BABY CREMA (VigaLife)"/>
        <s v="PAMPERS (PROCTER &amp; GAMBLE)"/>
        <s v="LINDY (Intelligent Initiative)"/>
        <s v="EVENT (AxisOn Group)"/>
        <s v="LARA (LARA KOZMETIK)"/>
        <s v="FRESHMAKER (FULYA COSMETICS)"/>
        <s v="MOLFIX (HAYAT KIMYA)"/>
        <s v="COTTON SOFT (SEPA MENSUCAT)"/>
        <s v="RENKLI (SEVIMLER)"/>
        <s v="BABY CARE (MEGA)"/>
        <s v="PETINO (HARPER HYGIENICS)"/>
        <s v="WATER WIPES (IRISH BREEZE LTD)"/>
        <s v="INCI (SEPA MENSUCAT)"/>
        <s v="MELANI (PROBEG 97)"/>
        <s v="HUGGIES (KIMBERLEY CLARK)"/>
        <s v="KIDS (FULYA KOZM.)"/>
        <s v="NEMDIL (FULYA COSMETICS)"/>
        <s v="SEPTONA (SEPTONA SA)"/>
        <s v="TITO (NAVIGA TURKEY)"/>
        <s v="PURE (FULYA COSMETICS)"/>
        <s v="ELAN (Esburg Health)"/>
        <s v="SLEEPY ( ErusHealth Products)"/>
        <s v="PAPILION (ArkPapers)"/>
        <s v="NIVEA (AlpineMeadow)"/>
        <s v="VIBELLE (REGINA TRADING LTD)"/>
        <s v="ClearSight (ClearSight)"/>
        <s v="HIPP (HIPP GMBH)"/>
        <s v="WIPEST (MORS COSMETICS)"/>
        <s v="GIAN (SCK ZETA COMPANY)"/>
        <s v="PEPINO (SEVIMLER)"/>
        <s v="PONKY (GULSAH KOZMETIK)"/>
        <s v="ALVESTA (SWORDSON LTD)"/>
        <s v="BELUX (RENKSAN)"/>
        <s v="MY COMFORT ( CottonUnion)"/>
        <s v="GOLDEN (NAVIGA TURKEY)"/>
        <s v="AQUELLA ( CottonUnion)"/>
        <s v="ELVIM (SEPA MENSUCAT)"/>
        <s v="DOVE (UNILEVER)"/>
        <s v="BIG SOFT (MORAMEX GROUP / TOBI MG LTD)"/>
        <s v="RENKLY BABY (KARTOPU KOLONYA)"/>
        <s v="MEDPROFFESIONAL (SC EUROPACK MEDIA SRL)"/>
        <s v="YESS BABY (ERUSLU)"/>
        <s v="HAPPY (MORAMEX GROUP / TOBI MG LTD)"/>
        <s v="BABYLINO (MEGA S.A.)"/>
        <s v="NICE BABY ( CottonUnion)"/>
        <s v="EVY BABY (EveCraft)"/>
        <s v="KANZ ( Creativa Worldwide)"/>
        <s v="MIMOSA (MAPA INTERNATIONAL)"/>
        <s v="LIO FRESH (FULYA COSMETICS)"/>
        <s v="BABY WISH (ChillClean)"/>
        <s v="BIVY (TAHA KIMYA KOZMETIK)"/>
        <s v="MUSTELA (LABORATORY EXPANSCIENCE)"/>
        <s v="FRESH (PIRAMIDA 72 DOO)"/>
        <s v="UNAC (UNAC GROUP KOZMETIK SAN.)"/>
        <s v="NAPEEZ BY GRACIA (GRACIA COMPANY)"/>
        <s v="MIMI ( CottonUnion)"/>
        <s v="FRESH RUNY (FULYA COSMETICS)"/>
        <s v="FLAMINGO (SEPA MENSUCAT)"/>
        <s v="MAMMI (SEMA TREYD ODD)"/>
        <s v="JOHNSONS (JOHNSON &amp; JOHNSON INT.)"/>
        <s v="TANGO (KOZMO KIMYA)"/>
        <s v="WINEX ( CottonUnion)"/>
        <s v="URIAGE (PUIG)"/>
        <s v="SPRING LINE (SC EUROPACK MEDIA SRL)"/>
        <s v="ULTRA COMPACT (ArsenicChem)"/>
        <s v="MAIA (KALESAN)"/>
        <s v="FRESH BABY (NAVIGA TURKEY)"/>
        <s v="PROSOFT (TRUVA KOZMETIK TIC)"/>
        <s v="NIKI (SEVIMLER )"/>
        <s v="SOFT CARE (SANO LTD)"/>
        <s v="MORS (MORS COSMETICS)"/>
        <s v="BIMBO &amp; BIMBA (REGINA TRADING LTD)"/>
        <s v="HAPPY FRESH (ArsenicChem)"/>
        <s v="HIMALAYA (HIMALAYA DRUG)"/>
        <s v="PREMIUM (FULYA COSMETICS)"/>
        <s v="LUBA (BroadLeaf Group)"/>
        <s v="LIBERO (ESSITY)"/>
        <s v="FEMOLE (FEM COSMETIC)"/>
        <s v="JUNIOR &amp; TOMMY (SEVIMLER)"/>
        <s v="PRIME (GRUPPO AVELLA SRL )"/>
        <s v="PADDLERS (ENKA HIJYUEN)"/>
        <s v="MIKE LINE (GRUPA POLUDNIE SP)"/>
        <s v="FRESH (NUR GIDA SAN)"/>
        <s v="L'UNICO (MONTRASIO)"/>
        <s v="BEBECAN (YESIL ILGAZ)"/>
        <s v="KOMILI (KOMILI S.A.)"/>
        <s v="CHICCO (CultureSana)"/>
        <s v="VOI (SMILE COSMETICS)"/>
        <s v="PUFY (NUR GIDA SANAYI)"/>
        <s v="PINE (Arkana PaperCraft)"/>
        <s v="AURA ( CottonUnion)"/>
        <s v="CLEANIC (HARPER HYGIENICS)"/>
        <s v="SECKIN (RENKSAN)"/>
        <s v="BERFINY (FULYA COSMETICS)"/>
        <s v="TOVA (STANQUEEN INVESTMENT)"/>
        <s v="PUFY (LARA COSMETIC)"/>
        <s v="KLORANE (PIERRE FABRE)"/>
        <s v="PUFFY (NAVIGA TURKEY)"/>
        <s v="SEBAMED (SEBAPHARMA)"/>
        <s v="BABY 2000 (Nova Garbagnate)"/>
        <s v="BETTY (PHOENIX PHARMA DOO)"/>
        <s v="TEX (PureAim Cleaners)"/>
        <s v="SMILE (BIOSPHERE CORP.)"/>
        <s v="BEBECAN (TNCR GIDA)"/>
        <s v="ASALI (SEPA MENSUCAT)"/>
        <s v="DAISY (TEKSAN)"/>
        <s v="SOFT &amp; FRESH (KARDESLER UCANYAGLAR SAN A"/>
        <s v="DOCTOR (SC EUROPACK MEDIA SRL)"/>
        <s v="COTTON BABY ( CottonUnion)"/>
        <s v="HAPPY (FULYA COSMETICS)"/>
        <s v="BEBIKO (PAKSEL KIMYA)"/>
        <s v="POZZY (GULSAH KOZMETIK)"/>
        <s v="MY FIX (NAVIGA TURKEY)"/>
        <s v="CONFY (LIDERSAN SAGLIK VE GIDA)"/>
        <s v="TOP BLITZ (LARA KOSMETICK)"/>
        <s v="HUGGLO (ArborChemistry)"/>
        <s v="SLIPP (PREDO)"/>
        <s v="FARMACOTONE (SISMA S.P.A.)"/>
        <s v="IASSMIN (SEVIMLER)"/>
        <s v="PAPATYA (PAPATYA PAMUK KOSMETIK)"/>
        <s v="PRIMA (PROCTER &amp; GAMBLE)"/>
        <s v="CAN BEBE (ONTEX)"/>
        <s v="NATY (NATY AB)"/>
        <s v="PEPPA PIG (JELLYWORKS HEALTHCARE)"/>
        <s v="PAW PATROL (JELLYWORKS HEALTHCARE)"/>
        <s v="MIS MAK (SWORDSON LTD)"/>
        <s v="BIONIKE (ICIM INTERNATIONAL)"/>
        <s v="SETABLU (SCProducts)"/>
        <s v="SPEEDY CARE (O-PAC S.R.L.)"/>
        <s v="HUGO BABY (TRUVA KOZMETIK)"/>
        <s v="SENCE (MAXBRANDS MARKETING B.V.)"/>
        <s v="COSMI"/>
        <s v="BABY CARE (TradeKing Cengiz)"/>
        <s v="TROMPY (Fragrantium S.A.)"/>
        <s v="KOPRINA (OZYURT TEKSTIL SAN)"/>
        <s v="UNI (Ataman Industries)"/>
        <s v="SWEET (SEVIMLER)"/>
        <s v="KRISPA (KAPPUS)"/>
        <s v="BAMBO (BeneCare)"/>
        <s v="OKIDOKI (CodeInt B.V.)"/>
        <s v="PURE ( ErusHealth Products)"/>
        <s v="HOPS (SAPRO TEMIZLIK)"/>
        <s v="LANSINOH (LANSINOH LABORATORIE INC)"/>
        <s v="PERFETTO (PERFETTO GROUP)"/>
        <s v="HONEY BEBISH (Arkana PaperCraft)"/>
        <s v="SOFTLINE (BurdenCo)"/>
        <s v="FOMEX (EastChem)"/>
        <s v="LIOLA (FULYA COSMETICS)"/>
        <s v="BEBECEN (KANTARA PRODUKSIYON DAGITIM)"/>
        <s v="HUGGLO (MIS SAGLIK SAN.)"/>
        <s v="FRESH SENSE (NUR GIDA SAN)"/>
        <s v="BABS &amp; BABS (OZDAMARLAR GIDA A.S.)"/>
        <s v="BEBECAN (RAMER KOZMETIK)"/>
        <s v="MAXIMENS (SARIHAN TEMIZLIK)"/>
        <s v="LADY FRESH (SEVIMLER)"/>
        <s v="NIK &amp; SI (SEVIMLER)"/>
        <s v="SEMI (SEVIMLER)"/>
        <s v="NATURAVERDE (SO.DI.CO - SOCIETA DISTRIBU"/>
        <s v="BAMBINO (ULTRA COSMETICS)"/>
      </sharedItems>
    </cacheField>
    <cacheField name="2022" numFmtId="0">
      <sharedItems containsSemiMixedTypes="0" containsString="0" containsNumber="1" minValue="0" maxValue="3341.5012999999999"/>
    </cacheField>
    <cacheField name="2023" numFmtId="0">
      <sharedItems containsSemiMixedTypes="0" containsString="0" containsNumber="1" minValue="0" maxValue="3428.0437000000002"/>
    </cacheField>
    <cacheField name="YTD 2024" numFmtId="0">
      <sharedItems containsSemiMixedTypes="0" containsString="0" containsNumber="1" minValue="0" maxValue="1852.1968999999999"/>
    </cacheField>
    <cacheField name="Volume 2022" numFmtId="0">
      <sharedItems containsSemiMixedTypes="0" containsString="0" containsNumber="1" minValue="0" maxValue="125970.25199999999"/>
    </cacheField>
    <cacheField name="Volume 2023" numFmtId="0">
      <sharedItems containsSemiMixedTypes="0" containsString="0" containsNumber="1" minValue="0" maxValue="127615.61199999999"/>
    </cacheField>
    <cacheField name="Volume YTD 2024" numFmtId="0">
      <sharedItems containsSemiMixedTypes="0" containsString="0" containsNumber="1" minValue="0" maxValue="64977.618000000002"/>
    </cacheField>
    <cacheField name="Total Volume" numFmtId="0">
      <sharedItems containsSemiMixedTypes="0" containsString="0" containsNumber="1" minValue="0" maxValue="318563.48200000002"/>
    </cacheField>
    <cacheField name="Total Value" numFmtId="0">
      <sharedItems containsSemiMixedTypes="0" containsString="0" containsNumber="1" minValue="0" maxValue="8621.7419000000009"/>
    </cacheField>
    <cacheField name="YoY growth" numFmtId="10">
      <sharedItems containsSemiMixedTypes="0" containsString="0" containsNumber="1" minValue="-1" maxValue="203.15304548959134"/>
    </cacheField>
    <cacheField name="Volume growth" numFmtId="10">
      <sharedItems containsSemiMixedTypes="0" containsString="0" containsNumber="1" minValue="-1" maxValue="368.44499999999999"/>
    </cacheField>
    <cacheField name="price growth" numFmtId="10">
      <sharedItems containsSemiMixedTypes="0" containsString="0" containsNumber="1" minValue="-368.44499999999999" maxValue="203.70983180611427"/>
    </cacheField>
    <cacheField name="mini trend lin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8.920623958336" createdVersion="8" refreshedVersion="8" minRefreshableVersion="3" recordCount="551" xr:uid="{A42726C5-A37B-413A-9C88-B9EB44407509}">
  <cacheSource type="worksheet">
    <worksheetSource name="Table1"/>
  </cacheSource>
  <cacheFields count="18">
    <cacheField name="MANUFACTURER2" numFmtId="49">
      <sharedItems count="107">
        <s v="Nova Garbagnate"/>
        <s v=" BeneCare"/>
        <s v=" VigaLife"/>
        <s v=" Fulya Beauty"/>
        <s v=" Proctor &amp; Wager"/>
        <s v=" Intelligent Initiative"/>
        <s v=" BroadLeaf Group"/>
        <s v=" ArborChemistry"/>
        <s v=" ArkPapers"/>
        <s v=" Arkana PaperCraft"/>
        <s v=" Fragrantium S.A."/>
        <s v=" ArsenicChem"/>
        <s v=" Creativa Worldwide"/>
        <s v=" CultureSana"/>
        <s v=" Ataman Industries"/>
        <s v=" LifeChem"/>
        <s v=" AxisOn Group"/>
        <s v=" PureAim Cleaners"/>
        <s v=" AlpineMeadow"/>
        <s v=" BioRealm Corp"/>
        <s v=" BurdenCo"/>
        <s v=" TradeKing Cengiz"/>
        <s v=" ClearSight"/>
        <s v=" CodeInt B.V."/>
        <s v=" ChillClean"/>
        <s v=" Cosmopolitan Italy"/>
        <s v=" CottonUnion"/>
        <s v=" EastChem"/>
        <s v=" EnkaHygiene"/>
        <s v=" ErusHealth Products"/>
        <s v=" Esburg Health"/>
        <s v=" SCProducts"/>
        <s v=" EssentialsCo"/>
        <s v=" EveCraft"/>
        <s v=" FemmeBeauty"/>
        <s v=" CleanHarper"/>
        <s v=" Grace Corp"/>
        <s v=" SouthernGroup SP"/>
        <s v=" AvellinoGroup SRL"/>
        <s v=" RoseBeauty"/>
        <s v=" MountainMedicine"/>
        <s v=" Swift GMBH"/>
        <s v=" InsideGlobal"/>
        <s v=" CelticWind Ltd"/>
        <s v=" JellyHealth"/>
        <s v=" Thomson &amp; Thomson"/>
        <s v=" KalesCo"/>
        <s v=" Kantara Productions Distribution"/>
        <s v=" CapPlus"/>
        <s v=" BrothersFlyProducts SAN A.S."/>
        <s v=" Snowball Cologne"/>
        <s v=" Kimberly Stone"/>
        <s v=" OliveTree S.A."/>
        <s v=" CosmicChem"/>
        <s v=" LabExpand"/>
        <s v=" LansinLab Inc"/>
        <s v=" Lara Beauty"/>
        <s v=" LeaderHealthFood"/>
        <s v=" GlobalMap"/>
        <s v=" PrimeBrands Marketing B.V."/>
        <s v=" Giga S.A."/>
        <s v=" Miss Health Co."/>
        <s v=" MontraWorld"/>
        <s v=" Moratex Group / Tobi MegaGroup LTD"/>
        <s v=" MoreBeauty"/>
        <s v=" NaturalCo AB"/>
        <s v=" Voyage Turkey"/>
        <s v=" Nur Food Industry"/>
        <s v=" O-Package S.R.L."/>
        <s v=" OnTop"/>
        <s v=" OzFoodMakers A.S."/>
        <s v=" CrescentTextile SAN"/>
        <s v=" PakChem"/>
        <s v=" Daisy Cotton Cosmetics"/>
        <s v=" IdealGroup"/>
        <s v=" PhoenixMedicine DOO"/>
        <s v=" FabreStone"/>
        <s v=" Pyramid72 DOO"/>
        <s v=" PreDone"/>
        <s v=" SepaTextiles"/>
        <s v=" ProStart 97"/>
        <s v=" PuigPeak"/>
        <s v=" RameBeauty"/>
        <s v=" QueenTrade LTD"/>
        <s v=" ColorSan"/>
        <s v=" SanHealth LTD"/>
        <s v=" SaproClean"/>
        <s v=" YellowHand Cleaners"/>
        <s v=" EuroPack Communications SRL"/>
        <s v=" SigmaKappaZeta Co."/>
        <s v=" SebaMedicines"/>
        <s v=" SignalTrade"/>
        <s v=" SeptOn SA"/>
        <s v=" LovelyCo"/>
        <s v=" Quake S.P.A."/>
        <s v=" HappyBeauty A.S."/>
        <s v=" So.Di.Co - Cosmetics Distribution Society"/>
        <s v=" QueenStand Investment"/>
        <s v=" BladeSon LTD"/>
        <s v=" TahaChem Cosmetics"/>
        <s v=" TextileSan"/>
        <s v=" FoodTNCR"/>
        <s v=" TroyBeauty Trade"/>
        <s v=" MegaBeauty"/>
        <s v=" Unac Beauty Makers SAN."/>
        <s v=" UniHandle"/>
        <s v=" GreenIlgaz Group"/>
      </sharedItems>
    </cacheField>
    <cacheField name="BRAND" numFmtId="0">
      <sharedItems/>
    </cacheField>
    <cacheField name="Company" numFmtId="0">
      <sharedItems/>
    </cacheField>
    <cacheField name="PRODUCT" numFmtId="49">
      <sharedItems count="551">
        <s v="BABY2000 CAMOMILLA W 20 BAG ABA SRL"/>
        <s v="BAMBO NATURE W 10 BAG"/>
        <s v="BAMBO NATURE W 50 BAG"/>
        <s v="BAMBO NATURE 0%PERFUME W 80 BAG"/>
        <s v="BAMBO NATURE W 80 BAG KAPAK"/>
        <s v="BABY CREMA PLAY TIME CAMOMILE W 100 PINK"/>
        <s v="BABYCREMA PLAYTIME CAMOMIL W 72 BAG KAPA"/>
        <s v="BABY CREMA CAMOMIL W 120 BAG KAPAK"/>
        <s v="BABY CREMA ALOE 15 BAG"/>
        <s v="BABY CREMA CAMOMIL W 15 BAG"/>
        <s v="BABY CREMA PH5.5 W 3X15/1FR BAG &amp;&amp;&amp;"/>
        <s v="BABY CREMA WATER 99% W 15 BAG"/>
        <s v="BABY CREMA CAMOMIL W 40 BAG"/>
        <s v="BABY CREMA COTTON&amp;PANTENOL W 4X56 BAG"/>
        <s v="BABY CREMA COTTON&amp;PANTENOL W 56 BAG"/>
        <s v="BABY CREMA ALOE 64 BAG"/>
        <s v="BABY CREMA CAMOMIL W 64 BAG"/>
        <s v="BABY CREMA PLAY TIME CAMOMIL W 64 BAG"/>
        <s v="BABYCREMA CAMOMIL W 4X64 BAG SUPERTSENA"/>
        <s v="BABY CREMA ALOE&amp;ALMOND OIL W 72 BAG"/>
        <s v="BABY CREMA CAMOMIL&amp;ALMOND W 72 BAG"/>
        <s v="BABY CREMA COTTON W 2X72BAG50%OT TS.VTOR"/>
        <s v="BABY CREMA COTTON&amp;PANTENOL W 72 BAG"/>
        <s v="BABY CREMA NEVEN PH5.5 W 72 BAG"/>
        <s v="BABY CREMA SMRADLIKA PH5.5 W 72 BAG"/>
        <s v="FRESH MAKER BABY PH5.5 W 120 BAG JUMBO"/>
        <s v="BABYCREMA CAMOMILE W 2X72BAG50%OTTS.VTOR"/>
        <s v="BABYCREMA COTTON&amp;PANTENOL W 3X72/1FR BAG"/>
        <s v="PAMPERS AQUA PURE ALC.FREE 48 BAG"/>
        <s v="BABY CREMA ALOE W 80 BAG"/>
        <s v="BABY CREMA CAMOMIL W 80 BAG"/>
        <s v="LINDY VITAMIN E PH5.5 W 120 BAG"/>
        <s v="LINDY ALOE VERA&amp;VIT E W 64 BAG"/>
        <s v="LINDY ALOE VERA&amp;VIT E W 64 BAG KAPAK"/>
        <s v="LINDY CAMOMILE W 64 BAG"/>
        <s v="LINDY CAMOMILE W 64 BAG KAPAK"/>
        <s v="LINDY CREAM W 64 BAG KAPAK"/>
        <s v="LINDY CREAM&amp;VIT.E PH5.5 W 64 BAG"/>
        <s v="LINDY OLIVE OIL EXTR. PH5.5 W 64 BAG"/>
        <s v="LINDY OLIVE OIL EXTR. W 64 BAG KAPAK"/>
        <s v="LINDY SENSITIVE COTTON PH5.5 W 64 BAG"/>
        <s v="LINDY SENSITIVE W 64 BAG KAPAK"/>
        <s v="LINDY WHITE TEA&amp;VIT E W 64 BAG"/>
        <s v="LINDY PREMIUM LAVENDER W 90 BAG KAPAK"/>
        <s v="LUBA BABY B5&amp;VIT E PH5.5W 120 BAG"/>
        <s v="LUBA BABY B5&amp;VIT E PH5.5 90 W BAG"/>
        <s v="HUGGLO BABY PH5.5 W 120 BAG KAPAK"/>
        <s v="PAPILION BABY ALOE VERA W 100 BAG KAPAK"/>
        <s v="PAPILION BABY SENSITIVE W 100 BAG KAPAK"/>
        <s v="PAPILION BABY WET CHAMOMILE W 100 BAG"/>
        <s v="PAPILION BABY WET GREEN APPLE W 100 BAG"/>
        <s v="PAPILION BABYWET CHARM.LAVENDER W 100BAG"/>
        <s v="PAPILION BABYWET CHARMINGROSE W 100 BAG"/>
        <s v="PAPILION BABYWET GRAPEFRUIT&amp;LIME W 100BA"/>
        <s v="PAPILION JUMBO WET PH5.5 W 120 BAG KAPAK"/>
        <s v="PAPILION BABY WET SENSITIVE W 72 BAG"/>
        <s v="PAPILION YELLOW LILY W 90 BAG KAPAK"/>
        <s v="HONEY BEBISH WITH CREAM W 102 BAG KAPAK"/>
        <s v="PINE ALOE VERA KREMALI W 120 BAG KAPAK"/>
        <s v="PINE ALOE VERA KREMALI W 72 BAG KAPAK"/>
        <s v="TROMPY 20 BAG"/>
        <s v="HAPPY FRESH BABY CREAM W 72 BAG"/>
        <s v="HAPPY FRESH BABY W 72 BAG KAPAK"/>
        <s v="ULTRA COMPACT ANGELS ALC.FREE W 120 BAG"/>
        <s v="ULTRA COMPACT MOMO CREAMY W 120 BAG"/>
        <s v="ULTRA COMPACT ANGELS ALC.FREE W 72 BAG"/>
        <s v="ULTRACOMPACT BABY PH5.5 ALC.FREE W 72 BA"/>
        <s v="KANZ NATURAL SENS.SKIN ALC.FREE W120 BAG"/>
        <s v="KANZ EXTRA SOFT ALC.FREE W 50 BAG"/>
        <s v="KANZ ULTRA SOFT ALC.FREE W 72 BAG"/>
        <s v="CHICCO SALVIETTINE SENSITIVE W 60 BAG"/>
        <s v="CHICCO SALVIETTINE PARABENI W 72 BAG"/>
        <s v="UNI COMFORT LOTION P H5.5 72 BAG"/>
        <s v="MOLFIX BABY LOTION PH5.5 W 60 BAG HAYAT"/>
        <s v="EVENT BABY CALENDULA 140 BAG KAPAK+WIP"/>
        <s v="EVENT BABY MOIST.CHAMOMILE 20 W BAG"/>
        <s v="EVENT BABY SENSIT. ALOE VERA 20 BAG"/>
        <s v="EVENT BABY CALENDULA W 25 BAG"/>
        <s v="EVENT BABY CALENDULA W 25 BAG+WIP 140"/>
        <s v="EVENT BABY CALENDULA HYPOALL.W 30 BAG"/>
        <s v="EVENT BABY HYPOAL.CALENDULA 64 W BAG"/>
        <s v="EVENT BABY HYPOALL.CHAMOMILE 72 W BAG"/>
        <s v="EVENT BABY MOIST.CHAMOMILE 72 W BAG"/>
        <s v="EVENT BABY SENSIT. ALOE VERA 72 W BAG"/>
        <s v="TEX BABY PH5.5 ALC.FREE W 100 BAG PURPLE"/>
        <s v="TEX BABY PH5.5 ALC.FREE W 100 BAG YELLOW"/>
        <s v="NIVEA BABY SOFT&amp;CREME 20 BAG"/>
        <s v="NIVEA BABY TODDIES 2IN1 60 BAG"/>
        <s v="NIVEA BABY FRESH&amp;PURE 63 BAG"/>
        <s v="NIVEA BABY PURE&amp;SENSITIVE 63 W BAG"/>
        <s v="NIVEA BABY SOFT&amp;CREME 63 BAG"/>
        <s v="SMILE ALOE&amp;CAMOMILE PH5.5 60 BAG"/>
        <s v="SOFTLINE FRESHERCREAMVITE PH5.5 W 120BAG"/>
        <s v="BABYCARE WITHCREAM W 80/8FREE BAG KAPAK"/>
        <s v="ClearSight BABY ALOE VERA PH5.5 W 25 BAG"/>
        <s v="ClearSight BABY CALENDULA PH5.5 W 25 BAG"/>
        <s v="ClearSight BABY CHAMOMILE PH5.5 W 25 BAG"/>
        <s v="ClearSight BABY CHAMOMILE PH5.5 W 66 BAG"/>
        <s v="ClearSight BABY ALOE VERA PH5.5 W 80 BAG"/>
        <s v="ClearSight BABY CALENDULA PH5.5 W 80 BAG"/>
        <s v="ClearSight BABY CHAMOMILE PH5.5 W 80 BAG"/>
        <s v="OKIDOKI  FreshClean CAMOMILLA 60 BAG"/>
        <s v="BABY WISH VITE&amp;PROVITAMINB5 W 120 BAG"/>
        <s v="COSMI BABY ARGAN W 20 BAG"/>
        <s v="AQUELLA BABY AMUR WITH CREAM W 120 BAG"/>
        <s v="AQUELLA BABY ULTRA SOFT CREAM W 120 BAG"/>
        <s v="AQUELLA TROPIC ALC.FREE W 120 BAG"/>
        <s v="AQUELLA KIDS BABY ALOEVERA&amp;CREAM W 60BAG"/>
        <s v="AQUELLA BABY VIT E&amp;PRO B5 W 72 BAG"/>
        <s v="AQUELLA KIDS BABY PH5.5 W 72 BAG"/>
        <s v="AQUELLA BABY VIT E&amp;PRO B5 W 90 BAG KAPAK"/>
        <s v="AURA ULTRA COMF. COTTON HYPOALL. W 100 B"/>
        <s v="AURA ULTRA COMFORT COTTON W 63 BAG"/>
        <s v="COTTON BABY UL.SOFT CREAM ALC.FREE W 120"/>
        <s v="COTTON BABY PH5.5 AL.FREE W 90 BAG KAPAK"/>
        <s v="MIMI NICE BABY PH5.5 W 15 BAG"/>
        <s v="MY COMFORT BABY ANGEL PH5.5 W 120 BAG"/>
        <s v="MY COMFORT BABY ARGAN ALK.FREE W 120 BAG"/>
        <s v="NICEBABY PROVITB5&amp;VITE PH5.5 W 120 BAG"/>
        <s v="WINEX BABY PH5.5 W 72 BAG"/>
        <s v="WINEX BABY PROVITB5&amp;VIT.F PH5.5 W 72 BAG"/>
        <s v="FOMEX PH5.5 ALC.FREE W 72 BAG KAPAK"/>
        <s v="PADDLERS SOFT&amp;CREAM PROVITB5&amp;VITE W 120"/>
        <s v="PADDLERS SOFT&amp;CREAM PROVITB5&amp;VITE W 80"/>
        <s v="PURE BABY JUMBO PH5.5 W 120 BAG"/>
        <s v="SLEEPY BABY SENSITIVE 110 W BAG KAPAK"/>
        <s v="SLEEPY BABY APPLE AL.FREE W 120 BAG"/>
        <s v="SLEEPY BABY LEMON AL.FREE W 120 BAG"/>
        <s v="SLEEPY BABY ORANGE AL.FREE W 120 BAG"/>
        <s v="SLEEPY BABY PH5.5 120 W BAG KAPAK"/>
        <s v="SLEEPY STRAWBERRY BABY AL.FREE 120 W BAG"/>
        <s v="SLEEPY BABY MIXED FRUIT PH5.5 15 W BAG"/>
        <s v="SLEEPY BABY PH5.5 70 W BAG"/>
        <s v="SLEEPY  FreshClean 90 W BAG KAPAK"/>
        <s v="YESS BABY ALC.FREE W 120 BAG"/>
        <s v="YESS BABY ALC.FREE W 15 BAG"/>
        <s v="ELAN SENS.CREAM LOTION W 120 BAG ZELENI"/>
        <s v="LAN SENS.CREAM LOTION 120 BAG LILAVI"/>
        <s v="SETABLU OAT EXTRACT PH5.5 W 72 BAG KAPAK"/>
        <s v="LIBERO ALOE ALC.FREE W 20 BAG"/>
        <s v="LIBERO ALOE&amp;CHAMOMILE W 20 BAG"/>
        <s v="LIBERO ALOE&amp;CHAMOMILE W 4X64 BAG"/>
        <s v="LIBERO ALOE&amp;CHAMOMILE W 64 BAG"/>
        <s v="EVY BABY SOFT CHAMOMILE ALC.FREE W50 BAG"/>
        <s v="EVY BABY SOFT CHAMOMILE EXTRACT W 56 BAG"/>
        <s v="EVY BABY CREAMY ALOE VERA MOIST W 60 BAG"/>
        <s v="EVY BABY SOFT CHAMOMILE EXTRACT W 60 BAG"/>
        <s v="FEMOLE FRESH VITE PH5.5 W 72 BAG CHERVEN"/>
        <s v="FEMOLE FRESHBABY VITE PH5.5 W 72 BAG SIN"/>
        <s v="BERFINY CLASSIC BABY W 72 BAG"/>
        <s v="BERFINY EXTRA BABY W 72 BAG"/>
        <s v="FRESH RUNY BABY PH5.5 ALC.FREE W 120 BAG"/>
        <s v="FRESH RUNY BABY MILK&amp;HONEY W 64 BAG"/>
        <s v="FRESH RUNY BABY W 64 BAG"/>
        <s v="FRESH MAKER BABY CREAM FRUIT W 100 BAG"/>
        <s v="EVENT BABY CALENDULA 140 BAG KAPAK"/>
        <s v="FRESH MAKER BABY CREAM W 120/48FREE BAG"/>
        <s v="FRESH MAKER BABY CREAM W 72 BAG"/>
        <s v="FRESH MAKER BABY CREAM W 72 BAG KAPAK"/>
        <s v="FRESH MAKER BABY CREAM W 96/24FREE BAG"/>
        <s v="FRESH MAKER BABY W 72 BAG"/>
        <s v="FRESH MAKER BABY WITH CREAM W 72 BAG"/>
        <s v="FRESH MAKER ALOE VERA PH5.5 W 90 BAG"/>
        <s v="FRESH MAKER SENSITIVE ALC.FREE W 90 BAG"/>
        <s v="HAPPY ALOE VERA W 100 BAG KAPAK"/>
        <s v="PETINO DELICATO&amp;FRESH ALANTOIN 84/12FR"/>
        <s v="LIO FRESH BABY CREAM LOTION W 72 BAG"/>
        <s v="LIOLA  FreshClean ALC.FREE W 72 BAG"/>
        <s v="NEMDIL BABY ROSE W 120 BAG KAPAK"/>
        <s v="NEMDIL BABY WITH CREAM W 120 BAG KAPAK"/>
        <s v="NEMDIL BABY ALCOHOL FREE W 72 BAG"/>
        <s v="NEMDIL BABY OLIVE OIL CAMOMILE W 72 BAG"/>
        <s v="NEMDIL BABYDELUXEALOE&amp;MIK&amp;HONEY W 72KAPA"/>
        <s v="PREMIUM QUALITY BABY W 72 BAG &amp;&amp;&amp;"/>
        <s v="PURE BABY LILIUM W 120 BAG KAPAK"/>
        <s v="NAPEEZBYGRACIA BABY PH5.5 100 BAG KAPAK"/>
        <s v="MIKE LINE SENSIT.CREAM LOTION W 72 BAG"/>
        <s v="PRIME OLIODIARGAN SENSITIVE 63 BAG KAPAK"/>
        <s v="PRIME TALKO SENSITIVE 63 BAG KAPAK"/>
        <s v="PRIME BABY ALC.FREE 72 BAG KAPAK"/>
        <s v="PONKY BABY W 72 BAG +KAPACHE"/>
        <s v="PONKY BABY WET TOWEL W 72 BAG ZHALTI"/>
        <s v="POZZY EXTRA MILK&amp;HONEY PH5.5 W 72 BAG"/>
        <s v="POZZY EXTRA OLIVE OIL ALC.FREE W 72 BAG"/>
        <s v="CLEANIC BABY ATOPICAL D-PANT. PH 50 BAG"/>
        <s v="CLEANIC BABY PROBIOTICAL HYPOAL.50 BAG"/>
        <s v="CLEANIC BABY VEGEMILK VIT&amp;MIN.50 BAG"/>
        <s v="PETINO DELICATO&amp;FRESH ALANTOIN 120 BAG"/>
        <s v="PAMPERS BABY FRESH CLEAN XXL W 80 BAG"/>
        <s v="MOLFIX SENSITIVE PH5.5 W 40 BAG"/>
        <s v="MOLFIX BABY COTTON PH5.5 W 50 BAG HAYAT"/>
        <s v="MOLFIX BABY IZOT.WATER PANT.&amp;LAN.W 60 BA"/>
        <s v="MOLFIX BABY LOTION ISO.WATER W 3X60 BAG"/>
        <s v="PAMPERS BABY FRESH CLEAN W 52 BAG"/>
        <s v="MOLFIX BABY LOTION W 3X60 BAG HAYAT"/>
        <s v="MOLFIX BABY LOTION W 3X63 BAG HAYAT"/>
        <s v="MOLFIX BABY W 63 BAG HAYAT"/>
        <s v="HIMALAYA ALOE VERA&amp;INDIANLOTUS W 20 BAG"/>
        <s v="HIMALAYA SOOTHING&amp;PROTECTINGBABY W 20BAG"/>
        <s v="HIMALAYA ALOE VERA&amp;INDIANLOTUS W 56 BAG"/>
        <s v="HIMALAYA SOOTHING&amp;PROTECTINGBABY W 56BAG"/>
        <s v="HIPP BABY SANFT ALMOND PH5.5 W 10 BAG"/>
        <s v="HIPP BABY ULTRASENSITIVE MANDEL W 52 BAG"/>
        <s v="HIPP BABY ALMOND W 56 BAG"/>
        <s v="HIPP BABY GENTLE CARING W 56 BAG"/>
        <s v="HIPP BABY SANFT FEUCHT TUCHER W 56 BAG"/>
        <s v="HIPP BABYSANFT BIOMANDELEXT.W 2X56+POD."/>
        <s v="HIPP BABYSANFT BIOMANDELEXTR. W 2X56 BAG"/>
        <s v="HIPP BABYSANFT BIOMANDELEXTRACT W 56 BAG"/>
        <s v="BIONIKE TRIDERM BABY CLEANSING 72 BAG"/>
        <s v="WATERWIPES FRUITEXTR.99.9%WATER W 10 BAG"/>
        <s v="WATERWIPES FRUITEXTR.99.9%WATER W 240BAG"/>
        <s v="WATERWIPES FRUITEXTR.99.9%WATER W 28 BAG"/>
        <s v="PAMPERS SENSITIVE PH5.5 XXL 80 BAG"/>
        <s v="WATERWIPES SOAPBERRY99.9%WATER W 60 BAG"/>
        <s v="PAW PATROL  FreshClean 56 W BAG"/>
        <s v="PEPPA PIG BABY MUDDY PUDDLE 56 W BAG"/>
        <s v="JOHNSONS BABY GENTLE ALL OVER W 20 BAG"/>
        <s v="JOHNSONS BAB COT.TOU SEN.W56+BOD+SHG+IGR"/>
        <s v="JOHNSONS BABY COTTON TOUCH SENS.W 56 BAG"/>
        <s v="JOHNSONS BABY GENTLE ALL OVER W 3X56 BAG"/>
        <s v="JOHNSONS BABY GENTLE ALL OVER W 56 BAG"/>
        <s v="JOHNSONS BABY SILK EXTRACT W 56 BAG"/>
        <s v="JOHNSONS BABY GENTLE ALL OVER W 72 BAG K"/>
        <s v="JOHNSONS BABY SENSITIVE ALC.FREE W 72 BA"/>
        <s v="MAIA BABY PURE&amp;SENSITIVE PH5.5 W 72 BAG"/>
        <s v="BEBECAN PH5.5 ALC.FREE W 72 BAG KANTARA"/>
        <s v="KRISPA BABY CAMOMILE W 15 BAG"/>
        <s v="KRISPA BABY CAMOMILE P H5.5 W 80 BAG"/>
        <s v="FRESH'N SOFT WATER&amp;COTTON W 3X40 BAG"/>
        <s v="FRESH'N SOFT CLASSIC PH5.5 W 90 BAG"/>
        <s v="RENKLY JUMBO CHAMOMILE 120 W BAG KAPAK"/>
        <s v="RENKLY BABY ALC.FREE W 70 BAG"/>
        <s v="RENKLY BABY ALOE VERA 70 W BAG"/>
        <s v="RENKLI BABY ALC.FREE PH5.5 W 72 BAG KAPA"/>
        <s v="RENKLY BABY 72 W BAG"/>
        <s v="HUGGIES  FreshClean CUCUMBER W 24 BAG"/>
        <s v="HUGGIES NATURAL CARE ALOE VERA W 56 BAG"/>
        <s v="HUGGIES PURE COTTON WOOL&amp;WATER 56 W BAG"/>
        <s v="HUGGIES SOFT SKIN VIT E 56 BAG"/>
        <s v="HUGGIES SOFTTOUCH WITHLOTION&amp;VITE 56 BAG"/>
        <s v="HUGGIES UNISTAR LINGETTES 56 W BAG"/>
        <s v="HUGGIES ALOE+VIT E W 64 BAG"/>
        <s v="HUGGIES BABY UNISTAR W 64 BAG"/>
        <s v="HUGGIES PURE COTTON WOOL&amp;WATER 64 W BAG"/>
        <s v="HUGGIES PURE 99% WATER 72 W BAG"/>
        <s v="KOMILI BABY SOFT ALC.FREE W 70 BAG"/>
        <s v="KOMILI BABY COTTON PH5.5 W 80 BAG"/>
        <s v="TANGO BABY SOFT VIT E ALC.FREE 72BR BAG"/>
        <s v="MUSTELA BEBE CLEANSING 25 W BAG"/>
        <s v="MUSTELA BEBE CLEANSING 25 W NP KAPAK"/>
        <s v="MUSTELA BEBE STELATOPIA W 50 BAG KAPAK"/>
        <s v="MUSTELABEBE STELATOPIAW50KAP+BOD+BOD+BOD"/>
        <s v="MUSTELA BEBE CLEANSING 60 W BAG"/>
        <s v="MUSTELA BEBE CLEANSING AVOCADO 70 W BAG"/>
        <s v="MUSTELA BEBE CLEANSING W 70 BAG KAPAK"/>
        <s v="MUSTELA BEBE SOOTHING ALOE VERA 70 W BAG"/>
        <s v="LANSINOH BABY ALC.FREE W 80 BAG KAPAK"/>
        <s v="LARA BABY SOFT ALOE VERA W 100 BAG KAPAK"/>
        <s v="LARA BABY SOFT CAMOMILE W 100 BAG KAPAK"/>
        <s v="LARA BABY SOFT GERBERA DAISY W 100 BAG"/>
        <s v="LARA BABY SOFT LAVENDER W 100 BAG KAPAK"/>
        <s v="LARA BABY SOFT WILD ROSE W 100 BAG KAPAK"/>
        <s v="LARA BABYSOFT LEMON&amp;GRAPEFRUIT W 100 BAG"/>
        <s v="LARA BABY SOFT ALOE VERA W 120 BAG KAPAK"/>
        <s v="LARA BABY SOFT CAMOMILE BREEZE W 120 BAG"/>
        <s v="LARA BABY SOFT CAMOMILE W 120 BAG KAPAK"/>
        <s v="LARA BABY SOFT GERBER W 120 BAG KAPAK"/>
        <s v="LARA BABY SOFT LAVENDER W 120 BAG KAPAK"/>
        <s v="LARA BABY SOFT WILD ROSE W 120 BAG KAPAK"/>
        <s v="LARA BABYSOFT LEMON&amp;GRAPEFRUIT W 120 BAG"/>
        <s v="LARA BABYSOFT PREMIUM ALC.FREE W 120 BAG"/>
        <s v="LARA BABY SOFT&amp;FRESH PH5.5 W 20 BAG"/>
        <s v="LARA BABY SOFT ALOE VERA W 40 BAG"/>
        <s v="LARA BABY SOFT VIT E&amp;PRO VIT B5 W 40 BAG"/>
        <s v="LARA CARE BABY 99%WATER PREBIOTIC W 60"/>
        <s v="LARA BABY FRESH W 72 BAG/KAPACHE"/>
        <s v="LARA BABY SENSITIVE PH5.5 W 72 BAG"/>
        <s v="LARA BABY SOFT CAMOMILE W 72 BAG/KAPACHE"/>
        <s v="LARA BABY SOFT PH5.5 W 72 BAG"/>
        <s v="LARA BABY SOFT PH5.5 W 72 BAG KAPAK"/>
        <s v="LARA BABY SOFT VIT E&amp;PRO VIT B5 W 72 BAG"/>
        <s v="LARA BABY SOFT&amp;FRESH W 72 BAG"/>
        <s v="LARA BABY SPECIAL FORMULA VIT E W 72 BAG"/>
        <s v="LARA BABY SOFT ALOE VERA W 80 BAG KAPAK"/>
        <s v="LARA BABY SOFT WILD ROSE W 80 BAG KAPAK"/>
        <s v="LARA BABYSOFT CAMOMILEBREEZ.W 80 BAG KAP"/>
        <s v="LARA BABY SOFT EXTRA W 96 BAG/KAPACHE"/>
        <s v="PUFY FRESH GERBERA PH5.5 W 120 BAG"/>
        <s v="TOP BLITZ CREAM VIT E W 72 BAG"/>
        <s v="CONFY BABY PH5.5 W 40 BAG"/>
        <s v="CONFY BABY SENSITIVE W 90 BAG"/>
        <s v="CONFY BABY SENSITIVE W 90 BAG PINK"/>
        <s v="MIMOSA BABY ALOE VERA 64 BAG"/>
        <s v="MIMOSA BABY CHAMOMILE 64 BAG"/>
        <s v="MIMOSA BABY PH5.5 72 BAG KAPAK"/>
        <s v="SENCE BABY SENSITIVE PH5.5 W 60 BAG"/>
        <s v="BABY CARE CHAMOMILE 4X12/2FR BAG"/>
        <s v="BABY CARE CHAMOMILE W 12 BAG"/>
        <s v="BABY CARE CHAMOMILE W 3X12/1FR BAG"/>
        <s v="BABY CARE TRAVEL CHAMOMILE 20 BAG"/>
        <s v="BABY CARE CLAMING PURE WATER 63 BAG"/>
        <s v="BABY CARE PURE COTTON EXTRACT 63 BAG"/>
        <s v="BABY CARE SENSITIVE OLIVE EXTRACT 63 BAG"/>
        <s v="BABY CARE TRAVEL CHAMOMILE 72 BAG RE"/>
        <s v="BABYLINO SENSITIVE ARNIKA&amp;CHAM W10+WIPFI"/>
        <s v="BABY LINO SENSITIVE CHAMOMILE W 3X54/1FR"/>
        <s v="BABY LINO SENSITIVE CHAMOMILE W 54 BAG"/>
        <s v="BABYLINO SENSITIVE ARNIKACHAMOMILE W 54"/>
        <s v="BABYLINO SENSITIVE CHAMOMILE W 54+10 BAG"/>
        <s v="BABYLINO SENSITIVE CHAMOMILE W 54+WIP 10"/>
        <s v="HUGGLO WET&amp;SOFT W 100 BAG KAPAK"/>
        <s v="L'UNICO BABY OLIO DI ARGAN HYPO.W 72 BAG"/>
        <s v="BIG SOFT SENSITIVE WITH CREAM 100 BAG"/>
        <s v="BIGSOFT SENSITIVEWITHCREAM 100 BAG KAPAK"/>
        <s v="BIG SOFT CREAM SENS.PH5.5 W 120 BAG"/>
        <s v="BIG SOFT SENSITIVE OLIVE OIL ALOE 70 BAG"/>
        <s v="HAPPY FAMILY BABY PH5.5 W 70 BAG"/>
        <s v="MORS CHAMOMILE PH5.5 W 120 BAG KAPAK"/>
        <s v="WIPEST COMFORT ALC.FREE W 120 BAG KAPAK"/>
        <s v="WIPEST COMFORT ALC.FREE W 72 BAG KAPAK"/>
        <s v="NATY SENSITIVE ALOE VERA W 56 BAG"/>
        <s v="NATY SENSITIVE W 56 BAG NATY AB"/>
        <s v="FRESH BABY PREMIUM ALC.FREE W 100 BAG"/>
        <s v="FRESH BABY PH5.5 W 15 BAG"/>
        <s v="FRESH BABY WATER 99.9% W 60 BAG"/>
        <s v="FRESH BABY P H5.5 W 72 BAG"/>
        <s v="FRESH BABY PH5.5 W 72 BAG KAPAK"/>
        <s v="GOLDEN SENSITIVE W 120 BAG"/>
        <s v="GOLDEN SENSITIVE W 72 BAG"/>
        <s v="MY FIX BABY ROSE FRESH W 80 BAG KAPAK"/>
        <s v="PUFFY BABY SENSITIVE PURE W 88 BAG KAPAK"/>
        <s v="TITO BABY SOFT COMFORT PH5.5 W 120 BAG"/>
        <s v="TITO BABY PH5.5 ALC.FREE W 72 BAG KAPAK"/>
        <s v="TITO BABY SOFT COMFORT PH5.5 W 72 BAG"/>
        <s v="FRESH BABY PREM.QUALITY PH5.5 W 120 BAG"/>
        <s v="FRESH SENSE CHAMOM.LOTION PH5.5 72 BAG"/>
        <s v="PUFY BABY CHAMOMILE PH5.5 W 120 BAG"/>
        <s v="SPEEDYCARE BABYLINECONCREMAMAXI 20 BAG"/>
        <s v="CAN BEBE BASIC CARE ALK.FREE W 56 BAG"/>
        <s v="BABS&amp;BABS BABY PH5.5 120 W BAG KAPAK"/>
        <s v="KOPRINA  FreshClean 72 W BAG KAPAK"/>
        <s v="BEBIKO VIPBABY ACTIVE&amp;SOFT PH5.5 100 BAG"/>
        <s v="BEBIKO VIP BABY ALOE VERA W 72 BAG KAPAK"/>
        <s v="PAPATYA BABY B5&amp;VIT E PH5.5 90 W BAG"/>
        <s v="PERFETTO PH5.5 ALC.FREE W 80 BAG"/>
        <s v="BETTY BABY ALC.FREE W 24 BAG"/>
        <s v="BETTY BABY ALC.FREE W 72 BAG"/>
        <s v="KLORANE BEBE CALENDULA ALC.FREE W 25 BAG"/>
        <s v="KLORANE BEBE CALENDULA CLEAN.LOTION W 70"/>
        <s v="KLORANE BEBE CALENDULA THICKCL. W 70 BAG"/>
        <s v="KLORANE BEBE CALENDULA W 70 SP.TS. BAG"/>
        <s v="FRESH BABY ALOE&amp;CALEN. PH5.5 W 60 BAG"/>
        <s v="FRESH BABY AQUA PURE PH5.5 W 60 BAG"/>
        <s v="FRESH BABY CARE ALOE VERA W 60 BAG"/>
        <s v="FRESH BABY SOFT CREAM W 60 BAG"/>
        <s v="SLIPP BEBE SENS.LOTION&amp;VITE&amp;B5 W 120 BAG"/>
        <s v="WATERWIPES FRUITEXTR.99.9%WATER W 60 BAG"/>
        <s v="PAMPERS AQUA PURE ALC.FREE 12 BAG+DIA"/>
        <s v="PAMPERS AQUA PURE ALC.FREE 12 BAG+DIA28"/>
        <s v="PAMPERS AQUA PURE ALC.FREE 12 BAG+DIA50"/>
        <s v="PAMPERS SENSITIVE ALC.FREE 12 BAG"/>
        <s v="PAMPERS SENSITIVE PH5.5 12 BAG"/>
        <s v="PAMPERS SENSITIVE PROTECT PH5.5 12 BAG"/>
        <s v="PAMPERS BABY FRESH 24 BAG"/>
        <s v="PAMPERS SOLE E LUNA CAMOMILLA 50/25%BAG"/>
        <s v="PAMPERS AQUA HARMONIE 99%WATER 3X48 BAG"/>
        <s v="PAMPERS AQUA HARMONIE 99%WATER AL.FR.48"/>
        <s v="PAMPERS AQUA PURE ALC.FREE 3X48 BAG"/>
        <s v="PAMPERS BABY FRESH CLEAN W 6X52 BAG"/>
        <s v="PAMPERS SENSITIVE 50 BAG"/>
        <s v="PAMPERS BABY FRESH CLEAN W 2X52 BAG"/>
        <s v="INCI FRESH VITE&amp;PROVITB5 PH5.5 W 120 BAG"/>
        <s v="MELANI BABY ALOEVERA&amp;VITE W 64 BAG KAPAK"/>
        <s v="PAMPERS BABY FRESH CLEAN W 52 BAG+DIA 38"/>
        <s v="PAMPERS BABY FRESH CLEAN W 52 BAG+DIA 40"/>
        <s v="PAMPERS BABY FRESH CLEAN W 52 BAG+DIA 42"/>
        <s v="PAMPERS BABY FRESH CLEAN W 52 BAG+DIA 44"/>
        <s v="PAMPERS BABY FRESH CLEAN W 52 BAG+DIA 51"/>
        <s v="PAMPERS BABY FRESH CLEAN W 52 BAG+DIA 52"/>
        <s v="PAMPERS BABY FRESH CLEAN W 52 BAG+DIA 53"/>
        <s v="PAMPERS BABY FRESH CLEAN W 52 BAG+DIA 54"/>
        <s v="PAMPERS BABY FRESH CLEAN W 52 BAG+DIA 58"/>
        <s v="PAMPERS BABY FRESH CLEAN W 52 BAG+DIA 60"/>
        <s v="PAMPERS BABY FRESH CLEAN W 52 BAG+DIA 66"/>
        <s v="PAMPERS BABY FRESH CLEAN W 52 BAG+DIA 68"/>
        <s v="PAMPERS BABY FRESH CLEAN W 52 BAG+DIA 76"/>
        <s v="PAMPERS BABY FRESH CLEAN W 52 BAG+DIA 78"/>
        <s v="PAMPERS BABY FRESH CLEAN W 52 BAG+DIA 90"/>
        <s v="PAMPERS BABY FRESH CLEAN W 52 BAG+DIA104"/>
        <s v="PAMPERS BABY FRESH CLEAN W 52 BAG+DIA50"/>
        <s v="PAMPERS BABY FRESH CLEAN W 52+DIA PANT38"/>
        <s v="PAMPERS SENSITIVE PH5.5 6X52 BAG"/>
        <s v="PAMPERS BABY FRESH CLEAN W52+DIA ACT6 44"/>
        <s v="PAMPERS BABY FRESH CLEAN W52+DIA PANTS60"/>
        <s v="PAMPERS SENSITIVE PH5.5 2X52 BAG"/>
        <s v="PAMPERS SENSITIVE PH5.5 4X52 BAG"/>
        <s v="PAMPERS SENSITIVE PH5.5 52 BAG"/>
        <s v="BABY CREMA WATER 99% W 72 BAG"/>
        <s v="PAMPERS SENSITIVE 54 BAG KAPAK"/>
        <s v="PAMPERS SENSITIVE 2X56 BAG"/>
        <s v="PAMPERS SENSITIVE 4X56 BAG"/>
        <s v="PAMPERS SENSITIVE 56 BAG"/>
        <s v="PAMPERS SENSITIVE 56 BAG KAPAK"/>
        <s v="PAMPERS SENSITIVE 56 BAG+DIA PANTS3 60"/>
        <s v="PAMPERS SENSITIVE 56 BAG+DIA PANTS4 52"/>
        <s v="PAMPERS SENSITIVE 56 BAG+DIA PANTS5 48"/>
        <s v="PAMPERS SENSITIVE 56 BAG+DIA PANTS5 48 1"/>
        <s v="PAMPERS SENSITIVE 56 BAG+DIA PANTS5 52"/>
        <s v="PAMPERS SENSITIVE 56 BAG+DIA PR CARE54"/>
        <s v="PAMPERS SENSITIVE 56 BAG+DIAPREMCARE3 60"/>
        <s v="PAMPERS SENSITIVE 56 BAG+DIAPREMCARE5 44"/>
        <s v="PAMPERS SENSITIVE 56BAG+DIA PANTS6 44"/>
        <s v="PAMPERS SENSITIVE 6X56/2BR FREE BAG"/>
        <s v="PAMPERS SENSITIVE CAMOMILE&amp;ALOE 56 BAG"/>
        <s v="PAMPERS SENSITIVE SOFTLIKECOTTON 56 BAG"/>
        <s v="PAMPERS SENSITIVE W 6X56/336 BAG"/>
        <s v="PAMPERS SENSITIVE XXL W 6X56/2BR FR BAG"/>
        <s v="PAMPERS BABY FRESH ALOE W 64 BAG"/>
        <s v="PAMPERS BABY FRESH CLEAN W 4X64 BAG"/>
        <s v="PAMPERS BABY FRESH CLEAN W 64 BAG"/>
        <s v="PAMPERS BABY FRESH CLEAN W 64 BAG+DIA 42"/>
        <s v="PAMPERS BABY FRESH CLEAN W 64 BAG+DIA 76"/>
        <s v="PAMPERS BABY FRESH CLEAN W 64 BAG+DIA68"/>
        <s v="PAMPERS BABY FRESH CLEAN W 6X64/384 BAG"/>
        <s v="PAMPERS BABY FRESH ECONOMY W 2X64 BAG"/>
        <s v="PAMPERS BABYFRESHCLEAN ALOE W 6X64/2BRFR"/>
        <s v="PAMPERS BABYFRESHCLEAN W 3X64/1FREE BAG"/>
        <s v="PAMPERS BABYFRESHCLEAN W 6X64/2BRFR BAG"/>
        <s v="PAMPERS CLEAN&amp;PLAY 64 BAG"/>
        <s v="PAMPERS NATURAL CLEAN W 64 BAG KAPAK"/>
        <s v="PAMPERS NATURALCLEAN FRAGR.FREE W 64 BAG"/>
        <s v="PAMPERS NATURALLY CLEAN W 4X64 BAG"/>
        <s v="PAMPERS NATURALLY CLEAN+CHAMOMILE W 2X64"/>
        <s v="PAMPERS NATURALLYCLEAN+CHAMOMILE W64 BAG"/>
        <s v="PAMPERS NATURALLYCLEAN+CHAMOMILE4X64/1FR"/>
        <s v="KIDS BABY WET WIPES W 72 BAG KAPACHE"/>
        <s v="BABYCREMA PLAYTIME CAMOMILE W 100 ORANGE"/>
        <s v="PAMPERS HARMONIE COCO AL.FREE 3X42 BAG"/>
        <s v="PAMPERS HARMONIE COCO AL.FREE 42 BAG"/>
        <s v="PAMPERS PURE COCONUT AL.FREE 3X42 BAG"/>
        <s v="PAMPERS PURE COCONUT AL.FREE 42 BAG"/>
        <s v="PAMPERS 72 R BAG"/>
        <s v="PAMPERS SENSITIVE 56 BOX"/>
        <s v="PRIMA HASSAS CILTLER W 56 BAG"/>
        <s v="PRIMA  FreshClean ALOE W 64 BAG"/>
        <s v="URIAGE BEBE HYPOALERGENIC W 2X70/1FR BAG"/>
        <s v="URIAGE BEBE HYPOALERGENIC W 70 BAG"/>
        <s v="BEBECAN EXTRASOFT PH5.5 ALC.FREE W 72BAG"/>
        <s v="BIMBO&amp;BIMBA CHAMOMILE&amp;ALOE W 80 BAG"/>
        <s v="BIMBO&amp;BIMBA CHAMOMILE&amp;CALENDULA W 80 BAG"/>
        <s v="BIMBO&amp;BIMBA CHAMOMILE&amp;LAVENDER W 80 BAG"/>
        <s v="BIMBO&amp;BIMBA CHAMOMILE&amp;SMRADLIKA W 80 BAG"/>
        <s v="VIBELLE BABY RASPBERRY VIT E PH5.5 W 144"/>
        <s v="VIBELLE BABY ULTRA SENS.ROSE PH5.5 W 144"/>
        <s v="BELUX BABY SENS.CREAM LOTION W 120 BAG"/>
        <s v="BELUX ULTRA SENSITIVE W 120/48GRATIS BAG"/>
        <s v="SECKIN PROVITB5 PH5.5 ALC.FREE W 102 BAG"/>
        <s v="SOFT CARE COTTON VIT ECHAMOMILE W 72 BAG"/>
        <s v="HOPS P H5.5 W 90/18BONUS ORANJEVI BAG"/>
        <s v="MAXIMENS VIT E&amp;PRO VIT B5 W 72 BAG"/>
        <s v="DOCTOR WIPES BABY GRAPES W 60 BAG KAPAK"/>
        <s v="DOCTOR WIPES BABY W 72 BAG &amp;&amp;&amp;"/>
        <s v="MEDPROFESSIONAL BABYPOWDERARGANOIL W 24"/>
        <s v="MED PROFESSIONAL BABY ALOE VERA W 60 BAG"/>
        <s v="MEDPROFESSIONAL BABYGRAPESEEDOIL W 60BAG"/>
        <s v="SPRING LINE  FreshClean W 120 BAG &amp;&amp;&amp;"/>
        <s v="SPRINGLINE BABY COMPLEX5VITAMINS W 72BAG"/>
        <s v="GIAN BABY CREAM PH5.5 W 120 BAG"/>
        <s v="GIAN BABY CREAM PH5.5 W 72 BAG"/>
        <s v="SEBAMED BABYCLEANSING EXTRASOFT W 72 BAG"/>
        <s v="SEBAMED BABY OIL WIPES W 70 BOX"/>
        <s v="MAMMI PH5.5 ALC.FREE W 72 BAG SINI"/>
        <s v="MAMMI PH5.5 ALC.FREE W 72 BAG ZELENI"/>
        <s v="ASALI BABY ULTRA SOFT VIT.E W 120 BAG"/>
        <s v="COTTON SOFT CHAMOMILE ALC.FREE W 100 BAG"/>
        <s v="PAMPERS BABY FRESH CLEAN W 4X52 BAG"/>
        <s v="COTTON SOFT PH5.5 W 72 BAG KAPAK"/>
        <s v="COTTON SOFT W 72 BAG"/>
        <s v="ELVIM BABY JUMBO SENSITIVE W 120 BAG"/>
        <s v="ELVIM ULTRA SENSITIVE VIT E&amp;B5 W 70 BAG"/>
        <s v="ELVIM BABY PH5.5 ALC.FREE W 72 BAG"/>
        <s v="ELVIM BABY ULTRASENSITIVE LOTION&amp;VITE 72"/>
        <s v="ELVIM BABY ULTRASENSITIVE LOTION&amp;VITE 90"/>
        <s v="FLAMINGO BABY ULTRASENS.LOTION&amp;VITE 70 B"/>
        <s v="INCI FRESH VITE&amp;PROVITB5 ALC.FREE W 100"/>
        <s v="COTTON SOFT PH5.5 W 120 BAG KAPAK"/>
        <s v="INCI FRESH ULTRASOFT VITE&amp;PROVITB5 W 144"/>
        <s v="INCI FRESH VITE&amp;PROVITB5 PH5.5 W 60 BAG"/>
        <s v="INCI FRESH VITE&amp;PROVITB5 PH5.5 W 72 BAG"/>
        <s v="INCI FRESH VITE&amp;PROVITB5 PH5.5 W 90/18FR"/>
        <s v="SEPTONA CALM NCARE CHAMOM BABY 12 W BAG"/>
        <s v="SEPTONA ALOE VERA BABY ALC.FREE 20 BAG"/>
        <s v="SEPTONA CHAMOMILE BABY 20 W BAG"/>
        <s v="SEPTONA SENSITIVE ALMOND&amp;MILK W 20 BAG"/>
        <s v="SEPTONA SENSITIVE CALMN CARE W 54 BAG"/>
        <s v="SEPTONA CALM NCARE PANTENOL W 57 BAG"/>
        <s v="SEPTONA ALOE VERA BABY 64 BAG"/>
        <s v="SEPTONA CHAMOMILE BABY 3X64/1GR W BAG"/>
        <s v="SEPTONA CHAMOMILE BABY 64 W BAG"/>
        <s v="SEPTONA CHAMOMILE BABY 64 W BAG KAPAK"/>
        <s v="SEPTONA SENSITIVE ALMOND&amp;MILK W 3X64/1FR"/>
        <s v="SEPTONA SENSITIVE ALMOND&amp;MILK W 64 BAG"/>
        <s v="SEPTONA SENSITIVE CALMN CARE W 64 BAG"/>
        <s v="SEPTONA MILD FRAGANCE ALC.FREE W 72 BAG"/>
        <s v="SEPTONA CALM NCARE PANTENOL W 75 BAG"/>
        <s v="SEPTONA CALMN CARE ALOE VERA W 80 BAG"/>
        <s v="IASSMIN BABY CREAM PH5.5 W 72 BAG"/>
        <s v="JUNIOR&amp;TOMMY SENSITIVE W 120 BAG KAPAK"/>
        <s v="JUNIOR&amp;TOMMY SENSITIVE W 72 BAG"/>
        <s v="JUNIOR&amp;TOMMY SENSITIVE W 72 BAG KAPAK"/>
        <s v="LADY FRESH BABY ALC.FREE W 105/5FREE"/>
        <s v="NIK&amp;SI BABY PH5.5 W 72 BAG KAPAK"/>
        <s v="NIKI BABY ALC.FREE W 130/10FR BAG KAPAK"/>
        <s v="PEPINO BABY P H5.5 W 120/20FREE BAG"/>
        <s v="PEPINO BABY P H5.5 W 130/10FREE BAG"/>
        <s v="PEPINO BABY SOFT&amp;LUX P H5.5 W 70 BAG"/>
        <s v="RENKLI MAGIC P H5.5 W 120 BAG KAPAK"/>
        <s v="RENKLI PREMIUM BABY ALC.FREE W 130 BAG"/>
        <s v="RENKLI BABY KIDS P H5.5 W 72 BAG"/>
        <s v="RENKLI BABY KIDS P H5.5 W 72 BAG KAPAK"/>
        <s v="RENKLI ZOO ANTIBACTERIAL W 72 BAG KAPAK"/>
        <s v="RENKLI BABY LUX PH5.5 W 2X80 BAG"/>
        <s v="RENKLI BABY LUX W 80 BAG KAPACHE"/>
        <s v="SEMI LOVESOFT BABY P.H5.5 W 72 KAPAK BAG"/>
        <s v="SWEET BABY ALOEVERA PH5.5 W 72 BAG KAPAK"/>
        <s v="FARMACOTONE BEBE CALENDULA SENS. 60 BAG"/>
        <s v="FARMACOTONE BIO ALOE&amp;ALMOND PH5.5 72 BAG"/>
        <s v="VOI MULTI VITAMINS PH5.5 W 100 BAG SINI"/>
        <s v="VOI MULTIVITAMINS PH5.5 W 100 BAG PURPLE"/>
        <s v="VOI CREAM LOTION PH5.5 W 120 BAG KAPAK"/>
        <s v="VOI CHAMOMILE PH5.5 W 72 BAG KAPAK"/>
        <s v="VOI CREAM LOTION PH5.5 W 72 BAG KAPAK"/>
        <s v="NATURAVERDE BIO AVENACAMMOMILA W 20 BAG"/>
        <s v="NATURAVERDE BIO AVENACAMMOMILA W 72 BAG"/>
        <s v="TOVA  FreshClean PH5.5 W 120 BAG"/>
        <s v="ALVESTA BABY PH5.5 W 120 BAG KAPAK"/>
        <s v="ALVESTA BABY PH5.5 W 72 BAG KAPAK"/>
        <s v="MIS MAK CLEANSE&amp;REFRESH PH5.5 W 72 BAG"/>
        <s v="BIVY BABY NEWBORN W 60 BAG KAPAK"/>
        <s v="BIVY SOFT&amp;FRESH PROVITB5&amp;VITE W 72 BAG"/>
        <s v="DAISY BABY WET WIPES W 120 BAG"/>
        <s v="BEBECAN PH5.5 W 72 BAG TNCR GIDA KAPAK"/>
        <s v="HUGO BABY ALC.FREE W 120 BAG"/>
        <s v="PROSOFT VITE&amp;PROVITB5 W 72 BAG CHERVENI"/>
        <s v="PROSOFT VITE&amp;PROVITB5 W 72 BAG ZELENI"/>
        <s v="BAMBINO SENS.ALOE&amp;OLIVE ALC.FREE W100BAG"/>
        <s v="UNAC BABY LOTION&amp;VIT.E AL.FREE W 120 BAG"/>
        <s v="DOVE BABY RICHMOISTURE ALC.FREE W 50 BAG"/>
        <s v="DOVE BABY SENSITIVE MOISTURE W 50 BAG"/>
        <s v="BEBECAN BABY PH5.5 W 72 BAG YESIL"/>
      </sharedItems>
    </cacheField>
    <cacheField name="Package Type" numFmtId="49">
      <sharedItems/>
    </cacheField>
    <cacheField name="Protection/Care" numFmtId="49">
      <sharedItems/>
    </cacheField>
    <cacheField name="Package Size" numFmtId="49">
      <sharedItems containsMixedTypes="1" containsNumber="1" containsInteger="1" minValue="42" maxValue="42"/>
    </cacheField>
    <cacheField name="2022" numFmtId="2">
      <sharedItems containsSemiMixedTypes="0" containsString="0" containsNumber="1" minValue="0" maxValue="1663.8369"/>
    </cacheField>
    <cacheField name="2023" numFmtId="2">
      <sharedItems containsSemiMixedTypes="0" containsString="0" containsNumber="1" minValue="0" maxValue="1815.6596999999999"/>
    </cacheField>
    <cacheField name="YTD 2024" numFmtId="2">
      <sharedItems containsSemiMixedTypes="0" containsString="0" containsNumber="1" minValue="0" maxValue="1049.2485999999999"/>
    </cacheField>
    <cacheField name="Volume 2022" numFmtId="2">
      <sharedItems containsSemiMixedTypes="0" containsString="0" containsNumber="1" minValue="0" maxValue="62012.672500000001"/>
    </cacheField>
    <cacheField name="Volume 2023" numFmtId="2">
      <sharedItems containsSemiMixedTypes="0" containsString="0" containsNumber="1" minValue="0" maxValue="68679.966"/>
    </cacheField>
    <cacheField name="Volume YTD 2024" numFmtId="2">
      <sharedItems containsSemiMixedTypes="0" containsString="0" containsNumber="1" minValue="0" maxValue="37856.881999999998"/>
    </cacheField>
    <cacheField name="Total Value" numFmtId="2">
      <sharedItems containsSemiMixedTypes="0" containsString="0" containsNumber="1" minValue="0" maxValue="4528.7451999999994"/>
    </cacheField>
    <cacheField name="YoY growth" numFmtId="10">
      <sharedItems containsSemiMixedTypes="0" containsString="0" containsNumber="1" minValue="-1" maxValue="3411.2419354838707"/>
    </cacheField>
    <cacheField name="Volume growth" numFmtId="10">
      <sharedItems containsSemiMixedTypes="0" containsString="0" containsNumber="1" minValue="-1" maxValue="3351.8857844642312"/>
    </cacheField>
    <cacheField name="Price Growth" numFmtId="10">
      <sharedItems containsSemiMixedTypes="0" containsString="0" containsNumber="1" minValue="-19.188206669529123" maxValue="59.356151019639583"/>
    </cacheField>
    <cacheField name="mini value trend lin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7.897925347221" backgroundQuery="1" createdVersion="3" refreshedVersion="8" minRefreshableVersion="3" recordCount="0" supportSubquery="1" supportAdvancedDrill="1" xr:uid="{AB8DF172-DFEE-4127-9FB3-6C494BE601B1}">
  <cacheSource type="external" connectionId="2">
    <extLst>
      <ext xmlns:x14="http://schemas.microsoft.com/office/spreadsheetml/2009/9/main" uri="{F057638F-6D5F-4e77-A914-E7F072B9BCA8}">
        <x14:sourceConnection name="ThisWorkbookDataModel"/>
      </ext>
    </extLst>
  </cacheSource>
  <cacheFields count="0"/>
  <cacheHierarchies count="114">
    <cacheHierarchy uniqueName="[Table1].[MANUFACTURER2]" caption="MANUFACTURER2" attribute="1" defaultMemberUniqueName="[Table1].[MANUFACTURER2].[All]" allUniqueName="[Table1].[MANUFACTURER2].[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ompany]" caption="Company" attribute="1" defaultMemberUniqueName="[Table1].[Company].[All]" allUniqueName="[Table1].[Compan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ackage Type]" caption="Package Type" attribute="1" defaultMemberUniqueName="[Table1].[Package Type].[All]" allUniqueName="[Table1].[Package Type].[All]" dimensionUniqueName="[Table1]" displayFolder="" count="0" memberValueDatatype="130" unbalanced="0"/>
    <cacheHierarchy uniqueName="[Table1].[Protection/Care]" caption="Protection/Care" attribute="1" defaultMemberUniqueName="[Table1].[Protection/Care].[All]" allUniqueName="[Table1].[Protection/Care].[All]" dimensionUniqueName="[Table1]" displayFolder="" count="0" memberValueDatatype="130" unbalanced="0"/>
    <cacheHierarchy uniqueName="[Table1].[Package Size]" caption="Package Size" attribute="1" defaultMemberUniqueName="[Table1].[Package Size].[All]" allUniqueName="[Table1].[Package Size].[All]" dimensionUniqueName="[Table1]" displayFolder="" count="0" memberValueDatatype="130" unbalanced="0"/>
    <cacheHierarchy uniqueName="[Table1].[2022]" caption="2022" attribute="1" defaultMemberUniqueName="[Table1].[2022].[All]" allUniqueName="[Table1].[2022].[All]" dimensionUniqueName="[Table1]" displayFolder="" count="0" memberValueDatatype="5" unbalanced="0"/>
    <cacheHierarchy uniqueName="[Table1].[2023]" caption="2023" attribute="1" defaultMemberUniqueName="[Table1].[2023].[All]" allUniqueName="[Table1].[2023].[All]" dimensionUniqueName="[Table1]" displayFolder="" count="0" memberValueDatatype="5" unbalanced="0"/>
    <cacheHierarchy uniqueName="[Table1].[YTD 2024]" caption="YTD 2024" attribute="1" defaultMemberUniqueName="[Table1].[YTD 2024].[All]" allUniqueName="[Table1].[YTD 2024].[All]" dimensionUniqueName="[Table1]" displayFolder="" count="0" memberValueDatatype="5" unbalanced="0"/>
    <cacheHierarchy uniqueName="[Table1].[Volume 2022]" caption="Volume 2022" attribute="1" defaultMemberUniqueName="[Table1].[Volume 2022].[All]" allUniqueName="[Table1].[Volume 2022].[All]" dimensionUniqueName="[Table1]" displayFolder="" count="0" memberValueDatatype="5" unbalanced="0"/>
    <cacheHierarchy uniqueName="[Table1].[Volume 2023]" caption="Volume 2023" attribute="1" defaultMemberUniqueName="[Table1].[Volume 2023].[All]" allUniqueName="[Table1].[Volume 2023].[All]" dimensionUniqueName="[Table1]" displayFolder="" count="0" memberValueDatatype="5" unbalanced="0"/>
    <cacheHierarchy uniqueName="[Table1].[Volume YTD 2024]" caption="Volume YTD 2024" attribute="1" defaultMemberUniqueName="[Table1].[Volume YTD 2024].[All]" allUniqueName="[Table1].[Volume YTD 2024].[All]" dimensionUniqueName="[Table1]" displayFolder="" count="0" memberValueDatatype="5" unbalanced="0"/>
    <cacheHierarchy uniqueName="[Table1].[Total Value]" caption="Total Value" attribute="1" defaultMemberUniqueName="[Table1].[Total Value].[All]" allUniqueName="[Table1].[Total Value].[All]" dimensionUniqueName="[Table1]" displayFolder="" count="0" memberValueDatatype="5" unbalanced="0"/>
    <cacheHierarchy uniqueName="[Table2].[PRODUCT]" caption="PRODUCT" attribute="1" defaultMemberUniqueName="[Table2].[PRODUCT].[All]" allUniqueName="[Table2].[PRODUCT].[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PACKAGE TYPE]" caption="PACKAGE TYPE" attribute="1" defaultMemberUniqueName="[Table2].[PACKAGE TYPE].[All]" allUniqueName="[Table2].[PACKAGE TYPE].[All]" dimensionUniqueName="[Table2]" displayFolder="" count="0" memberValueDatatype="130" unbalanced="0"/>
    <cacheHierarchy uniqueName="[Table2].[PROTECTION / CARE]" caption="PROTECTION / CARE" attribute="1" defaultMemberUniqueName="[Table2].[PROTECTION / CARE].[All]" allUniqueName="[Table2].[PROTECTION / CARE].[All]" dimensionUniqueName="[Table2]" displayFolder="" count="0" memberValueDatatype="130" unbalanced="0"/>
    <cacheHierarchy uniqueName="[Table2].[PACKAGE SIZE]" caption="PACKAGE SIZE" attribute="1" defaultMemberUniqueName="[Table2].[PACKAGE SIZE].[All]" allUniqueName="[Table2].[PACKAGE SIZE].[All]" dimensionUniqueName="[Table2]" displayFolder="" count="0" memberValueDatatype="130" unbalanced="0"/>
    <cacheHierarchy uniqueName="[Table2].[2022]" caption="2022" attribute="1" defaultMemberUniqueName="[Table2].[2022].[All]" allUniqueName="[Table2].[2022].[All]" dimensionUniqueName="[Table2]" displayFolder="" count="0" memberValueDatatype="130" unbalanced="0"/>
    <cacheHierarchy uniqueName="[Table2].[2023]" caption="2023" attribute="1" defaultMemberUniqueName="[Table2].[2023].[All]" allUniqueName="[Table2].[2023].[All]" dimensionUniqueName="[Table2]" displayFolder="" count="0" memberValueDatatype="5" unbalanced="0"/>
    <cacheHierarchy uniqueName="[Table2].[YTD 24]" caption="YTD 24" attribute="1" defaultMemberUniqueName="[Table2].[YTD 24].[All]" allUniqueName="[Table2].[YTD 24].[All]" dimensionUniqueName="[Table2]" displayFolder="" count="0" memberValueDatatype="5" unbalanced="0"/>
    <cacheHierarchy uniqueName="[Table2].[Volume 2022]" caption="Volume 2022" attribute="1" defaultMemberUniqueName="[Table2].[Volume 2022].[All]" allUniqueName="[Table2].[Volume 2022].[All]" dimensionUniqueName="[Table2]" displayFolder="" count="0" memberValueDatatype="5" unbalanced="0"/>
    <cacheHierarchy uniqueName="[Table2].[Volume 2023]" caption="Volume 2023" attribute="1" defaultMemberUniqueName="[Table2].[Volume 2023].[All]" allUniqueName="[Table2].[Volume 2023].[All]" dimensionUniqueName="[Table2]" displayFolder="" count="0" memberValueDatatype="5" unbalanced="0"/>
    <cacheHierarchy uniqueName="[Table2].[Volume YTD 2024]" caption="Volume YTD 2024" attribute="1" defaultMemberUniqueName="[Table2].[Volume YTD 2024].[All]" allUniqueName="[Table2].[Volume YTD 2024].[All]" dimensionUniqueName="[Table2]" displayFolder="" count="0" memberValueDatatype="5" unbalanced="0"/>
    <cacheHierarchy uniqueName="[Table2].[Total Value]" caption="Total Value" attribute="1" defaultMemberUniqueName="[Table2].[Total Value].[All]" allUniqueName="[Table2].[Total Value].[All]" dimensionUniqueName="[Table2]" displayFolder="" count="0" memberValueDatatype="5" unbalanced="0"/>
    <cacheHierarchy uniqueName="[Table2].[YOY Growth 23]" caption="YOY Growth 23" attribute="1" defaultMemberUniqueName="[Table2].[YOY Growth 23].[All]" allUniqueName="[Table2].[YOY Growth 23].[All]" dimensionUniqueName="[Table2]" displayFolder="" count="0" memberValueDatatype="5" unbalanced="0"/>
    <cacheHierarchy uniqueName="[Table2].[YTD Growth 24]" caption="YTD Growth 24" attribute="1" defaultMemberUniqueName="[Table2].[YTD Growth 24].[All]" allUniqueName="[Table2].[YTD Growth 24].[All]" dimensionUniqueName="[Table2]" displayFolder="" count="0" memberValueDatatype="5" unbalanced="0"/>
    <cacheHierarchy uniqueName="[Table2].[Price 2022]" caption="Price 2022" attribute="1" defaultMemberUniqueName="[Table2].[Price 2022].[All]" allUniqueName="[Table2].[Price 2022].[All]" dimensionUniqueName="[Table2]" displayFolder="" count="0" memberValueDatatype="5" unbalanced="0"/>
    <cacheHierarchy uniqueName="[Table2].[Price 2023]" caption="Price 2023" attribute="1" defaultMemberUniqueName="[Table2].[Price 2023].[All]" allUniqueName="[Table2].[Price 2023].[All]" dimensionUniqueName="[Table2]" displayFolder="" count="0" memberValueDatatype="5" unbalanced="0"/>
    <cacheHierarchy uniqueName="[Table2].[Price 2024]" caption="Price 2024" attribute="1" defaultMemberUniqueName="[Table2].[Price 2024].[All]" allUniqueName="[Table2].[Price 2024].[All]" dimensionUniqueName="[Table2]" displayFolder="" count="0" memberValueDatatype="5" unbalanced="0"/>
    <cacheHierarchy uniqueName="[Table4].[Manufacturer]" caption="Manufacturer" attribute="1" defaultMemberUniqueName="[Table4].[Manufacturer].[All]" allUniqueName="[Table4].[Manufacturer].[All]" dimensionUniqueName="[Table4]" displayFolder="" count="0" memberValueDatatype="130" unbalanced="0"/>
    <cacheHierarchy uniqueName="[Table4].[2022]" caption="2022" attribute="1" defaultMemberUniqueName="[Table4].[2022].[All]" allUniqueName="[Table4].[2022].[All]" dimensionUniqueName="[Table4]" displayFolder="" count="0" memberValueDatatype="5" unbalanced="0"/>
    <cacheHierarchy uniqueName="[Table4].[2023]" caption="2023" attribute="1" defaultMemberUniqueName="[Table4].[2023].[All]" allUniqueName="[Table4].[2023].[All]" dimensionUniqueName="[Table4]" displayFolder="" count="0" memberValueDatatype="5" unbalanced="0"/>
    <cacheHierarchy uniqueName="[Table4].[YTD 2024]" caption="YTD 2024" attribute="1" defaultMemberUniqueName="[Table4].[YTD 2024].[All]" allUniqueName="[Table4].[YTD 2024].[All]" dimensionUniqueName="[Table4]" displayFolder="" count="0" memberValueDatatype="5" unbalanced="0"/>
    <cacheHierarchy uniqueName="[Table4].[Volume 2022]" caption="Volume 2022" attribute="1" defaultMemberUniqueName="[Table4].[Volume 2022].[All]" allUniqueName="[Table4].[Volume 2022].[All]" dimensionUniqueName="[Table4]" displayFolder="" count="0" memberValueDatatype="5" unbalanced="0"/>
    <cacheHierarchy uniqueName="[Table4].[Volume 2023]" caption="Volume 2023" attribute="1" defaultMemberUniqueName="[Table4].[Volume 2023].[All]" allUniqueName="[Table4].[Volume 2023].[All]" dimensionUniqueName="[Table4]" displayFolder="" count="0" memberValueDatatype="5" unbalanced="0"/>
    <cacheHierarchy uniqueName="[Table4].[Volume 2024]" caption="Volume 2024" attribute="1" defaultMemberUniqueName="[Table4].[Volume 2024].[All]" allUniqueName="[Table4].[Volume 2024].[All]" dimensionUniqueName="[Table4]" displayFolder="" count="0" memberValueDatatype="5" unbalanced="0"/>
    <cacheHierarchy uniqueName="[Table4].[Total Value]" caption="Total Value" attribute="1" defaultMemberUniqueName="[Table4].[Total Value].[All]" allUniqueName="[Table4].[Total Value].[All]" dimensionUniqueName="[Table4]" displayFolder="" count="0" memberValueDatatype="5" unbalanced="0"/>
    <cacheHierarchy uniqueName="[Table4].[YoY Growth 23]" caption="YoY Growth 23" attribute="1" defaultMemberUniqueName="[Table4].[YoY Growth 23].[All]" allUniqueName="[Table4].[YoY Growth 23].[All]" dimensionUniqueName="[Table4]" displayFolder="" count="0" memberValueDatatype="5" unbalanced="0"/>
    <cacheHierarchy uniqueName="[Table4].[YTD Growth]" caption="YTD Growth" attribute="1" defaultMemberUniqueName="[Table4].[YTD Growth].[All]" allUniqueName="[Table4].[YTD Growth].[All]" dimensionUniqueName="[Table4]" displayFolder="" count="0" memberValueDatatype="5" unbalanced="0"/>
    <cacheHierarchy uniqueName="[Table4].[Price 2022]" caption="Price 2022" attribute="1" defaultMemberUniqueName="[Table4].[Price 2022].[All]" allUniqueName="[Table4].[Price 2022].[All]" dimensionUniqueName="[Table4]" displayFolder="" count="0" memberValueDatatype="5" unbalanced="0"/>
    <cacheHierarchy uniqueName="[Table4].[Price 2023]" caption="Price 2023" attribute="1" defaultMemberUniqueName="[Table4].[Price 2023].[All]" allUniqueName="[Table4].[Price 2023].[All]" dimensionUniqueName="[Table4]" displayFolder="" count="0" memberValueDatatype="5" unbalanced="0"/>
    <cacheHierarchy uniqueName="[Table4].[Price 2024]" caption="Price 2024" attribute="1" defaultMemberUniqueName="[Table4].[Price 2024].[All]" allUniqueName="[Table4].[Price 2024].[All]" dimensionUniqueName="[Table4]" displayFolder="" count="0" memberValueDatatype="5" unbalanced="0"/>
    <cacheHierarchy uniqueName="[Table4_1].[Manufacturer]" caption="Manufacturer" attribute="1" defaultMemberUniqueName="[Table4_1].[Manufacturer].[All]" allUniqueName="[Table4_1].[Manufacturer].[All]" dimensionUniqueName="[Table4_1]" displayFolder="" count="0" memberValueDatatype="130" unbalanced="0"/>
    <cacheHierarchy uniqueName="[Table4_1].[Average Value]" caption="Average Value" attribute="1" defaultMemberUniqueName="[Table4_1].[Average Value].[All]" allUniqueName="[Table4_1].[Average Value].[All]" dimensionUniqueName="[Table4_1]" displayFolder="" count="0" memberValueDatatype="5" unbalanced="0"/>
    <cacheHierarchy uniqueName="[Table4_1].[Volume 2022]" caption="Volume 2022" attribute="1" defaultMemberUniqueName="[Table4_1].[Volume 2022].[All]" allUniqueName="[Table4_1].[Volume 2022].[All]" dimensionUniqueName="[Table4_1]" displayFolder="" count="0" memberValueDatatype="5" unbalanced="0"/>
    <cacheHierarchy uniqueName="[Table4_1].[Volume 2023]" caption="Volume 2023" attribute="1" defaultMemberUniqueName="[Table4_1].[Volume 2023].[All]" allUniqueName="[Table4_1].[Volume 2023].[All]" dimensionUniqueName="[Table4_1]" displayFolder="" count="0" memberValueDatatype="5" unbalanced="0"/>
    <cacheHierarchy uniqueName="[Table4_1].[Volume 2024]" caption="Volume 2024" attribute="1" defaultMemberUniqueName="[Table4_1].[Volume 2024].[All]" allUniqueName="[Table4_1].[Volume 2024].[All]" dimensionUniqueName="[Table4_1]" displayFolder="" count="0" memberValueDatatype="5" unbalanced="0"/>
    <cacheHierarchy uniqueName="[Table4_1].[Average Volume]" caption="Average Volume" attribute="1" defaultMemberUniqueName="[Table4_1].[Average Volume].[All]" allUniqueName="[Table4_1].[Average Volume].[All]" dimensionUniqueName="[Table4_1]" displayFolder="" count="0" memberValueDatatype="5" unbalanced="0"/>
    <cacheHierarchy uniqueName="[Table4_1].[Average Price]" caption="Average Price" attribute="1" defaultMemberUniqueName="[Table4_1].[Average Price].[All]" allUniqueName="[Table4_1].[Average Price].[All]" dimensionUniqueName="[Table4_1]" displayFolder="" count="0" memberValueDatatype="5" unbalanced="0"/>
    <cacheHierarchy uniqueName="[Table7].[in 000s]" caption="in 000s" attribute="1" defaultMemberUniqueName="[Table7].[in 000s].[All]" allUniqueName="[Table7].[in 000s].[All]" dimensionUniqueName="[Table7]" displayFolder="" count="0" memberValueDatatype="130" unbalanced="0"/>
    <cacheHierarchy uniqueName="[Table7].[2022]" caption="2022" attribute="1" defaultMemberUniqueName="[Table7].[2022].[All]" allUniqueName="[Table7].[2022].[All]" dimensionUniqueName="[Table7]" displayFolder="" count="0" memberValueDatatype="5" unbalanced="0"/>
    <cacheHierarchy uniqueName="[Table7].[2023]" caption="2023" attribute="1" defaultMemberUniqueName="[Table7].[2023].[All]" allUniqueName="[Table7].[2023].[All]" dimensionUniqueName="[Table7]" displayFolder="" count="0" memberValueDatatype="5" unbalanced="0"/>
    <cacheHierarchy uniqueName="[Table7].[YTD 2024]" caption="YTD 2024" attribute="1" defaultMemberUniqueName="[Table7].[YTD 2024].[All]" allUniqueName="[Table7].[YTD 2024].[All]" dimensionUniqueName="[Table7]" displayFolder="" count="0" memberValueDatatype="5" unbalanced="0"/>
    <cacheHierarchy uniqueName="[Table7].[Volume 2022]" caption="Volume 2022" attribute="1" defaultMemberUniqueName="[Table7].[Volume 2022].[All]" allUniqueName="[Table7].[Volume 2022].[All]" dimensionUniqueName="[Table7]" displayFolder="" count="0" memberValueDatatype="5" unbalanced="0"/>
    <cacheHierarchy uniqueName="[Table7].[Volume 2023]" caption="Volume 2023" attribute="1" defaultMemberUniqueName="[Table7].[Volume 2023].[All]" allUniqueName="[Table7].[Volume 2023].[All]" dimensionUniqueName="[Table7]" displayFolder="" count="0" memberValueDatatype="5" unbalanced="0"/>
    <cacheHierarchy uniqueName="[Table7].[Volume YTD 2024]" caption="Volume YTD 2024" attribute="1" defaultMemberUniqueName="[Table7].[Volume YTD 2024].[All]" allUniqueName="[Table7].[Volume YTD 2024].[All]" dimensionUniqueName="[Table7]" displayFolder="" count="0" memberValueDatatype="5" unbalanced="0"/>
    <cacheHierarchy uniqueName="[Table7].[Total Volume]" caption="Total Volume" attribute="1" defaultMemberUniqueName="[Table7].[Total Volume].[All]" allUniqueName="[Table7].[Total Volume].[All]" dimensionUniqueName="[Table7]" displayFolder="" count="0" memberValueDatatype="5" unbalanced="0"/>
    <cacheHierarchy uniqueName="[Table7].[Total Value]" caption="Total Value" attribute="1" defaultMemberUniqueName="[Table7].[Total Value].[All]" allUniqueName="[Table7].[Total Value].[All]" dimensionUniqueName="[Table7]" displayFolder="" count="0" memberValueDatatype="5" unbalanced="0"/>
    <cacheHierarchy uniqueName="[Table7].[YoY growth]" caption="YoY growth" attribute="1" defaultMemberUniqueName="[Table7].[YoY growth].[All]" allUniqueName="[Table7].[YoY growth].[All]" dimensionUniqueName="[Table7]" displayFolder="" count="0" memberValueDatatype="5" unbalanced="0"/>
    <cacheHierarchy uniqueName="[Table7].[Volume growth]" caption="Volume growth" attribute="1" defaultMemberUniqueName="[Table7].[Volume growth].[All]" allUniqueName="[Table7].[Volume growth].[All]" dimensionUniqueName="[Table7]" displayFolder="" count="0" memberValueDatatype="5" unbalanced="0"/>
    <cacheHierarchy uniqueName="[Table7].[price growth]" caption="price growth" attribute="1" defaultMemberUniqueName="[Table7].[price growth].[All]" allUniqueName="[Table7].[price growth].[All]" dimensionUniqueName="[Table7]" displayFolder="" count="0" memberValueDatatype="5" unbalanced="0"/>
    <cacheHierarchy uniqueName="[Measures].[__XL_Count Table4]" caption="__XL_Count Table4" measure="1" displayFolder="" measureGroup="Table4" count="0" hidden="1"/>
    <cacheHierarchy uniqueName="[Measures].[__XL_Count Table7]" caption="__XL_Count Table7" measure="1" displayFolder="" measureGroup="Table7" count="0" hidden="1"/>
    <cacheHierarchy uniqueName="[Measures].[__XL_Count Table2]" caption="__XL_Count Table2" measure="1" displayFolder="" measureGroup="Table2" count="0" hidden="1"/>
    <cacheHierarchy uniqueName="[Measures].[__XL_Count Table4_1]" caption="__XL_Count Table4_1" measure="1" displayFolder="" measureGroup="Table4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2022]" caption="Sum of 2022" measure="1" displayFolder="" measureGroup="Table4" count="0" hidden="1"/>
    <cacheHierarchy uniqueName="[Measures].[Sum of 2023]" caption="Sum of 2023" measure="1" displayFolder="" measureGroup="Table4" count="0" hidden="1"/>
    <cacheHierarchy uniqueName="[Measures].[Sum of YTD 2024]" caption="Sum of YTD 2024" measure="1" displayFolder="" measureGroup="Table4" count="0" hidden="1"/>
    <cacheHierarchy uniqueName="[Measures].[Sum of Volume 2022]" caption="Sum of Volume 2022" measure="1" displayFolder="" measureGroup="Table4" count="0" hidden="1"/>
    <cacheHierarchy uniqueName="[Measures].[Sum of Volume 2023]" caption="Sum of Volume 2023" measure="1" displayFolder="" measureGroup="Table4" count="0" hidden="1"/>
    <cacheHierarchy uniqueName="[Measures].[Sum of Volume 2024]" caption="Sum of Volume 2024" measure="1" displayFolder="" measureGroup="Table4" count="0" hidden="1"/>
    <cacheHierarchy uniqueName="[Measures].[Sum of Total Value]" caption="Sum of Total Value" measure="1" displayFolder="" measureGroup="Table4" count="0" hidden="1"/>
    <cacheHierarchy uniqueName="[Measures].[Sum of YoY Growth 23]" caption="Sum of YoY Growth 23" measure="1" displayFolder="" measureGroup="Table4" count="0" hidden="1"/>
    <cacheHierarchy uniqueName="[Measures].[Sum of YTD Growth]" caption="Sum of YTD Growth" measure="1" displayFolder="" measureGroup="Table4" count="0" hidden="1"/>
    <cacheHierarchy uniqueName="[Measures].[Sum of Price 2022]" caption="Sum of Price 2022" measure="1" displayFolder="" measureGroup="Table4" count="0" hidden="1"/>
    <cacheHierarchy uniqueName="[Measures].[Sum of Price 2023]" caption="Sum of Price 2023" measure="1" displayFolder="" measureGroup="Table4" count="0" hidden="1"/>
    <cacheHierarchy uniqueName="[Measures].[Sum of Price 2024]" caption="Sum of Price 2024" measure="1" displayFolder="" measureGroup="Table4" count="0" hidden="1"/>
    <cacheHierarchy uniqueName="[Measures].[Sum of 2022 2]" caption="Sum of 2022 2" measure="1" displayFolder="" measureGroup="Table7" count="0" hidden="1"/>
    <cacheHierarchy uniqueName="[Measures].[Sum of 2023 2]" caption="Sum of 2023 2" measure="1" displayFolder="" measureGroup="Table7" count="0" hidden="1"/>
    <cacheHierarchy uniqueName="[Measures].[Sum of YTD 2024 2]" caption="Sum of YTD 2024 2" measure="1" displayFolder="" measureGroup="Table7" count="0" hidden="1"/>
    <cacheHierarchy uniqueName="[Measures].[Sum of Volume 2022 2]" caption="Sum of Volume 2022 2" measure="1" displayFolder="" measureGroup="Table7" count="0" hidden="1"/>
    <cacheHierarchy uniqueName="[Measures].[Sum of Volume 2023 2]" caption="Sum of Volume 2023 2" measure="1" displayFolder="" measureGroup="Table7" count="0" hidden="1"/>
    <cacheHierarchy uniqueName="[Measures].[Sum of Volume YTD 2024]" caption="Sum of Volume YTD 2024" measure="1" displayFolder="" measureGroup="Table7" count="0" hidden="1"/>
    <cacheHierarchy uniqueName="[Measures].[Sum of Total Value 2]" caption="Sum of Total Value 2" measure="1" displayFolder="" measureGroup="Table7" count="0" hidden="1"/>
    <cacheHierarchy uniqueName="[Measures].[Sum of Volume 2022 3]" caption="Sum of Volume 2022 3" measure="1" displayFolder="" measureGroup="Table2" count="0" hidden="1"/>
    <cacheHierarchy uniqueName="[Measures].[Sum of Volume 2023 3]" caption="Sum of Volume 2023 3" measure="1" displayFolder="" measureGroup="Table2" count="0" hidden="1"/>
    <cacheHierarchy uniqueName="[Measures].[Sum of 2023 3]" caption="Sum of 2023 3" measure="1" displayFolder="" measureGroup="Table2" count="0" hidden="1"/>
    <cacheHierarchy uniqueName="[Measures].[Average of 2023]" caption="Average of 2023" measure="1" displayFolder="" measureGroup="Table2" count="0" hidden="1"/>
    <cacheHierarchy uniqueName="[Measures].[Sum of Volume YTD 2024 2]" caption="Sum of Volume YTD 2024 2" measure="1" displayFolder="" measureGroup="Table2" count="0" hidden="1"/>
    <cacheHierarchy uniqueName="[Measures].[Sum of YTD 24]" caption="Sum of YTD 24" measure="1" displayFolder="" measureGroup="Table2" count="0" hidden="1"/>
    <cacheHierarchy uniqueName="[Measures].[Average of YTD 24]" caption="Average of YTD 24" measure="1" displayFolder="" measureGroup="Table2" count="0" hidden="1"/>
    <cacheHierarchy uniqueName="[Measures].[Sum of Price 2022 3]" caption="Sum of Price 2022 3" measure="1" displayFolder="" measureGroup="Table2" count="0" hidden="1"/>
    <cacheHierarchy uniqueName="[Measures].[Sum of Price 2023 3]" caption="Sum of Price 2023 3" measure="1" displayFolder="" measureGroup="Table2" count="0" hidden="1"/>
    <cacheHierarchy uniqueName="[Measures].[Sum of Price 2024 2]" caption="Sum of Price 2024 2" measure="1" displayFolder="" measureGroup="Table2" count="0" hidden="1"/>
    <cacheHierarchy uniqueName="[Measures].[Sum of Average Value]" caption="Sum of Average Value" measure="1" displayFolder="" measureGroup="Table4_1" count="0" hidden="1"/>
    <cacheHierarchy uniqueName="[Measures].[Sum of Volume 2022 4]" caption="Sum of Volume 2022 4" measure="1" displayFolder="" measureGroup="Table4_1" count="0" hidden="1"/>
    <cacheHierarchy uniqueName="[Measures].[Sum of Volume 2023 4]" caption="Sum of Volume 2023 4" measure="1" displayFolder="" measureGroup="Table4_1" count="0" hidden="1"/>
    <cacheHierarchy uniqueName="[Measures].[Sum of Volume 2024 2]" caption="Sum of Volume 2024 2" measure="1" displayFolder="" measureGroup="Table4_1" count="0" hidden="1"/>
    <cacheHierarchy uniqueName="[Measures].[Sum of Average Volume]" caption="Sum of Average Volume" measure="1" displayFolder="" measureGroup="Table4_1" count="0" hidden="1"/>
    <cacheHierarchy uniqueName="[Measures].[Sum of Average Price]" caption="Sum of Average Price" measure="1" displayFolder="" measureGroup="Table4_1" count="0" hidden="1"/>
    <cacheHierarchy uniqueName="[Measures].[Count of PACKAGE SIZE]" caption="Count of PACKAGE SIZE" measure="1" displayFolder="" measureGroup="Table2" count="0" hidden="1"/>
    <cacheHierarchy uniqueName="[Measures].[Count of Volume 2022]" caption="Count of Volume 2022" measure="1" displayFolder="" measureGroup="Table2" count="0" hidden="1"/>
    <cacheHierarchy uniqueName="[Measures].[Count of 2022]" caption="Count of 2022" measure="1" displayFolder="" measureGroup="Table2" count="0" hidden="1"/>
    <cacheHierarchy uniqueName="[Measures].[Count of Volume 2023]" caption="Count of Volume 2023" measure="1" displayFolder="" measureGroup="Table2" count="0" hidden="1"/>
    <cacheHierarchy uniqueName="[Measures].[Sum of Total Value 3]" caption="Sum of Total Value 3" measure="1" displayFolder="" measureGroup="Table1" count="0" hidden="1"/>
    <cacheHierarchy uniqueName="[Measures].[Sum of YOY Growth 23 3]" caption="Sum of YOY Growth 23 3" measure="1" displayFolder="" measureGroup="Table2" count="0" hidden="1"/>
    <cacheHierarchy uniqueName="[Measures].[Sum of Total Value 4]" caption="Sum of Total Value 4" measure="1" displayFolder="" measureGroup="Table2" count="0" hidden="1"/>
    <cacheHierarchy uniqueName="[Measures].[Sum of YTD Growth 24]" caption="Sum of YTD Growth 24" measure="1" displayFolder="" measureGroup="Table2" count="0" hidden="1"/>
    <cacheHierarchy uniqueName="[Measures].[Sum of 2022 3]" caption="Sum of 2022 3" measure="1" displayFolder="" measureGroup="Table1" count="0" hidden="1"/>
    <cacheHierarchy uniqueName="[Measures].[Sum of Volume 2022 5]" caption="Sum of Volume 2022 5" measure="1" displayFolder="" measureGroup="Table1" count="0" hidden="1"/>
  </cacheHierarchies>
  <kpis count="0"/>
  <dimensions count="6">
    <dimension measure="1" name="Measures" uniqueName="[Measures]" caption="Measures"/>
    <dimension name="Table1" uniqueName="[Table1]" caption="Table1"/>
    <dimension name="Table2" uniqueName="[Table2]" caption="Table2"/>
    <dimension name="Table4" uniqueName="[Table4]" caption="Table4"/>
    <dimension name="Table4_1" uniqueName="[Table4_1]" caption="Table4_1"/>
    <dimension name="Table7" uniqueName="[Table7]" caption="Table7"/>
  </dimensions>
  <measureGroups count="5">
    <measureGroup name="Table1" caption="Table1"/>
    <measureGroup name="Table2" caption="Table2"/>
    <measureGroup name="Table4" caption="Table4"/>
    <measureGroup name="Table4_1" caption="Table4_1"/>
    <measureGroup name="Table7" caption="Table7"/>
  </measureGroups>
  <maps count="6">
    <map measureGroup="0" dimension="1"/>
    <map measureGroup="1" dimension="2"/>
    <map measureGroup="2" dimension="3"/>
    <map measureGroup="2" dimension="4"/>
    <map measureGroup="3" dimension="4"/>
    <map measureGroup="4" dimension="5"/>
  </maps>
  <extLst>
    <ext xmlns:x14="http://schemas.microsoft.com/office/spreadsheetml/2009/9/main" uri="{725AE2AE-9491-48be-B2B4-4EB974FC3084}">
      <x14:pivotCacheDefinition slicerData="1" pivotCacheId="60068332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921537499999" backgroundQuery="1" createdVersion="3" refreshedVersion="8" minRefreshableVersion="3" recordCount="0" supportSubquery="1" supportAdvancedDrill="1" xr:uid="{2DA7DB4B-B7A5-41E8-9FEB-ACB4CBFA5A32}">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BabycareRaw].[Product]" caption="Product" attribute="1" defaultMemberUniqueName="[BabycareRaw].[Product].[All]" allUniqueName="[BabycareRaw].[Product].[All]" dimensionUniqueName="[BabycareRaw]" displayFolder="" count="0" memberValueDatatype="130" unbalanced="0"/>
    <cacheHierarchy uniqueName="[BabycareRaw].[BRAND]" caption="BRAND" attribute="1" defaultMemberUniqueName="[BabycareRaw].[BRAND].[All]" allUniqueName="[BabycareRaw].[BRAND].[All]" dimensionUniqueName="[BabycareRaw]" displayFolder="" count="0" memberValueDatatype="130" unbalanced="0"/>
    <cacheHierarchy uniqueName="[BabycareRaw].[PACKAGE TYPE]" caption="PACKAGE TYPE" attribute="1" defaultMemberUniqueName="[BabycareRaw].[PACKAGE TYPE].[All]" allUniqueName="[BabycareRaw].[PACKAGE TYPE].[All]" dimensionUniqueName="[BabycareRaw]" displayFolder="" count="0" memberValueDatatype="130" unbalanced="0"/>
    <cacheHierarchy uniqueName="[BabycareRaw].[PROTECTION / CARE]" caption="PROTECTION / CARE" attribute="1" defaultMemberUniqueName="[BabycareRaw].[PROTECTION / CARE].[All]" allUniqueName="[BabycareRaw].[PROTECTION / CARE].[All]" dimensionUniqueName="[BabycareRaw]" displayFolder="" count="0" memberValueDatatype="130" unbalanced="0"/>
    <cacheHierarchy uniqueName="[BabycareRaw].[PACKAGE SIZE]" caption="PACKAGE SIZE" attribute="1" defaultMemberUniqueName="[BabycareRaw].[PACKAGE SIZE].[All]" allUniqueName="[BabycareRaw].[PACKAGE SIZE].[All]" dimensionUniqueName="[BabycareRaw]" displayFolder="" count="2" memberValueDatatype="130" unbalanced="0"/>
    <cacheHierarchy uniqueName="[BabycareRaw].[2022]" caption="2022" attribute="1" defaultMemberUniqueName="[BabycareRaw].[2022].[All]" allUniqueName="[BabycareRaw].[2022].[All]" dimensionUniqueName="[BabycareRaw]" displayFolder="" count="0" memberValueDatatype="5" unbalanced="0"/>
    <cacheHierarchy uniqueName="[BabycareRaw].[2023]" caption="2023" attribute="1" defaultMemberUniqueName="[BabycareRaw].[2023].[All]" allUniqueName="[BabycareRaw].[2023].[All]" dimensionUniqueName="[BabycareRaw]" displayFolder="" count="0" memberValueDatatype="5" unbalanced="0"/>
    <cacheHierarchy uniqueName="[BabycareRaw].[YTD 24]" caption="YTD 24" attribute="1" defaultMemberUniqueName="[BabycareRaw].[YTD 24].[All]" allUniqueName="[BabycareRaw].[YTD 24].[All]" dimensionUniqueName="[BabycareRaw]" displayFolder="" count="0" memberValueDatatype="5" unbalanced="0"/>
    <cacheHierarchy uniqueName="[BabycareRaw].[Volume 2022]" caption="Volume 2022" attribute="1" defaultMemberUniqueName="[BabycareRaw].[Volume 2022].[All]" allUniqueName="[BabycareRaw].[Volume 2022].[All]" dimensionUniqueName="[BabycareRaw]" displayFolder="" count="0" memberValueDatatype="5" unbalanced="0"/>
    <cacheHierarchy uniqueName="[BabycareRaw].[Volume 2023]" caption="Volume 2023" attribute="1" defaultMemberUniqueName="[BabycareRaw].[Volume 2023].[All]" allUniqueName="[BabycareRaw].[Volume 2023].[All]" dimensionUniqueName="[BabycareRaw]" displayFolder="" count="0" memberValueDatatype="5" unbalanced="0"/>
    <cacheHierarchy uniqueName="[BabycareRaw].[Volume YTD 2024]" caption="Volume YTD 2024" attribute="1" defaultMemberUniqueName="[BabycareRaw].[Volume YTD 2024].[All]" allUniqueName="[BabycareRaw].[Volume YTD 2024].[All]" dimensionUniqueName="[BabycareRaw]" displayFolder="" count="0" memberValueDatatype="5" unbalanced="0"/>
    <cacheHierarchy uniqueName="[BabycareRaw].[Total Value]" caption="Total Value" attribute="1" defaultMemberUniqueName="[BabycareRaw].[Total Value].[All]" allUniqueName="[BabycareRaw].[Total Value].[All]" dimensionUniqueName="[BabycareRaw]" displayFolder="" count="0" memberValueDatatype="5" unbalanced="0"/>
    <cacheHierarchy uniqueName="[Measures].[__XL_Count BabycareRaw]" caption="__XL_Count BabycareRaw" measure="1" displayFolder="" measureGroup="BabycareRaw"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7486345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1">
  <r>
    <x v="0"/>
    <x v="0"/>
    <x v="0"/>
    <x v="0"/>
    <x v="0"/>
    <x v="0"/>
    <x v="0"/>
    <x v="0"/>
    <x v="0"/>
    <x v="0"/>
    <x v="0"/>
    <x v="0"/>
    <x v="0"/>
    <x v="0"/>
  </r>
  <r>
    <x v="1"/>
    <x v="1"/>
    <x v="1"/>
    <x v="1"/>
    <x v="0"/>
    <x v="0"/>
    <x v="1"/>
    <x v="1"/>
    <x v="1"/>
    <x v="0"/>
    <x v="1"/>
    <x v="1"/>
    <x v="0"/>
    <x v="1"/>
  </r>
  <r>
    <x v="2"/>
    <x v="1"/>
    <x v="1"/>
    <x v="1"/>
    <x v="0"/>
    <x v="0"/>
    <x v="2"/>
    <x v="1"/>
    <x v="1"/>
    <x v="0"/>
    <x v="1"/>
    <x v="1"/>
    <x v="0"/>
    <x v="1"/>
  </r>
  <r>
    <x v="3"/>
    <x v="1"/>
    <x v="1"/>
    <x v="1"/>
    <x v="0"/>
    <x v="0"/>
    <x v="3"/>
    <x v="1"/>
    <x v="1"/>
    <x v="0"/>
    <x v="1"/>
    <x v="1"/>
    <x v="0"/>
    <x v="1"/>
  </r>
  <r>
    <x v="4"/>
    <x v="1"/>
    <x v="1"/>
    <x v="1"/>
    <x v="0"/>
    <x v="0"/>
    <x v="3"/>
    <x v="2"/>
    <x v="1"/>
    <x v="0"/>
    <x v="2"/>
    <x v="1"/>
    <x v="0"/>
    <x v="2"/>
  </r>
  <r>
    <x v="5"/>
    <x v="2"/>
    <x v="2"/>
    <x v="2"/>
    <x v="0"/>
    <x v="1"/>
    <x v="4"/>
    <x v="3"/>
    <x v="2"/>
    <x v="1"/>
    <x v="3"/>
    <x v="2"/>
    <x v="1"/>
    <x v="3"/>
  </r>
  <r>
    <x v="6"/>
    <x v="2"/>
    <x v="2"/>
    <x v="2"/>
    <x v="0"/>
    <x v="1"/>
    <x v="4"/>
    <x v="4"/>
    <x v="3"/>
    <x v="2"/>
    <x v="4"/>
    <x v="3"/>
    <x v="2"/>
    <x v="4"/>
  </r>
  <r>
    <x v="7"/>
    <x v="2"/>
    <x v="2"/>
    <x v="2"/>
    <x v="0"/>
    <x v="1"/>
    <x v="5"/>
    <x v="5"/>
    <x v="4"/>
    <x v="3"/>
    <x v="5"/>
    <x v="4"/>
    <x v="3"/>
    <x v="5"/>
  </r>
  <r>
    <x v="8"/>
    <x v="2"/>
    <x v="2"/>
    <x v="2"/>
    <x v="0"/>
    <x v="0"/>
    <x v="6"/>
    <x v="6"/>
    <x v="5"/>
    <x v="4"/>
    <x v="6"/>
    <x v="5"/>
    <x v="4"/>
    <x v="6"/>
  </r>
  <r>
    <x v="9"/>
    <x v="2"/>
    <x v="2"/>
    <x v="2"/>
    <x v="0"/>
    <x v="0"/>
    <x v="6"/>
    <x v="7"/>
    <x v="6"/>
    <x v="5"/>
    <x v="7"/>
    <x v="6"/>
    <x v="5"/>
    <x v="7"/>
  </r>
  <r>
    <x v="10"/>
    <x v="2"/>
    <x v="2"/>
    <x v="2"/>
    <x v="0"/>
    <x v="1"/>
    <x v="6"/>
    <x v="8"/>
    <x v="7"/>
    <x v="6"/>
    <x v="8"/>
    <x v="7"/>
    <x v="6"/>
    <x v="8"/>
  </r>
  <r>
    <x v="11"/>
    <x v="2"/>
    <x v="2"/>
    <x v="2"/>
    <x v="0"/>
    <x v="2"/>
    <x v="6"/>
    <x v="9"/>
    <x v="8"/>
    <x v="7"/>
    <x v="9"/>
    <x v="8"/>
    <x v="7"/>
    <x v="9"/>
  </r>
  <r>
    <x v="12"/>
    <x v="2"/>
    <x v="2"/>
    <x v="2"/>
    <x v="0"/>
    <x v="0"/>
    <x v="7"/>
    <x v="10"/>
    <x v="1"/>
    <x v="0"/>
    <x v="10"/>
    <x v="1"/>
    <x v="0"/>
    <x v="10"/>
  </r>
  <r>
    <x v="13"/>
    <x v="2"/>
    <x v="2"/>
    <x v="2"/>
    <x v="0"/>
    <x v="1"/>
    <x v="8"/>
    <x v="1"/>
    <x v="1"/>
    <x v="8"/>
    <x v="1"/>
    <x v="1"/>
    <x v="8"/>
    <x v="11"/>
  </r>
  <r>
    <x v="14"/>
    <x v="2"/>
    <x v="2"/>
    <x v="2"/>
    <x v="0"/>
    <x v="1"/>
    <x v="8"/>
    <x v="11"/>
    <x v="9"/>
    <x v="9"/>
    <x v="11"/>
    <x v="9"/>
    <x v="9"/>
    <x v="12"/>
  </r>
  <r>
    <x v="15"/>
    <x v="2"/>
    <x v="2"/>
    <x v="2"/>
    <x v="0"/>
    <x v="0"/>
    <x v="9"/>
    <x v="12"/>
    <x v="1"/>
    <x v="10"/>
    <x v="12"/>
    <x v="1"/>
    <x v="10"/>
    <x v="13"/>
  </r>
  <r>
    <x v="16"/>
    <x v="2"/>
    <x v="2"/>
    <x v="2"/>
    <x v="0"/>
    <x v="0"/>
    <x v="9"/>
    <x v="13"/>
    <x v="10"/>
    <x v="0"/>
    <x v="13"/>
    <x v="10"/>
    <x v="0"/>
    <x v="14"/>
  </r>
  <r>
    <x v="17"/>
    <x v="2"/>
    <x v="2"/>
    <x v="2"/>
    <x v="0"/>
    <x v="1"/>
    <x v="9"/>
    <x v="14"/>
    <x v="11"/>
    <x v="0"/>
    <x v="14"/>
    <x v="11"/>
    <x v="0"/>
    <x v="15"/>
  </r>
  <r>
    <x v="18"/>
    <x v="2"/>
    <x v="2"/>
    <x v="2"/>
    <x v="0"/>
    <x v="2"/>
    <x v="9"/>
    <x v="15"/>
    <x v="12"/>
    <x v="11"/>
    <x v="15"/>
    <x v="12"/>
    <x v="11"/>
    <x v="16"/>
  </r>
  <r>
    <x v="19"/>
    <x v="2"/>
    <x v="2"/>
    <x v="2"/>
    <x v="0"/>
    <x v="0"/>
    <x v="10"/>
    <x v="16"/>
    <x v="13"/>
    <x v="12"/>
    <x v="16"/>
    <x v="13"/>
    <x v="12"/>
    <x v="17"/>
  </r>
  <r>
    <x v="20"/>
    <x v="2"/>
    <x v="2"/>
    <x v="2"/>
    <x v="0"/>
    <x v="0"/>
    <x v="10"/>
    <x v="17"/>
    <x v="14"/>
    <x v="13"/>
    <x v="17"/>
    <x v="14"/>
    <x v="13"/>
    <x v="18"/>
  </r>
  <r>
    <x v="21"/>
    <x v="2"/>
    <x v="2"/>
    <x v="2"/>
    <x v="0"/>
    <x v="1"/>
    <x v="10"/>
    <x v="18"/>
    <x v="1"/>
    <x v="0"/>
    <x v="18"/>
    <x v="1"/>
    <x v="0"/>
    <x v="19"/>
  </r>
  <r>
    <x v="22"/>
    <x v="2"/>
    <x v="2"/>
    <x v="2"/>
    <x v="0"/>
    <x v="1"/>
    <x v="10"/>
    <x v="19"/>
    <x v="15"/>
    <x v="14"/>
    <x v="19"/>
    <x v="15"/>
    <x v="14"/>
    <x v="20"/>
  </r>
  <r>
    <x v="23"/>
    <x v="2"/>
    <x v="2"/>
    <x v="2"/>
    <x v="0"/>
    <x v="1"/>
    <x v="10"/>
    <x v="20"/>
    <x v="16"/>
    <x v="15"/>
    <x v="20"/>
    <x v="16"/>
    <x v="15"/>
    <x v="21"/>
  </r>
  <r>
    <x v="24"/>
    <x v="2"/>
    <x v="2"/>
    <x v="2"/>
    <x v="0"/>
    <x v="1"/>
    <x v="10"/>
    <x v="21"/>
    <x v="17"/>
    <x v="16"/>
    <x v="21"/>
    <x v="17"/>
    <x v="16"/>
    <x v="22"/>
  </r>
  <r>
    <x v="25"/>
    <x v="2"/>
    <x v="2"/>
    <x v="2"/>
    <x v="0"/>
    <x v="0"/>
    <x v="10"/>
    <x v="22"/>
    <x v="18"/>
    <x v="17"/>
    <x v="22"/>
    <x v="18"/>
    <x v="17"/>
    <x v="23"/>
  </r>
  <r>
    <x v="26"/>
    <x v="2"/>
    <x v="2"/>
    <x v="2"/>
    <x v="0"/>
    <x v="1"/>
    <x v="10"/>
    <x v="23"/>
    <x v="19"/>
    <x v="0"/>
    <x v="23"/>
    <x v="19"/>
    <x v="0"/>
    <x v="24"/>
  </r>
  <r>
    <x v="27"/>
    <x v="2"/>
    <x v="2"/>
    <x v="2"/>
    <x v="0"/>
    <x v="1"/>
    <x v="10"/>
    <x v="1"/>
    <x v="1"/>
    <x v="0"/>
    <x v="1"/>
    <x v="1"/>
    <x v="0"/>
    <x v="1"/>
  </r>
  <r>
    <x v="28"/>
    <x v="2"/>
    <x v="2"/>
    <x v="2"/>
    <x v="0"/>
    <x v="1"/>
    <x v="10"/>
    <x v="24"/>
    <x v="20"/>
    <x v="18"/>
    <x v="24"/>
    <x v="20"/>
    <x v="18"/>
    <x v="25"/>
  </r>
  <r>
    <x v="29"/>
    <x v="2"/>
    <x v="2"/>
    <x v="2"/>
    <x v="0"/>
    <x v="0"/>
    <x v="3"/>
    <x v="25"/>
    <x v="21"/>
    <x v="19"/>
    <x v="25"/>
    <x v="21"/>
    <x v="19"/>
    <x v="26"/>
  </r>
  <r>
    <x v="30"/>
    <x v="2"/>
    <x v="2"/>
    <x v="2"/>
    <x v="0"/>
    <x v="0"/>
    <x v="3"/>
    <x v="26"/>
    <x v="22"/>
    <x v="20"/>
    <x v="26"/>
    <x v="22"/>
    <x v="20"/>
    <x v="27"/>
  </r>
  <r>
    <x v="31"/>
    <x v="3"/>
    <x v="3"/>
    <x v="3"/>
    <x v="0"/>
    <x v="1"/>
    <x v="5"/>
    <x v="27"/>
    <x v="23"/>
    <x v="21"/>
    <x v="27"/>
    <x v="23"/>
    <x v="21"/>
    <x v="28"/>
  </r>
  <r>
    <x v="32"/>
    <x v="3"/>
    <x v="3"/>
    <x v="3"/>
    <x v="0"/>
    <x v="0"/>
    <x v="9"/>
    <x v="28"/>
    <x v="24"/>
    <x v="22"/>
    <x v="28"/>
    <x v="24"/>
    <x v="22"/>
    <x v="29"/>
  </r>
  <r>
    <x v="33"/>
    <x v="3"/>
    <x v="3"/>
    <x v="3"/>
    <x v="0"/>
    <x v="0"/>
    <x v="9"/>
    <x v="29"/>
    <x v="25"/>
    <x v="23"/>
    <x v="29"/>
    <x v="25"/>
    <x v="23"/>
    <x v="30"/>
  </r>
  <r>
    <x v="34"/>
    <x v="3"/>
    <x v="3"/>
    <x v="3"/>
    <x v="0"/>
    <x v="0"/>
    <x v="9"/>
    <x v="30"/>
    <x v="26"/>
    <x v="24"/>
    <x v="30"/>
    <x v="26"/>
    <x v="24"/>
    <x v="31"/>
  </r>
  <r>
    <x v="35"/>
    <x v="3"/>
    <x v="3"/>
    <x v="3"/>
    <x v="0"/>
    <x v="0"/>
    <x v="9"/>
    <x v="31"/>
    <x v="27"/>
    <x v="25"/>
    <x v="31"/>
    <x v="27"/>
    <x v="25"/>
    <x v="32"/>
  </r>
  <r>
    <x v="36"/>
    <x v="3"/>
    <x v="3"/>
    <x v="3"/>
    <x v="0"/>
    <x v="0"/>
    <x v="9"/>
    <x v="32"/>
    <x v="28"/>
    <x v="26"/>
    <x v="32"/>
    <x v="28"/>
    <x v="26"/>
    <x v="33"/>
  </r>
  <r>
    <x v="37"/>
    <x v="3"/>
    <x v="3"/>
    <x v="3"/>
    <x v="0"/>
    <x v="1"/>
    <x v="9"/>
    <x v="1"/>
    <x v="29"/>
    <x v="27"/>
    <x v="1"/>
    <x v="29"/>
    <x v="27"/>
    <x v="34"/>
  </r>
  <r>
    <x v="38"/>
    <x v="3"/>
    <x v="3"/>
    <x v="3"/>
    <x v="0"/>
    <x v="1"/>
    <x v="9"/>
    <x v="33"/>
    <x v="30"/>
    <x v="28"/>
    <x v="33"/>
    <x v="30"/>
    <x v="28"/>
    <x v="35"/>
  </r>
  <r>
    <x v="39"/>
    <x v="3"/>
    <x v="3"/>
    <x v="3"/>
    <x v="0"/>
    <x v="1"/>
    <x v="9"/>
    <x v="34"/>
    <x v="31"/>
    <x v="29"/>
    <x v="34"/>
    <x v="31"/>
    <x v="29"/>
    <x v="36"/>
  </r>
  <r>
    <x v="40"/>
    <x v="3"/>
    <x v="3"/>
    <x v="3"/>
    <x v="0"/>
    <x v="3"/>
    <x v="9"/>
    <x v="35"/>
    <x v="32"/>
    <x v="30"/>
    <x v="35"/>
    <x v="32"/>
    <x v="30"/>
    <x v="37"/>
  </r>
  <r>
    <x v="41"/>
    <x v="3"/>
    <x v="3"/>
    <x v="3"/>
    <x v="0"/>
    <x v="3"/>
    <x v="9"/>
    <x v="36"/>
    <x v="33"/>
    <x v="31"/>
    <x v="36"/>
    <x v="33"/>
    <x v="31"/>
    <x v="38"/>
  </r>
  <r>
    <x v="42"/>
    <x v="3"/>
    <x v="3"/>
    <x v="3"/>
    <x v="0"/>
    <x v="1"/>
    <x v="9"/>
    <x v="37"/>
    <x v="34"/>
    <x v="32"/>
    <x v="37"/>
    <x v="34"/>
    <x v="32"/>
    <x v="39"/>
  </r>
  <r>
    <x v="43"/>
    <x v="3"/>
    <x v="3"/>
    <x v="3"/>
    <x v="0"/>
    <x v="2"/>
    <x v="11"/>
    <x v="38"/>
    <x v="35"/>
    <x v="33"/>
    <x v="38"/>
    <x v="35"/>
    <x v="33"/>
    <x v="40"/>
  </r>
  <r>
    <x v="44"/>
    <x v="4"/>
    <x v="4"/>
    <x v="4"/>
    <x v="0"/>
    <x v="1"/>
    <x v="5"/>
    <x v="1"/>
    <x v="1"/>
    <x v="34"/>
    <x v="1"/>
    <x v="1"/>
    <x v="34"/>
    <x v="41"/>
  </r>
  <r>
    <x v="45"/>
    <x v="4"/>
    <x v="4"/>
    <x v="4"/>
    <x v="0"/>
    <x v="1"/>
    <x v="11"/>
    <x v="1"/>
    <x v="36"/>
    <x v="35"/>
    <x v="1"/>
    <x v="36"/>
    <x v="35"/>
    <x v="42"/>
  </r>
  <r>
    <x v="46"/>
    <x v="5"/>
    <x v="5"/>
    <x v="5"/>
    <x v="0"/>
    <x v="1"/>
    <x v="5"/>
    <x v="39"/>
    <x v="1"/>
    <x v="0"/>
    <x v="39"/>
    <x v="1"/>
    <x v="0"/>
    <x v="43"/>
  </r>
  <r>
    <x v="47"/>
    <x v="6"/>
    <x v="6"/>
    <x v="6"/>
    <x v="0"/>
    <x v="1"/>
    <x v="4"/>
    <x v="40"/>
    <x v="37"/>
    <x v="36"/>
    <x v="40"/>
    <x v="37"/>
    <x v="36"/>
    <x v="44"/>
  </r>
  <r>
    <x v="48"/>
    <x v="6"/>
    <x v="6"/>
    <x v="6"/>
    <x v="0"/>
    <x v="3"/>
    <x v="4"/>
    <x v="41"/>
    <x v="38"/>
    <x v="37"/>
    <x v="41"/>
    <x v="38"/>
    <x v="37"/>
    <x v="45"/>
  </r>
  <r>
    <x v="49"/>
    <x v="6"/>
    <x v="6"/>
    <x v="6"/>
    <x v="0"/>
    <x v="0"/>
    <x v="4"/>
    <x v="42"/>
    <x v="39"/>
    <x v="38"/>
    <x v="42"/>
    <x v="39"/>
    <x v="38"/>
    <x v="46"/>
  </r>
  <r>
    <x v="50"/>
    <x v="6"/>
    <x v="6"/>
    <x v="6"/>
    <x v="0"/>
    <x v="0"/>
    <x v="4"/>
    <x v="43"/>
    <x v="40"/>
    <x v="39"/>
    <x v="43"/>
    <x v="40"/>
    <x v="39"/>
    <x v="47"/>
  </r>
  <r>
    <x v="51"/>
    <x v="6"/>
    <x v="6"/>
    <x v="6"/>
    <x v="0"/>
    <x v="1"/>
    <x v="4"/>
    <x v="44"/>
    <x v="41"/>
    <x v="40"/>
    <x v="44"/>
    <x v="41"/>
    <x v="40"/>
    <x v="48"/>
  </r>
  <r>
    <x v="52"/>
    <x v="6"/>
    <x v="6"/>
    <x v="6"/>
    <x v="0"/>
    <x v="1"/>
    <x v="4"/>
    <x v="45"/>
    <x v="42"/>
    <x v="41"/>
    <x v="45"/>
    <x v="42"/>
    <x v="41"/>
    <x v="49"/>
  </r>
  <r>
    <x v="53"/>
    <x v="6"/>
    <x v="6"/>
    <x v="6"/>
    <x v="0"/>
    <x v="0"/>
    <x v="4"/>
    <x v="1"/>
    <x v="1"/>
    <x v="0"/>
    <x v="1"/>
    <x v="1"/>
    <x v="0"/>
    <x v="1"/>
  </r>
  <r>
    <x v="54"/>
    <x v="6"/>
    <x v="6"/>
    <x v="6"/>
    <x v="0"/>
    <x v="1"/>
    <x v="5"/>
    <x v="46"/>
    <x v="43"/>
    <x v="42"/>
    <x v="46"/>
    <x v="43"/>
    <x v="42"/>
    <x v="50"/>
  </r>
  <r>
    <x v="55"/>
    <x v="6"/>
    <x v="6"/>
    <x v="6"/>
    <x v="0"/>
    <x v="3"/>
    <x v="10"/>
    <x v="47"/>
    <x v="1"/>
    <x v="0"/>
    <x v="47"/>
    <x v="1"/>
    <x v="0"/>
    <x v="51"/>
  </r>
  <r>
    <x v="56"/>
    <x v="6"/>
    <x v="6"/>
    <x v="6"/>
    <x v="0"/>
    <x v="2"/>
    <x v="11"/>
    <x v="48"/>
    <x v="44"/>
    <x v="43"/>
    <x v="48"/>
    <x v="44"/>
    <x v="43"/>
    <x v="52"/>
  </r>
  <r>
    <x v="57"/>
    <x v="7"/>
    <x v="7"/>
    <x v="7"/>
    <x v="0"/>
    <x v="0"/>
    <x v="12"/>
    <x v="1"/>
    <x v="1"/>
    <x v="0"/>
    <x v="1"/>
    <x v="1"/>
    <x v="0"/>
    <x v="1"/>
  </r>
  <r>
    <x v="58"/>
    <x v="8"/>
    <x v="7"/>
    <x v="7"/>
    <x v="0"/>
    <x v="0"/>
    <x v="5"/>
    <x v="49"/>
    <x v="45"/>
    <x v="44"/>
    <x v="49"/>
    <x v="45"/>
    <x v="44"/>
    <x v="53"/>
  </r>
  <r>
    <x v="59"/>
    <x v="8"/>
    <x v="7"/>
    <x v="7"/>
    <x v="0"/>
    <x v="0"/>
    <x v="10"/>
    <x v="50"/>
    <x v="46"/>
    <x v="45"/>
    <x v="50"/>
    <x v="46"/>
    <x v="45"/>
    <x v="54"/>
  </r>
  <r>
    <x v="60"/>
    <x v="9"/>
    <x v="8"/>
    <x v="8"/>
    <x v="0"/>
    <x v="0"/>
    <x v="0"/>
    <x v="51"/>
    <x v="47"/>
    <x v="0"/>
    <x v="51"/>
    <x v="47"/>
    <x v="0"/>
    <x v="55"/>
  </r>
  <r>
    <x v="61"/>
    <x v="10"/>
    <x v="9"/>
    <x v="9"/>
    <x v="0"/>
    <x v="1"/>
    <x v="10"/>
    <x v="1"/>
    <x v="1"/>
    <x v="0"/>
    <x v="1"/>
    <x v="1"/>
    <x v="0"/>
    <x v="1"/>
  </r>
  <r>
    <x v="62"/>
    <x v="10"/>
    <x v="9"/>
    <x v="9"/>
    <x v="0"/>
    <x v="0"/>
    <x v="10"/>
    <x v="52"/>
    <x v="48"/>
    <x v="46"/>
    <x v="52"/>
    <x v="48"/>
    <x v="46"/>
    <x v="56"/>
  </r>
  <r>
    <x v="63"/>
    <x v="11"/>
    <x v="9"/>
    <x v="9"/>
    <x v="0"/>
    <x v="2"/>
    <x v="5"/>
    <x v="53"/>
    <x v="49"/>
    <x v="47"/>
    <x v="53"/>
    <x v="49"/>
    <x v="47"/>
    <x v="57"/>
  </r>
  <r>
    <x v="64"/>
    <x v="11"/>
    <x v="9"/>
    <x v="9"/>
    <x v="0"/>
    <x v="2"/>
    <x v="5"/>
    <x v="54"/>
    <x v="50"/>
    <x v="48"/>
    <x v="54"/>
    <x v="50"/>
    <x v="48"/>
    <x v="58"/>
  </r>
  <r>
    <x v="65"/>
    <x v="11"/>
    <x v="9"/>
    <x v="9"/>
    <x v="0"/>
    <x v="2"/>
    <x v="10"/>
    <x v="55"/>
    <x v="51"/>
    <x v="49"/>
    <x v="55"/>
    <x v="51"/>
    <x v="49"/>
    <x v="59"/>
  </r>
  <r>
    <x v="66"/>
    <x v="11"/>
    <x v="9"/>
    <x v="9"/>
    <x v="0"/>
    <x v="1"/>
    <x v="10"/>
    <x v="56"/>
    <x v="52"/>
    <x v="50"/>
    <x v="56"/>
    <x v="52"/>
    <x v="50"/>
    <x v="60"/>
  </r>
  <r>
    <x v="67"/>
    <x v="12"/>
    <x v="10"/>
    <x v="10"/>
    <x v="0"/>
    <x v="2"/>
    <x v="5"/>
    <x v="1"/>
    <x v="53"/>
    <x v="51"/>
    <x v="1"/>
    <x v="53"/>
    <x v="51"/>
    <x v="61"/>
  </r>
  <r>
    <x v="68"/>
    <x v="12"/>
    <x v="10"/>
    <x v="10"/>
    <x v="0"/>
    <x v="2"/>
    <x v="2"/>
    <x v="1"/>
    <x v="54"/>
    <x v="52"/>
    <x v="1"/>
    <x v="54"/>
    <x v="52"/>
    <x v="62"/>
  </r>
  <r>
    <x v="69"/>
    <x v="12"/>
    <x v="10"/>
    <x v="10"/>
    <x v="0"/>
    <x v="2"/>
    <x v="10"/>
    <x v="1"/>
    <x v="55"/>
    <x v="53"/>
    <x v="1"/>
    <x v="55"/>
    <x v="53"/>
    <x v="63"/>
  </r>
  <r>
    <x v="70"/>
    <x v="13"/>
    <x v="11"/>
    <x v="11"/>
    <x v="0"/>
    <x v="3"/>
    <x v="13"/>
    <x v="1"/>
    <x v="56"/>
    <x v="54"/>
    <x v="1"/>
    <x v="56"/>
    <x v="54"/>
    <x v="64"/>
  </r>
  <r>
    <x v="71"/>
    <x v="13"/>
    <x v="11"/>
    <x v="11"/>
    <x v="0"/>
    <x v="2"/>
    <x v="10"/>
    <x v="57"/>
    <x v="57"/>
    <x v="55"/>
    <x v="57"/>
    <x v="57"/>
    <x v="55"/>
    <x v="65"/>
  </r>
  <r>
    <x v="72"/>
    <x v="14"/>
    <x v="12"/>
    <x v="12"/>
    <x v="0"/>
    <x v="1"/>
    <x v="10"/>
    <x v="1"/>
    <x v="1"/>
    <x v="56"/>
    <x v="1"/>
    <x v="1"/>
    <x v="56"/>
    <x v="66"/>
  </r>
  <r>
    <x v="73"/>
    <x v="15"/>
    <x v="13"/>
    <x v="13"/>
    <x v="0"/>
    <x v="1"/>
    <x v="14"/>
    <x v="58"/>
    <x v="58"/>
    <x v="57"/>
    <x v="58"/>
    <x v="58"/>
    <x v="57"/>
    <x v="67"/>
  </r>
  <r>
    <x v="74"/>
    <x v="15"/>
    <x v="13"/>
    <x v="13"/>
    <x v="0"/>
    <x v="1"/>
    <x v="14"/>
    <x v="59"/>
    <x v="59"/>
    <x v="0"/>
    <x v="59"/>
    <x v="59"/>
    <x v="0"/>
    <x v="68"/>
  </r>
  <r>
    <x v="75"/>
    <x v="15"/>
    <x v="13"/>
    <x v="13"/>
    <x v="0"/>
    <x v="1"/>
    <x v="0"/>
    <x v="60"/>
    <x v="60"/>
    <x v="58"/>
    <x v="60"/>
    <x v="60"/>
    <x v="58"/>
    <x v="69"/>
  </r>
  <r>
    <x v="76"/>
    <x v="15"/>
    <x v="13"/>
    <x v="13"/>
    <x v="0"/>
    <x v="3"/>
    <x v="0"/>
    <x v="61"/>
    <x v="61"/>
    <x v="59"/>
    <x v="61"/>
    <x v="61"/>
    <x v="59"/>
    <x v="70"/>
  </r>
  <r>
    <x v="77"/>
    <x v="15"/>
    <x v="13"/>
    <x v="13"/>
    <x v="0"/>
    <x v="1"/>
    <x v="15"/>
    <x v="62"/>
    <x v="62"/>
    <x v="60"/>
    <x v="62"/>
    <x v="62"/>
    <x v="60"/>
    <x v="71"/>
  </r>
  <r>
    <x v="78"/>
    <x v="15"/>
    <x v="13"/>
    <x v="13"/>
    <x v="0"/>
    <x v="1"/>
    <x v="15"/>
    <x v="63"/>
    <x v="10"/>
    <x v="0"/>
    <x v="63"/>
    <x v="63"/>
    <x v="0"/>
    <x v="72"/>
  </r>
  <r>
    <x v="79"/>
    <x v="15"/>
    <x v="13"/>
    <x v="13"/>
    <x v="0"/>
    <x v="4"/>
    <x v="16"/>
    <x v="1"/>
    <x v="1"/>
    <x v="61"/>
    <x v="1"/>
    <x v="1"/>
    <x v="61"/>
    <x v="73"/>
  </r>
  <r>
    <x v="80"/>
    <x v="15"/>
    <x v="13"/>
    <x v="13"/>
    <x v="0"/>
    <x v="4"/>
    <x v="9"/>
    <x v="64"/>
    <x v="63"/>
    <x v="62"/>
    <x v="64"/>
    <x v="64"/>
    <x v="62"/>
    <x v="74"/>
  </r>
  <r>
    <x v="81"/>
    <x v="15"/>
    <x v="13"/>
    <x v="13"/>
    <x v="0"/>
    <x v="4"/>
    <x v="10"/>
    <x v="65"/>
    <x v="64"/>
    <x v="63"/>
    <x v="65"/>
    <x v="65"/>
    <x v="63"/>
    <x v="75"/>
  </r>
  <r>
    <x v="82"/>
    <x v="15"/>
    <x v="13"/>
    <x v="13"/>
    <x v="0"/>
    <x v="0"/>
    <x v="10"/>
    <x v="66"/>
    <x v="65"/>
    <x v="0"/>
    <x v="66"/>
    <x v="66"/>
    <x v="0"/>
    <x v="76"/>
  </r>
  <r>
    <x v="83"/>
    <x v="15"/>
    <x v="13"/>
    <x v="13"/>
    <x v="0"/>
    <x v="3"/>
    <x v="10"/>
    <x v="67"/>
    <x v="66"/>
    <x v="64"/>
    <x v="67"/>
    <x v="67"/>
    <x v="64"/>
    <x v="77"/>
  </r>
  <r>
    <x v="84"/>
    <x v="16"/>
    <x v="14"/>
    <x v="14"/>
    <x v="0"/>
    <x v="1"/>
    <x v="4"/>
    <x v="1"/>
    <x v="1"/>
    <x v="65"/>
    <x v="1"/>
    <x v="1"/>
    <x v="65"/>
    <x v="78"/>
  </r>
  <r>
    <x v="85"/>
    <x v="16"/>
    <x v="14"/>
    <x v="14"/>
    <x v="0"/>
    <x v="1"/>
    <x v="4"/>
    <x v="68"/>
    <x v="67"/>
    <x v="66"/>
    <x v="68"/>
    <x v="68"/>
    <x v="66"/>
    <x v="79"/>
  </r>
  <r>
    <x v="86"/>
    <x v="17"/>
    <x v="15"/>
    <x v="15"/>
    <x v="0"/>
    <x v="0"/>
    <x v="0"/>
    <x v="69"/>
    <x v="68"/>
    <x v="67"/>
    <x v="69"/>
    <x v="69"/>
    <x v="67"/>
    <x v="80"/>
  </r>
  <r>
    <x v="87"/>
    <x v="17"/>
    <x v="15"/>
    <x v="15"/>
    <x v="0"/>
    <x v="0"/>
    <x v="13"/>
    <x v="70"/>
    <x v="69"/>
    <x v="68"/>
    <x v="70"/>
    <x v="70"/>
    <x v="68"/>
    <x v="81"/>
  </r>
  <r>
    <x v="88"/>
    <x v="17"/>
    <x v="15"/>
    <x v="15"/>
    <x v="0"/>
    <x v="0"/>
    <x v="17"/>
    <x v="71"/>
    <x v="70"/>
    <x v="69"/>
    <x v="71"/>
    <x v="71"/>
    <x v="69"/>
    <x v="82"/>
  </r>
  <r>
    <x v="89"/>
    <x v="17"/>
    <x v="15"/>
    <x v="15"/>
    <x v="0"/>
    <x v="2"/>
    <x v="17"/>
    <x v="72"/>
    <x v="71"/>
    <x v="0"/>
    <x v="72"/>
    <x v="72"/>
    <x v="0"/>
    <x v="83"/>
  </r>
  <r>
    <x v="90"/>
    <x v="17"/>
    <x v="15"/>
    <x v="15"/>
    <x v="0"/>
    <x v="0"/>
    <x v="17"/>
    <x v="73"/>
    <x v="72"/>
    <x v="70"/>
    <x v="73"/>
    <x v="73"/>
    <x v="70"/>
    <x v="84"/>
  </r>
  <r>
    <x v="91"/>
    <x v="18"/>
    <x v="16"/>
    <x v="16"/>
    <x v="0"/>
    <x v="1"/>
    <x v="13"/>
    <x v="74"/>
    <x v="73"/>
    <x v="71"/>
    <x v="74"/>
    <x v="74"/>
    <x v="71"/>
    <x v="85"/>
  </r>
  <r>
    <x v="92"/>
    <x v="19"/>
    <x v="17"/>
    <x v="17"/>
    <x v="0"/>
    <x v="1"/>
    <x v="5"/>
    <x v="1"/>
    <x v="1"/>
    <x v="0"/>
    <x v="1"/>
    <x v="1"/>
    <x v="0"/>
    <x v="1"/>
  </r>
  <r>
    <x v="93"/>
    <x v="20"/>
    <x v="18"/>
    <x v="18"/>
    <x v="0"/>
    <x v="1"/>
    <x v="10"/>
    <x v="1"/>
    <x v="74"/>
    <x v="72"/>
    <x v="1"/>
    <x v="75"/>
    <x v="72"/>
    <x v="86"/>
  </r>
  <r>
    <x v="94"/>
    <x v="21"/>
    <x v="19"/>
    <x v="19"/>
    <x v="0"/>
    <x v="1"/>
    <x v="15"/>
    <x v="1"/>
    <x v="75"/>
    <x v="73"/>
    <x v="1"/>
    <x v="76"/>
    <x v="73"/>
    <x v="87"/>
  </r>
  <r>
    <x v="95"/>
    <x v="21"/>
    <x v="19"/>
    <x v="19"/>
    <x v="0"/>
    <x v="1"/>
    <x v="15"/>
    <x v="1"/>
    <x v="76"/>
    <x v="74"/>
    <x v="1"/>
    <x v="77"/>
    <x v="74"/>
    <x v="88"/>
  </r>
  <r>
    <x v="96"/>
    <x v="21"/>
    <x v="19"/>
    <x v="19"/>
    <x v="0"/>
    <x v="1"/>
    <x v="15"/>
    <x v="1"/>
    <x v="77"/>
    <x v="75"/>
    <x v="1"/>
    <x v="78"/>
    <x v="75"/>
    <x v="89"/>
  </r>
  <r>
    <x v="97"/>
    <x v="21"/>
    <x v="19"/>
    <x v="19"/>
    <x v="0"/>
    <x v="1"/>
    <x v="18"/>
    <x v="1"/>
    <x v="1"/>
    <x v="76"/>
    <x v="1"/>
    <x v="1"/>
    <x v="76"/>
    <x v="90"/>
  </r>
  <r>
    <x v="98"/>
    <x v="21"/>
    <x v="19"/>
    <x v="19"/>
    <x v="0"/>
    <x v="1"/>
    <x v="3"/>
    <x v="75"/>
    <x v="78"/>
    <x v="77"/>
    <x v="75"/>
    <x v="79"/>
    <x v="77"/>
    <x v="91"/>
  </r>
  <r>
    <x v="99"/>
    <x v="21"/>
    <x v="19"/>
    <x v="19"/>
    <x v="0"/>
    <x v="1"/>
    <x v="3"/>
    <x v="76"/>
    <x v="79"/>
    <x v="78"/>
    <x v="76"/>
    <x v="80"/>
    <x v="78"/>
    <x v="92"/>
  </r>
  <r>
    <x v="100"/>
    <x v="21"/>
    <x v="19"/>
    <x v="19"/>
    <x v="0"/>
    <x v="1"/>
    <x v="3"/>
    <x v="77"/>
    <x v="80"/>
    <x v="79"/>
    <x v="77"/>
    <x v="81"/>
    <x v="79"/>
    <x v="93"/>
  </r>
  <r>
    <x v="101"/>
    <x v="22"/>
    <x v="20"/>
    <x v="20"/>
    <x v="0"/>
    <x v="0"/>
    <x v="13"/>
    <x v="63"/>
    <x v="1"/>
    <x v="0"/>
    <x v="78"/>
    <x v="1"/>
    <x v="0"/>
    <x v="94"/>
  </r>
  <r>
    <x v="102"/>
    <x v="23"/>
    <x v="21"/>
    <x v="21"/>
    <x v="0"/>
    <x v="0"/>
    <x v="5"/>
    <x v="1"/>
    <x v="81"/>
    <x v="80"/>
    <x v="1"/>
    <x v="82"/>
    <x v="80"/>
    <x v="95"/>
  </r>
  <r>
    <x v="103"/>
    <x v="24"/>
    <x v="22"/>
    <x v="22"/>
    <x v="0"/>
    <x v="0"/>
    <x v="0"/>
    <x v="1"/>
    <x v="82"/>
    <x v="0"/>
    <x v="1"/>
    <x v="83"/>
    <x v="0"/>
    <x v="96"/>
  </r>
  <r>
    <x v="104"/>
    <x v="25"/>
    <x v="23"/>
    <x v="23"/>
    <x v="0"/>
    <x v="1"/>
    <x v="5"/>
    <x v="78"/>
    <x v="83"/>
    <x v="81"/>
    <x v="79"/>
    <x v="84"/>
    <x v="81"/>
    <x v="97"/>
  </r>
  <r>
    <x v="105"/>
    <x v="25"/>
    <x v="23"/>
    <x v="23"/>
    <x v="0"/>
    <x v="2"/>
    <x v="5"/>
    <x v="79"/>
    <x v="84"/>
    <x v="82"/>
    <x v="80"/>
    <x v="85"/>
    <x v="82"/>
    <x v="98"/>
  </r>
  <r>
    <x v="106"/>
    <x v="25"/>
    <x v="23"/>
    <x v="23"/>
    <x v="0"/>
    <x v="2"/>
    <x v="5"/>
    <x v="80"/>
    <x v="1"/>
    <x v="0"/>
    <x v="81"/>
    <x v="1"/>
    <x v="0"/>
    <x v="99"/>
  </r>
  <r>
    <x v="107"/>
    <x v="25"/>
    <x v="23"/>
    <x v="23"/>
    <x v="0"/>
    <x v="1"/>
    <x v="13"/>
    <x v="81"/>
    <x v="85"/>
    <x v="83"/>
    <x v="82"/>
    <x v="86"/>
    <x v="83"/>
    <x v="100"/>
  </r>
  <r>
    <x v="108"/>
    <x v="25"/>
    <x v="23"/>
    <x v="23"/>
    <x v="0"/>
    <x v="2"/>
    <x v="10"/>
    <x v="82"/>
    <x v="86"/>
    <x v="84"/>
    <x v="83"/>
    <x v="87"/>
    <x v="84"/>
    <x v="101"/>
  </r>
  <r>
    <x v="109"/>
    <x v="25"/>
    <x v="23"/>
    <x v="23"/>
    <x v="0"/>
    <x v="1"/>
    <x v="10"/>
    <x v="83"/>
    <x v="87"/>
    <x v="0"/>
    <x v="84"/>
    <x v="88"/>
    <x v="0"/>
    <x v="102"/>
  </r>
  <r>
    <x v="110"/>
    <x v="25"/>
    <x v="23"/>
    <x v="23"/>
    <x v="0"/>
    <x v="1"/>
    <x v="11"/>
    <x v="84"/>
    <x v="88"/>
    <x v="0"/>
    <x v="85"/>
    <x v="89"/>
    <x v="0"/>
    <x v="103"/>
  </r>
  <r>
    <x v="111"/>
    <x v="26"/>
    <x v="23"/>
    <x v="23"/>
    <x v="0"/>
    <x v="4"/>
    <x v="4"/>
    <x v="85"/>
    <x v="1"/>
    <x v="0"/>
    <x v="86"/>
    <x v="1"/>
    <x v="0"/>
    <x v="104"/>
  </r>
  <r>
    <x v="112"/>
    <x v="26"/>
    <x v="23"/>
    <x v="23"/>
    <x v="0"/>
    <x v="0"/>
    <x v="17"/>
    <x v="86"/>
    <x v="1"/>
    <x v="0"/>
    <x v="87"/>
    <x v="1"/>
    <x v="0"/>
    <x v="105"/>
  </r>
  <r>
    <x v="113"/>
    <x v="27"/>
    <x v="23"/>
    <x v="23"/>
    <x v="0"/>
    <x v="2"/>
    <x v="5"/>
    <x v="87"/>
    <x v="1"/>
    <x v="0"/>
    <x v="88"/>
    <x v="1"/>
    <x v="0"/>
    <x v="106"/>
  </r>
  <r>
    <x v="114"/>
    <x v="27"/>
    <x v="23"/>
    <x v="23"/>
    <x v="0"/>
    <x v="1"/>
    <x v="11"/>
    <x v="88"/>
    <x v="1"/>
    <x v="0"/>
    <x v="89"/>
    <x v="1"/>
    <x v="0"/>
    <x v="107"/>
  </r>
  <r>
    <x v="115"/>
    <x v="28"/>
    <x v="23"/>
    <x v="23"/>
    <x v="0"/>
    <x v="1"/>
    <x v="6"/>
    <x v="89"/>
    <x v="89"/>
    <x v="85"/>
    <x v="90"/>
    <x v="90"/>
    <x v="85"/>
    <x v="108"/>
  </r>
  <r>
    <x v="116"/>
    <x v="29"/>
    <x v="23"/>
    <x v="23"/>
    <x v="0"/>
    <x v="1"/>
    <x v="5"/>
    <x v="90"/>
    <x v="90"/>
    <x v="86"/>
    <x v="91"/>
    <x v="91"/>
    <x v="86"/>
    <x v="109"/>
  </r>
  <r>
    <x v="117"/>
    <x v="29"/>
    <x v="23"/>
    <x v="23"/>
    <x v="0"/>
    <x v="2"/>
    <x v="5"/>
    <x v="91"/>
    <x v="91"/>
    <x v="87"/>
    <x v="92"/>
    <x v="92"/>
    <x v="87"/>
    <x v="110"/>
  </r>
  <r>
    <x v="118"/>
    <x v="30"/>
    <x v="23"/>
    <x v="23"/>
    <x v="0"/>
    <x v="1"/>
    <x v="5"/>
    <x v="92"/>
    <x v="92"/>
    <x v="88"/>
    <x v="93"/>
    <x v="93"/>
    <x v="88"/>
    <x v="111"/>
  </r>
  <r>
    <x v="119"/>
    <x v="31"/>
    <x v="23"/>
    <x v="23"/>
    <x v="0"/>
    <x v="1"/>
    <x v="10"/>
    <x v="93"/>
    <x v="1"/>
    <x v="0"/>
    <x v="94"/>
    <x v="1"/>
    <x v="0"/>
    <x v="112"/>
  </r>
  <r>
    <x v="120"/>
    <x v="31"/>
    <x v="23"/>
    <x v="23"/>
    <x v="0"/>
    <x v="1"/>
    <x v="10"/>
    <x v="94"/>
    <x v="93"/>
    <x v="89"/>
    <x v="95"/>
    <x v="94"/>
    <x v="89"/>
    <x v="113"/>
  </r>
  <r>
    <x v="121"/>
    <x v="32"/>
    <x v="24"/>
    <x v="24"/>
    <x v="0"/>
    <x v="1"/>
    <x v="10"/>
    <x v="1"/>
    <x v="1"/>
    <x v="0"/>
    <x v="1"/>
    <x v="1"/>
    <x v="0"/>
    <x v="1"/>
  </r>
  <r>
    <x v="122"/>
    <x v="33"/>
    <x v="25"/>
    <x v="25"/>
    <x v="0"/>
    <x v="2"/>
    <x v="5"/>
    <x v="95"/>
    <x v="1"/>
    <x v="0"/>
    <x v="96"/>
    <x v="1"/>
    <x v="0"/>
    <x v="114"/>
  </r>
  <r>
    <x v="123"/>
    <x v="33"/>
    <x v="25"/>
    <x v="25"/>
    <x v="0"/>
    <x v="2"/>
    <x v="3"/>
    <x v="1"/>
    <x v="1"/>
    <x v="0"/>
    <x v="1"/>
    <x v="1"/>
    <x v="0"/>
    <x v="1"/>
  </r>
  <r>
    <x v="124"/>
    <x v="34"/>
    <x v="26"/>
    <x v="26"/>
    <x v="0"/>
    <x v="1"/>
    <x v="5"/>
    <x v="1"/>
    <x v="94"/>
    <x v="0"/>
    <x v="1"/>
    <x v="95"/>
    <x v="0"/>
    <x v="115"/>
  </r>
  <r>
    <x v="125"/>
    <x v="35"/>
    <x v="26"/>
    <x v="26"/>
    <x v="0"/>
    <x v="3"/>
    <x v="19"/>
    <x v="96"/>
    <x v="1"/>
    <x v="0"/>
    <x v="97"/>
    <x v="1"/>
    <x v="0"/>
    <x v="116"/>
  </r>
  <r>
    <x v="126"/>
    <x v="35"/>
    <x v="26"/>
    <x v="26"/>
    <x v="0"/>
    <x v="2"/>
    <x v="5"/>
    <x v="1"/>
    <x v="95"/>
    <x v="90"/>
    <x v="1"/>
    <x v="96"/>
    <x v="90"/>
    <x v="117"/>
  </r>
  <r>
    <x v="127"/>
    <x v="35"/>
    <x v="26"/>
    <x v="26"/>
    <x v="0"/>
    <x v="2"/>
    <x v="5"/>
    <x v="1"/>
    <x v="96"/>
    <x v="91"/>
    <x v="1"/>
    <x v="97"/>
    <x v="91"/>
    <x v="118"/>
  </r>
  <r>
    <x v="128"/>
    <x v="35"/>
    <x v="26"/>
    <x v="26"/>
    <x v="0"/>
    <x v="2"/>
    <x v="5"/>
    <x v="1"/>
    <x v="97"/>
    <x v="92"/>
    <x v="1"/>
    <x v="98"/>
    <x v="92"/>
    <x v="119"/>
  </r>
  <r>
    <x v="129"/>
    <x v="35"/>
    <x v="26"/>
    <x v="26"/>
    <x v="0"/>
    <x v="1"/>
    <x v="5"/>
    <x v="97"/>
    <x v="98"/>
    <x v="93"/>
    <x v="98"/>
    <x v="99"/>
    <x v="93"/>
    <x v="120"/>
  </r>
  <r>
    <x v="130"/>
    <x v="35"/>
    <x v="26"/>
    <x v="26"/>
    <x v="0"/>
    <x v="2"/>
    <x v="5"/>
    <x v="1"/>
    <x v="99"/>
    <x v="94"/>
    <x v="1"/>
    <x v="100"/>
    <x v="94"/>
    <x v="121"/>
  </r>
  <r>
    <x v="131"/>
    <x v="35"/>
    <x v="26"/>
    <x v="26"/>
    <x v="0"/>
    <x v="1"/>
    <x v="6"/>
    <x v="98"/>
    <x v="100"/>
    <x v="95"/>
    <x v="99"/>
    <x v="101"/>
    <x v="95"/>
    <x v="122"/>
  </r>
  <r>
    <x v="132"/>
    <x v="35"/>
    <x v="26"/>
    <x v="26"/>
    <x v="0"/>
    <x v="1"/>
    <x v="20"/>
    <x v="99"/>
    <x v="101"/>
    <x v="0"/>
    <x v="100"/>
    <x v="102"/>
    <x v="0"/>
    <x v="123"/>
  </r>
  <r>
    <x v="133"/>
    <x v="35"/>
    <x v="26"/>
    <x v="26"/>
    <x v="0"/>
    <x v="0"/>
    <x v="11"/>
    <x v="1"/>
    <x v="102"/>
    <x v="96"/>
    <x v="1"/>
    <x v="103"/>
    <x v="96"/>
    <x v="124"/>
  </r>
  <r>
    <x v="134"/>
    <x v="36"/>
    <x v="26"/>
    <x v="27"/>
    <x v="0"/>
    <x v="2"/>
    <x v="5"/>
    <x v="100"/>
    <x v="103"/>
    <x v="97"/>
    <x v="101"/>
    <x v="104"/>
    <x v="97"/>
    <x v="125"/>
  </r>
  <r>
    <x v="135"/>
    <x v="36"/>
    <x v="26"/>
    <x v="27"/>
    <x v="0"/>
    <x v="2"/>
    <x v="6"/>
    <x v="1"/>
    <x v="104"/>
    <x v="98"/>
    <x v="1"/>
    <x v="105"/>
    <x v="98"/>
    <x v="126"/>
  </r>
  <r>
    <x v="136"/>
    <x v="37"/>
    <x v="27"/>
    <x v="28"/>
    <x v="0"/>
    <x v="3"/>
    <x v="5"/>
    <x v="1"/>
    <x v="105"/>
    <x v="99"/>
    <x v="1"/>
    <x v="106"/>
    <x v="99"/>
    <x v="127"/>
  </r>
  <r>
    <x v="137"/>
    <x v="37"/>
    <x v="27"/>
    <x v="28"/>
    <x v="0"/>
    <x v="3"/>
    <x v="5"/>
    <x v="1"/>
    <x v="106"/>
    <x v="100"/>
    <x v="1"/>
    <x v="107"/>
    <x v="100"/>
    <x v="128"/>
  </r>
  <r>
    <x v="138"/>
    <x v="38"/>
    <x v="28"/>
    <x v="29"/>
    <x v="0"/>
    <x v="1"/>
    <x v="10"/>
    <x v="101"/>
    <x v="1"/>
    <x v="0"/>
    <x v="102"/>
    <x v="1"/>
    <x v="0"/>
    <x v="129"/>
  </r>
  <r>
    <x v="139"/>
    <x v="39"/>
    <x v="29"/>
    <x v="30"/>
    <x v="0"/>
    <x v="2"/>
    <x v="0"/>
    <x v="102"/>
    <x v="107"/>
    <x v="0"/>
    <x v="103"/>
    <x v="108"/>
    <x v="0"/>
    <x v="130"/>
  </r>
  <r>
    <x v="140"/>
    <x v="39"/>
    <x v="29"/>
    <x v="30"/>
    <x v="0"/>
    <x v="2"/>
    <x v="0"/>
    <x v="103"/>
    <x v="108"/>
    <x v="101"/>
    <x v="104"/>
    <x v="109"/>
    <x v="101"/>
    <x v="131"/>
  </r>
  <r>
    <x v="141"/>
    <x v="39"/>
    <x v="29"/>
    <x v="30"/>
    <x v="0"/>
    <x v="2"/>
    <x v="9"/>
    <x v="104"/>
    <x v="109"/>
    <x v="0"/>
    <x v="105"/>
    <x v="110"/>
    <x v="0"/>
    <x v="132"/>
  </r>
  <r>
    <x v="142"/>
    <x v="39"/>
    <x v="29"/>
    <x v="30"/>
    <x v="0"/>
    <x v="2"/>
    <x v="9"/>
    <x v="105"/>
    <x v="110"/>
    <x v="0"/>
    <x v="106"/>
    <x v="111"/>
    <x v="0"/>
    <x v="133"/>
  </r>
  <r>
    <x v="143"/>
    <x v="40"/>
    <x v="30"/>
    <x v="31"/>
    <x v="0"/>
    <x v="2"/>
    <x v="2"/>
    <x v="1"/>
    <x v="1"/>
    <x v="71"/>
    <x v="1"/>
    <x v="1"/>
    <x v="102"/>
    <x v="134"/>
  </r>
  <r>
    <x v="144"/>
    <x v="40"/>
    <x v="30"/>
    <x v="31"/>
    <x v="0"/>
    <x v="2"/>
    <x v="8"/>
    <x v="106"/>
    <x v="111"/>
    <x v="102"/>
    <x v="107"/>
    <x v="112"/>
    <x v="103"/>
    <x v="135"/>
  </r>
  <r>
    <x v="145"/>
    <x v="40"/>
    <x v="30"/>
    <x v="31"/>
    <x v="0"/>
    <x v="2"/>
    <x v="13"/>
    <x v="107"/>
    <x v="112"/>
    <x v="103"/>
    <x v="108"/>
    <x v="113"/>
    <x v="104"/>
    <x v="136"/>
  </r>
  <r>
    <x v="146"/>
    <x v="40"/>
    <x v="30"/>
    <x v="31"/>
    <x v="0"/>
    <x v="2"/>
    <x v="13"/>
    <x v="108"/>
    <x v="1"/>
    <x v="0"/>
    <x v="109"/>
    <x v="1"/>
    <x v="0"/>
    <x v="137"/>
  </r>
  <r>
    <x v="147"/>
    <x v="41"/>
    <x v="31"/>
    <x v="32"/>
    <x v="0"/>
    <x v="1"/>
    <x v="10"/>
    <x v="109"/>
    <x v="113"/>
    <x v="0"/>
    <x v="110"/>
    <x v="114"/>
    <x v="0"/>
    <x v="138"/>
  </r>
  <r>
    <x v="148"/>
    <x v="41"/>
    <x v="31"/>
    <x v="32"/>
    <x v="0"/>
    <x v="1"/>
    <x v="10"/>
    <x v="110"/>
    <x v="114"/>
    <x v="104"/>
    <x v="111"/>
    <x v="115"/>
    <x v="105"/>
    <x v="139"/>
  </r>
  <r>
    <x v="149"/>
    <x v="42"/>
    <x v="32"/>
    <x v="33"/>
    <x v="0"/>
    <x v="2"/>
    <x v="10"/>
    <x v="111"/>
    <x v="115"/>
    <x v="105"/>
    <x v="112"/>
    <x v="116"/>
    <x v="106"/>
    <x v="140"/>
  </r>
  <r>
    <x v="150"/>
    <x v="42"/>
    <x v="32"/>
    <x v="33"/>
    <x v="0"/>
    <x v="0"/>
    <x v="10"/>
    <x v="1"/>
    <x v="116"/>
    <x v="0"/>
    <x v="1"/>
    <x v="117"/>
    <x v="0"/>
    <x v="141"/>
  </r>
  <r>
    <x v="151"/>
    <x v="43"/>
    <x v="32"/>
    <x v="33"/>
    <x v="0"/>
    <x v="1"/>
    <x v="5"/>
    <x v="112"/>
    <x v="117"/>
    <x v="106"/>
    <x v="113"/>
    <x v="118"/>
    <x v="107"/>
    <x v="142"/>
  </r>
  <r>
    <x v="152"/>
    <x v="43"/>
    <x v="32"/>
    <x v="33"/>
    <x v="0"/>
    <x v="0"/>
    <x v="9"/>
    <x v="113"/>
    <x v="118"/>
    <x v="107"/>
    <x v="114"/>
    <x v="119"/>
    <x v="108"/>
    <x v="143"/>
  </r>
  <r>
    <x v="153"/>
    <x v="43"/>
    <x v="32"/>
    <x v="33"/>
    <x v="0"/>
    <x v="0"/>
    <x v="9"/>
    <x v="1"/>
    <x v="1"/>
    <x v="0"/>
    <x v="1"/>
    <x v="1"/>
    <x v="0"/>
    <x v="1"/>
  </r>
  <r>
    <x v="154"/>
    <x v="44"/>
    <x v="32"/>
    <x v="33"/>
    <x v="0"/>
    <x v="1"/>
    <x v="4"/>
    <x v="1"/>
    <x v="1"/>
    <x v="0"/>
    <x v="1"/>
    <x v="1"/>
    <x v="0"/>
    <x v="1"/>
  </r>
  <r>
    <x v="155"/>
    <x v="44"/>
    <x v="32"/>
    <x v="33"/>
    <x v="0"/>
    <x v="1"/>
    <x v="5"/>
    <x v="114"/>
    <x v="119"/>
    <x v="108"/>
    <x v="115"/>
    <x v="120"/>
    <x v="109"/>
    <x v="144"/>
  </r>
  <r>
    <x v="156"/>
    <x v="44"/>
    <x v="32"/>
    <x v="33"/>
    <x v="0"/>
    <x v="1"/>
    <x v="10"/>
    <x v="115"/>
    <x v="1"/>
    <x v="0"/>
    <x v="116"/>
    <x v="1"/>
    <x v="0"/>
    <x v="145"/>
  </r>
  <r>
    <x v="157"/>
    <x v="44"/>
    <x v="32"/>
    <x v="33"/>
    <x v="0"/>
    <x v="1"/>
    <x v="10"/>
    <x v="116"/>
    <x v="120"/>
    <x v="109"/>
    <x v="117"/>
    <x v="121"/>
    <x v="110"/>
    <x v="146"/>
  </r>
  <r>
    <x v="158"/>
    <x v="44"/>
    <x v="32"/>
    <x v="33"/>
    <x v="0"/>
    <x v="1"/>
    <x v="10"/>
    <x v="117"/>
    <x v="121"/>
    <x v="0"/>
    <x v="118"/>
    <x v="122"/>
    <x v="0"/>
    <x v="147"/>
  </r>
  <r>
    <x v="159"/>
    <x v="44"/>
    <x v="32"/>
    <x v="33"/>
    <x v="0"/>
    <x v="0"/>
    <x v="10"/>
    <x v="118"/>
    <x v="122"/>
    <x v="110"/>
    <x v="119"/>
    <x v="123"/>
    <x v="111"/>
    <x v="148"/>
  </r>
  <r>
    <x v="160"/>
    <x v="44"/>
    <x v="32"/>
    <x v="33"/>
    <x v="0"/>
    <x v="2"/>
    <x v="10"/>
    <x v="119"/>
    <x v="123"/>
    <x v="111"/>
    <x v="120"/>
    <x v="124"/>
    <x v="112"/>
    <x v="149"/>
  </r>
  <r>
    <x v="161"/>
    <x v="44"/>
    <x v="32"/>
    <x v="33"/>
    <x v="0"/>
    <x v="1"/>
    <x v="10"/>
    <x v="120"/>
    <x v="1"/>
    <x v="112"/>
    <x v="121"/>
    <x v="1"/>
    <x v="113"/>
    <x v="150"/>
  </r>
  <r>
    <x v="162"/>
    <x v="44"/>
    <x v="32"/>
    <x v="33"/>
    <x v="0"/>
    <x v="1"/>
    <x v="11"/>
    <x v="1"/>
    <x v="124"/>
    <x v="113"/>
    <x v="1"/>
    <x v="125"/>
    <x v="114"/>
    <x v="151"/>
  </r>
  <r>
    <x v="163"/>
    <x v="44"/>
    <x v="32"/>
    <x v="33"/>
    <x v="0"/>
    <x v="3"/>
    <x v="11"/>
    <x v="121"/>
    <x v="1"/>
    <x v="114"/>
    <x v="122"/>
    <x v="1"/>
    <x v="115"/>
    <x v="152"/>
  </r>
  <r>
    <x v="164"/>
    <x v="45"/>
    <x v="32"/>
    <x v="33"/>
    <x v="0"/>
    <x v="1"/>
    <x v="4"/>
    <x v="1"/>
    <x v="125"/>
    <x v="115"/>
    <x v="1"/>
    <x v="126"/>
    <x v="116"/>
    <x v="153"/>
  </r>
  <r>
    <x v="165"/>
    <x v="46"/>
    <x v="32"/>
    <x v="34"/>
    <x v="0"/>
    <x v="1"/>
    <x v="10"/>
    <x v="122"/>
    <x v="126"/>
    <x v="116"/>
    <x v="123"/>
    <x v="127"/>
    <x v="117"/>
    <x v="154"/>
  </r>
  <r>
    <x v="166"/>
    <x v="47"/>
    <x v="32"/>
    <x v="33"/>
    <x v="0"/>
    <x v="2"/>
    <x v="10"/>
    <x v="123"/>
    <x v="127"/>
    <x v="117"/>
    <x v="124"/>
    <x v="128"/>
    <x v="118"/>
    <x v="155"/>
  </r>
  <r>
    <x v="167"/>
    <x v="48"/>
    <x v="32"/>
    <x v="33"/>
    <x v="0"/>
    <x v="2"/>
    <x v="10"/>
    <x v="1"/>
    <x v="1"/>
    <x v="0"/>
    <x v="1"/>
    <x v="1"/>
    <x v="0"/>
    <x v="1"/>
  </r>
  <r>
    <x v="168"/>
    <x v="49"/>
    <x v="32"/>
    <x v="33"/>
    <x v="0"/>
    <x v="2"/>
    <x v="5"/>
    <x v="124"/>
    <x v="128"/>
    <x v="118"/>
    <x v="125"/>
    <x v="129"/>
    <x v="119"/>
    <x v="156"/>
  </r>
  <r>
    <x v="169"/>
    <x v="49"/>
    <x v="32"/>
    <x v="33"/>
    <x v="0"/>
    <x v="2"/>
    <x v="5"/>
    <x v="125"/>
    <x v="129"/>
    <x v="119"/>
    <x v="126"/>
    <x v="130"/>
    <x v="120"/>
    <x v="157"/>
  </r>
  <r>
    <x v="170"/>
    <x v="49"/>
    <x v="32"/>
    <x v="33"/>
    <x v="0"/>
    <x v="2"/>
    <x v="10"/>
    <x v="1"/>
    <x v="1"/>
    <x v="120"/>
    <x v="1"/>
    <x v="1"/>
    <x v="121"/>
    <x v="158"/>
  </r>
  <r>
    <x v="171"/>
    <x v="49"/>
    <x v="32"/>
    <x v="33"/>
    <x v="0"/>
    <x v="0"/>
    <x v="10"/>
    <x v="126"/>
    <x v="130"/>
    <x v="121"/>
    <x v="127"/>
    <x v="131"/>
    <x v="122"/>
    <x v="159"/>
  </r>
  <r>
    <x v="172"/>
    <x v="49"/>
    <x v="32"/>
    <x v="33"/>
    <x v="0"/>
    <x v="0"/>
    <x v="10"/>
    <x v="127"/>
    <x v="131"/>
    <x v="122"/>
    <x v="128"/>
    <x v="132"/>
    <x v="123"/>
    <x v="160"/>
  </r>
  <r>
    <x v="173"/>
    <x v="50"/>
    <x v="32"/>
    <x v="33"/>
    <x v="0"/>
    <x v="2"/>
    <x v="10"/>
    <x v="128"/>
    <x v="132"/>
    <x v="123"/>
    <x v="129"/>
    <x v="133"/>
    <x v="124"/>
    <x v="161"/>
  </r>
  <r>
    <x v="174"/>
    <x v="34"/>
    <x v="32"/>
    <x v="33"/>
    <x v="0"/>
    <x v="2"/>
    <x v="5"/>
    <x v="129"/>
    <x v="133"/>
    <x v="124"/>
    <x v="130"/>
    <x v="134"/>
    <x v="125"/>
    <x v="162"/>
  </r>
  <r>
    <x v="175"/>
    <x v="51"/>
    <x v="33"/>
    <x v="35"/>
    <x v="0"/>
    <x v="1"/>
    <x v="4"/>
    <x v="130"/>
    <x v="134"/>
    <x v="125"/>
    <x v="131"/>
    <x v="135"/>
    <x v="126"/>
    <x v="163"/>
  </r>
  <r>
    <x v="176"/>
    <x v="52"/>
    <x v="34"/>
    <x v="36"/>
    <x v="0"/>
    <x v="3"/>
    <x v="10"/>
    <x v="131"/>
    <x v="135"/>
    <x v="0"/>
    <x v="132"/>
    <x v="136"/>
    <x v="0"/>
    <x v="164"/>
  </r>
  <r>
    <x v="177"/>
    <x v="53"/>
    <x v="35"/>
    <x v="37"/>
    <x v="0"/>
    <x v="3"/>
    <x v="17"/>
    <x v="1"/>
    <x v="1"/>
    <x v="0"/>
    <x v="1"/>
    <x v="1"/>
    <x v="0"/>
    <x v="1"/>
  </r>
  <r>
    <x v="178"/>
    <x v="53"/>
    <x v="35"/>
    <x v="37"/>
    <x v="0"/>
    <x v="3"/>
    <x v="17"/>
    <x v="132"/>
    <x v="1"/>
    <x v="0"/>
    <x v="133"/>
    <x v="1"/>
    <x v="0"/>
    <x v="165"/>
  </r>
  <r>
    <x v="179"/>
    <x v="53"/>
    <x v="35"/>
    <x v="37"/>
    <x v="0"/>
    <x v="2"/>
    <x v="10"/>
    <x v="133"/>
    <x v="1"/>
    <x v="0"/>
    <x v="134"/>
    <x v="1"/>
    <x v="0"/>
    <x v="166"/>
  </r>
  <r>
    <x v="180"/>
    <x v="54"/>
    <x v="36"/>
    <x v="38"/>
    <x v="0"/>
    <x v="0"/>
    <x v="10"/>
    <x v="134"/>
    <x v="136"/>
    <x v="126"/>
    <x v="135"/>
    <x v="137"/>
    <x v="127"/>
    <x v="167"/>
  </r>
  <r>
    <x v="181"/>
    <x v="54"/>
    <x v="36"/>
    <x v="38"/>
    <x v="0"/>
    <x v="2"/>
    <x v="10"/>
    <x v="135"/>
    <x v="137"/>
    <x v="127"/>
    <x v="136"/>
    <x v="138"/>
    <x v="128"/>
    <x v="168"/>
  </r>
  <r>
    <x v="182"/>
    <x v="55"/>
    <x v="36"/>
    <x v="38"/>
    <x v="0"/>
    <x v="1"/>
    <x v="10"/>
    <x v="136"/>
    <x v="1"/>
    <x v="0"/>
    <x v="137"/>
    <x v="1"/>
    <x v="0"/>
    <x v="169"/>
  </r>
  <r>
    <x v="183"/>
    <x v="55"/>
    <x v="36"/>
    <x v="38"/>
    <x v="0"/>
    <x v="2"/>
    <x v="10"/>
    <x v="136"/>
    <x v="1"/>
    <x v="0"/>
    <x v="137"/>
    <x v="1"/>
    <x v="0"/>
    <x v="169"/>
  </r>
  <r>
    <x v="184"/>
    <x v="56"/>
    <x v="37"/>
    <x v="39"/>
    <x v="0"/>
    <x v="4"/>
    <x v="2"/>
    <x v="1"/>
    <x v="138"/>
    <x v="128"/>
    <x v="1"/>
    <x v="139"/>
    <x v="129"/>
    <x v="170"/>
  </r>
  <r>
    <x v="185"/>
    <x v="56"/>
    <x v="37"/>
    <x v="39"/>
    <x v="0"/>
    <x v="4"/>
    <x v="2"/>
    <x v="1"/>
    <x v="139"/>
    <x v="129"/>
    <x v="1"/>
    <x v="140"/>
    <x v="130"/>
    <x v="171"/>
  </r>
  <r>
    <x v="186"/>
    <x v="56"/>
    <x v="37"/>
    <x v="39"/>
    <x v="0"/>
    <x v="1"/>
    <x v="2"/>
    <x v="1"/>
    <x v="140"/>
    <x v="130"/>
    <x v="1"/>
    <x v="141"/>
    <x v="131"/>
    <x v="172"/>
  </r>
  <r>
    <x v="187"/>
    <x v="57"/>
    <x v="37"/>
    <x v="39"/>
    <x v="0"/>
    <x v="0"/>
    <x v="5"/>
    <x v="137"/>
    <x v="141"/>
    <x v="131"/>
    <x v="138"/>
    <x v="142"/>
    <x v="132"/>
    <x v="173"/>
  </r>
  <r>
    <x v="188"/>
    <x v="57"/>
    <x v="37"/>
    <x v="39"/>
    <x v="0"/>
    <x v="0"/>
    <x v="10"/>
    <x v="138"/>
    <x v="142"/>
    <x v="132"/>
    <x v="139"/>
    <x v="143"/>
    <x v="133"/>
    <x v="174"/>
  </r>
  <r>
    <x v="189"/>
    <x v="58"/>
    <x v="38"/>
    <x v="40"/>
    <x v="0"/>
    <x v="3"/>
    <x v="7"/>
    <x v="1"/>
    <x v="1"/>
    <x v="0"/>
    <x v="1"/>
    <x v="1"/>
    <x v="0"/>
    <x v="1"/>
  </r>
  <r>
    <x v="190"/>
    <x v="58"/>
    <x v="38"/>
    <x v="40"/>
    <x v="0"/>
    <x v="1"/>
    <x v="2"/>
    <x v="139"/>
    <x v="143"/>
    <x v="0"/>
    <x v="140"/>
    <x v="144"/>
    <x v="0"/>
    <x v="175"/>
  </r>
  <r>
    <x v="191"/>
    <x v="58"/>
    <x v="38"/>
    <x v="40"/>
    <x v="0"/>
    <x v="1"/>
    <x v="13"/>
    <x v="140"/>
    <x v="144"/>
    <x v="133"/>
    <x v="141"/>
    <x v="145"/>
    <x v="134"/>
    <x v="176"/>
  </r>
  <r>
    <x v="192"/>
    <x v="58"/>
    <x v="38"/>
    <x v="40"/>
    <x v="0"/>
    <x v="1"/>
    <x v="13"/>
    <x v="141"/>
    <x v="145"/>
    <x v="134"/>
    <x v="142"/>
    <x v="146"/>
    <x v="135"/>
    <x v="177"/>
  </r>
  <r>
    <x v="193"/>
    <x v="58"/>
    <x v="38"/>
    <x v="40"/>
    <x v="0"/>
    <x v="1"/>
    <x v="13"/>
    <x v="142"/>
    <x v="146"/>
    <x v="135"/>
    <x v="143"/>
    <x v="147"/>
    <x v="136"/>
    <x v="178"/>
  </r>
  <r>
    <x v="194"/>
    <x v="58"/>
    <x v="38"/>
    <x v="40"/>
    <x v="0"/>
    <x v="1"/>
    <x v="13"/>
    <x v="143"/>
    <x v="147"/>
    <x v="136"/>
    <x v="144"/>
    <x v="148"/>
    <x v="137"/>
    <x v="179"/>
  </r>
  <r>
    <x v="195"/>
    <x v="58"/>
    <x v="38"/>
    <x v="40"/>
    <x v="0"/>
    <x v="1"/>
    <x v="17"/>
    <x v="144"/>
    <x v="1"/>
    <x v="0"/>
    <x v="145"/>
    <x v="1"/>
    <x v="0"/>
    <x v="180"/>
  </r>
  <r>
    <x v="196"/>
    <x v="58"/>
    <x v="38"/>
    <x v="40"/>
    <x v="0"/>
    <x v="0"/>
    <x v="17"/>
    <x v="145"/>
    <x v="1"/>
    <x v="0"/>
    <x v="146"/>
    <x v="1"/>
    <x v="0"/>
    <x v="181"/>
  </r>
  <r>
    <x v="197"/>
    <x v="59"/>
    <x v="39"/>
    <x v="41"/>
    <x v="0"/>
    <x v="5"/>
    <x v="0"/>
    <x v="146"/>
    <x v="148"/>
    <x v="0"/>
    <x v="147"/>
    <x v="149"/>
    <x v="0"/>
    <x v="182"/>
  </r>
  <r>
    <x v="198"/>
    <x v="59"/>
    <x v="39"/>
    <x v="41"/>
    <x v="0"/>
    <x v="5"/>
    <x v="0"/>
    <x v="147"/>
    <x v="149"/>
    <x v="0"/>
    <x v="148"/>
    <x v="150"/>
    <x v="0"/>
    <x v="183"/>
  </r>
  <r>
    <x v="199"/>
    <x v="59"/>
    <x v="39"/>
    <x v="41"/>
    <x v="0"/>
    <x v="5"/>
    <x v="8"/>
    <x v="148"/>
    <x v="1"/>
    <x v="0"/>
    <x v="149"/>
    <x v="1"/>
    <x v="0"/>
    <x v="184"/>
  </r>
  <r>
    <x v="200"/>
    <x v="59"/>
    <x v="39"/>
    <x v="41"/>
    <x v="0"/>
    <x v="5"/>
    <x v="8"/>
    <x v="149"/>
    <x v="1"/>
    <x v="0"/>
    <x v="150"/>
    <x v="1"/>
    <x v="0"/>
    <x v="185"/>
  </r>
  <r>
    <x v="201"/>
    <x v="60"/>
    <x v="40"/>
    <x v="42"/>
    <x v="0"/>
    <x v="1"/>
    <x v="1"/>
    <x v="150"/>
    <x v="150"/>
    <x v="137"/>
    <x v="151"/>
    <x v="151"/>
    <x v="138"/>
    <x v="186"/>
  </r>
  <r>
    <x v="202"/>
    <x v="60"/>
    <x v="40"/>
    <x v="42"/>
    <x v="0"/>
    <x v="3"/>
    <x v="21"/>
    <x v="151"/>
    <x v="151"/>
    <x v="138"/>
    <x v="152"/>
    <x v="152"/>
    <x v="139"/>
    <x v="187"/>
  </r>
  <r>
    <x v="203"/>
    <x v="60"/>
    <x v="40"/>
    <x v="42"/>
    <x v="0"/>
    <x v="0"/>
    <x v="8"/>
    <x v="152"/>
    <x v="152"/>
    <x v="0"/>
    <x v="153"/>
    <x v="153"/>
    <x v="0"/>
    <x v="188"/>
  </r>
  <r>
    <x v="204"/>
    <x v="60"/>
    <x v="40"/>
    <x v="42"/>
    <x v="0"/>
    <x v="1"/>
    <x v="8"/>
    <x v="153"/>
    <x v="153"/>
    <x v="139"/>
    <x v="154"/>
    <x v="154"/>
    <x v="140"/>
    <x v="189"/>
  </r>
  <r>
    <x v="205"/>
    <x v="60"/>
    <x v="40"/>
    <x v="42"/>
    <x v="0"/>
    <x v="3"/>
    <x v="8"/>
    <x v="154"/>
    <x v="1"/>
    <x v="0"/>
    <x v="155"/>
    <x v="1"/>
    <x v="0"/>
    <x v="190"/>
  </r>
  <r>
    <x v="206"/>
    <x v="60"/>
    <x v="40"/>
    <x v="42"/>
    <x v="0"/>
    <x v="1"/>
    <x v="8"/>
    <x v="155"/>
    <x v="154"/>
    <x v="140"/>
    <x v="156"/>
    <x v="155"/>
    <x v="141"/>
    <x v="191"/>
  </r>
  <r>
    <x v="207"/>
    <x v="60"/>
    <x v="40"/>
    <x v="42"/>
    <x v="0"/>
    <x v="1"/>
    <x v="8"/>
    <x v="156"/>
    <x v="155"/>
    <x v="141"/>
    <x v="157"/>
    <x v="156"/>
    <x v="142"/>
    <x v="192"/>
  </r>
  <r>
    <x v="208"/>
    <x v="60"/>
    <x v="40"/>
    <x v="42"/>
    <x v="0"/>
    <x v="1"/>
    <x v="8"/>
    <x v="157"/>
    <x v="156"/>
    <x v="142"/>
    <x v="158"/>
    <x v="157"/>
    <x v="143"/>
    <x v="193"/>
  </r>
  <r>
    <x v="209"/>
    <x v="61"/>
    <x v="41"/>
    <x v="43"/>
    <x v="0"/>
    <x v="4"/>
    <x v="10"/>
    <x v="158"/>
    <x v="157"/>
    <x v="143"/>
    <x v="159"/>
    <x v="158"/>
    <x v="144"/>
    <x v="194"/>
  </r>
  <r>
    <x v="210"/>
    <x v="62"/>
    <x v="42"/>
    <x v="44"/>
    <x v="0"/>
    <x v="0"/>
    <x v="1"/>
    <x v="159"/>
    <x v="158"/>
    <x v="144"/>
    <x v="160"/>
    <x v="159"/>
    <x v="145"/>
    <x v="195"/>
  </r>
  <r>
    <x v="211"/>
    <x v="62"/>
    <x v="42"/>
    <x v="44"/>
    <x v="0"/>
    <x v="0"/>
    <x v="22"/>
    <x v="160"/>
    <x v="159"/>
    <x v="145"/>
    <x v="161"/>
    <x v="160"/>
    <x v="146"/>
    <x v="196"/>
  </r>
  <r>
    <x v="212"/>
    <x v="62"/>
    <x v="42"/>
    <x v="44"/>
    <x v="0"/>
    <x v="0"/>
    <x v="23"/>
    <x v="161"/>
    <x v="160"/>
    <x v="146"/>
    <x v="162"/>
    <x v="161"/>
    <x v="147"/>
    <x v="197"/>
  </r>
  <r>
    <x v="213"/>
    <x v="62"/>
    <x v="42"/>
    <x v="44"/>
    <x v="0"/>
    <x v="0"/>
    <x v="13"/>
    <x v="162"/>
    <x v="161"/>
    <x v="147"/>
    <x v="163"/>
    <x v="162"/>
    <x v="148"/>
    <x v="198"/>
  </r>
  <r>
    <x v="214"/>
    <x v="62"/>
    <x v="42"/>
    <x v="44"/>
    <x v="0"/>
    <x v="0"/>
    <x v="13"/>
    <x v="163"/>
    <x v="162"/>
    <x v="148"/>
    <x v="164"/>
    <x v="163"/>
    <x v="149"/>
    <x v="199"/>
  </r>
  <r>
    <x v="215"/>
    <x v="63"/>
    <x v="43"/>
    <x v="45"/>
    <x v="0"/>
    <x v="0"/>
    <x v="8"/>
    <x v="1"/>
    <x v="163"/>
    <x v="149"/>
    <x v="1"/>
    <x v="164"/>
    <x v="150"/>
    <x v="200"/>
  </r>
  <r>
    <x v="216"/>
    <x v="64"/>
    <x v="43"/>
    <x v="45"/>
    <x v="0"/>
    <x v="0"/>
    <x v="8"/>
    <x v="1"/>
    <x v="164"/>
    <x v="150"/>
    <x v="1"/>
    <x v="165"/>
    <x v="151"/>
    <x v="201"/>
  </r>
  <r>
    <x v="217"/>
    <x v="65"/>
    <x v="44"/>
    <x v="46"/>
    <x v="0"/>
    <x v="5"/>
    <x v="0"/>
    <x v="164"/>
    <x v="165"/>
    <x v="0"/>
    <x v="165"/>
    <x v="166"/>
    <x v="0"/>
    <x v="202"/>
  </r>
  <r>
    <x v="218"/>
    <x v="65"/>
    <x v="44"/>
    <x v="46"/>
    <x v="0"/>
    <x v="3"/>
    <x v="8"/>
    <x v="165"/>
    <x v="166"/>
    <x v="151"/>
    <x v="166"/>
    <x v="167"/>
    <x v="152"/>
    <x v="203"/>
  </r>
  <r>
    <x v="219"/>
    <x v="65"/>
    <x v="44"/>
    <x v="46"/>
    <x v="0"/>
    <x v="3"/>
    <x v="8"/>
    <x v="166"/>
    <x v="167"/>
    <x v="152"/>
    <x v="167"/>
    <x v="168"/>
    <x v="153"/>
    <x v="204"/>
  </r>
  <r>
    <x v="220"/>
    <x v="65"/>
    <x v="44"/>
    <x v="46"/>
    <x v="0"/>
    <x v="5"/>
    <x v="8"/>
    <x v="167"/>
    <x v="1"/>
    <x v="0"/>
    <x v="168"/>
    <x v="1"/>
    <x v="0"/>
    <x v="205"/>
  </r>
  <r>
    <x v="221"/>
    <x v="65"/>
    <x v="44"/>
    <x v="46"/>
    <x v="0"/>
    <x v="5"/>
    <x v="8"/>
    <x v="1"/>
    <x v="1"/>
    <x v="0"/>
    <x v="1"/>
    <x v="1"/>
    <x v="0"/>
    <x v="1"/>
  </r>
  <r>
    <x v="222"/>
    <x v="65"/>
    <x v="44"/>
    <x v="46"/>
    <x v="0"/>
    <x v="0"/>
    <x v="8"/>
    <x v="168"/>
    <x v="1"/>
    <x v="0"/>
    <x v="169"/>
    <x v="1"/>
    <x v="0"/>
    <x v="206"/>
  </r>
  <r>
    <x v="223"/>
    <x v="65"/>
    <x v="44"/>
    <x v="46"/>
    <x v="0"/>
    <x v="5"/>
    <x v="10"/>
    <x v="169"/>
    <x v="168"/>
    <x v="153"/>
    <x v="170"/>
    <x v="169"/>
    <x v="154"/>
    <x v="207"/>
  </r>
  <r>
    <x v="224"/>
    <x v="65"/>
    <x v="44"/>
    <x v="46"/>
    <x v="0"/>
    <x v="3"/>
    <x v="10"/>
    <x v="1"/>
    <x v="169"/>
    <x v="0"/>
    <x v="1"/>
    <x v="170"/>
    <x v="0"/>
    <x v="208"/>
  </r>
  <r>
    <x v="225"/>
    <x v="66"/>
    <x v="45"/>
    <x v="47"/>
    <x v="0"/>
    <x v="1"/>
    <x v="10"/>
    <x v="1"/>
    <x v="170"/>
    <x v="154"/>
    <x v="1"/>
    <x v="171"/>
    <x v="155"/>
    <x v="209"/>
  </r>
  <r>
    <x v="226"/>
    <x v="67"/>
    <x v="46"/>
    <x v="48"/>
    <x v="0"/>
    <x v="1"/>
    <x v="10"/>
    <x v="1"/>
    <x v="1"/>
    <x v="0"/>
    <x v="1"/>
    <x v="1"/>
    <x v="0"/>
    <x v="1"/>
  </r>
  <r>
    <x v="227"/>
    <x v="68"/>
    <x v="47"/>
    <x v="49"/>
    <x v="0"/>
    <x v="0"/>
    <x v="6"/>
    <x v="170"/>
    <x v="1"/>
    <x v="0"/>
    <x v="171"/>
    <x v="1"/>
    <x v="0"/>
    <x v="210"/>
  </r>
  <r>
    <x v="228"/>
    <x v="68"/>
    <x v="47"/>
    <x v="49"/>
    <x v="0"/>
    <x v="1"/>
    <x v="3"/>
    <x v="1"/>
    <x v="1"/>
    <x v="0"/>
    <x v="1"/>
    <x v="1"/>
    <x v="0"/>
    <x v="1"/>
  </r>
  <r>
    <x v="229"/>
    <x v="69"/>
    <x v="48"/>
    <x v="50"/>
    <x v="0"/>
    <x v="1"/>
    <x v="7"/>
    <x v="1"/>
    <x v="1"/>
    <x v="155"/>
    <x v="1"/>
    <x v="1"/>
    <x v="156"/>
    <x v="211"/>
  </r>
  <r>
    <x v="230"/>
    <x v="69"/>
    <x v="48"/>
    <x v="50"/>
    <x v="0"/>
    <x v="1"/>
    <x v="11"/>
    <x v="171"/>
    <x v="171"/>
    <x v="156"/>
    <x v="172"/>
    <x v="172"/>
    <x v="157"/>
    <x v="212"/>
  </r>
  <r>
    <x v="231"/>
    <x v="70"/>
    <x v="49"/>
    <x v="51"/>
    <x v="0"/>
    <x v="1"/>
    <x v="5"/>
    <x v="1"/>
    <x v="172"/>
    <x v="157"/>
    <x v="1"/>
    <x v="173"/>
    <x v="158"/>
    <x v="213"/>
  </r>
  <r>
    <x v="232"/>
    <x v="70"/>
    <x v="49"/>
    <x v="51"/>
    <x v="0"/>
    <x v="2"/>
    <x v="20"/>
    <x v="1"/>
    <x v="1"/>
    <x v="158"/>
    <x v="1"/>
    <x v="1"/>
    <x v="159"/>
    <x v="214"/>
  </r>
  <r>
    <x v="233"/>
    <x v="70"/>
    <x v="49"/>
    <x v="51"/>
    <x v="0"/>
    <x v="1"/>
    <x v="20"/>
    <x v="1"/>
    <x v="173"/>
    <x v="159"/>
    <x v="1"/>
    <x v="174"/>
    <x v="160"/>
    <x v="215"/>
  </r>
  <r>
    <x v="234"/>
    <x v="70"/>
    <x v="49"/>
    <x v="51"/>
    <x v="0"/>
    <x v="1"/>
    <x v="10"/>
    <x v="172"/>
    <x v="174"/>
    <x v="160"/>
    <x v="173"/>
    <x v="175"/>
    <x v="161"/>
    <x v="216"/>
  </r>
  <r>
    <x v="235"/>
    <x v="70"/>
    <x v="49"/>
    <x v="51"/>
    <x v="0"/>
    <x v="1"/>
    <x v="10"/>
    <x v="173"/>
    <x v="175"/>
    <x v="161"/>
    <x v="174"/>
    <x v="176"/>
    <x v="162"/>
    <x v="217"/>
  </r>
  <r>
    <x v="236"/>
    <x v="71"/>
    <x v="50"/>
    <x v="52"/>
    <x v="0"/>
    <x v="2"/>
    <x v="24"/>
    <x v="1"/>
    <x v="1"/>
    <x v="0"/>
    <x v="1"/>
    <x v="1"/>
    <x v="0"/>
    <x v="1"/>
  </r>
  <r>
    <x v="237"/>
    <x v="71"/>
    <x v="50"/>
    <x v="52"/>
    <x v="0"/>
    <x v="2"/>
    <x v="8"/>
    <x v="174"/>
    <x v="176"/>
    <x v="162"/>
    <x v="175"/>
    <x v="177"/>
    <x v="163"/>
    <x v="218"/>
  </r>
  <r>
    <x v="238"/>
    <x v="71"/>
    <x v="50"/>
    <x v="52"/>
    <x v="0"/>
    <x v="2"/>
    <x v="8"/>
    <x v="175"/>
    <x v="177"/>
    <x v="163"/>
    <x v="176"/>
    <x v="178"/>
    <x v="164"/>
    <x v="219"/>
  </r>
  <r>
    <x v="239"/>
    <x v="71"/>
    <x v="50"/>
    <x v="52"/>
    <x v="0"/>
    <x v="2"/>
    <x v="8"/>
    <x v="176"/>
    <x v="178"/>
    <x v="164"/>
    <x v="177"/>
    <x v="179"/>
    <x v="165"/>
    <x v="220"/>
  </r>
  <r>
    <x v="240"/>
    <x v="71"/>
    <x v="50"/>
    <x v="52"/>
    <x v="0"/>
    <x v="2"/>
    <x v="8"/>
    <x v="1"/>
    <x v="1"/>
    <x v="0"/>
    <x v="1"/>
    <x v="1"/>
    <x v="0"/>
    <x v="1"/>
  </r>
  <r>
    <x v="241"/>
    <x v="71"/>
    <x v="50"/>
    <x v="52"/>
    <x v="0"/>
    <x v="0"/>
    <x v="8"/>
    <x v="177"/>
    <x v="179"/>
    <x v="165"/>
    <x v="178"/>
    <x v="180"/>
    <x v="166"/>
    <x v="221"/>
  </r>
  <r>
    <x v="242"/>
    <x v="71"/>
    <x v="50"/>
    <x v="52"/>
    <x v="0"/>
    <x v="1"/>
    <x v="9"/>
    <x v="1"/>
    <x v="1"/>
    <x v="166"/>
    <x v="1"/>
    <x v="1"/>
    <x v="167"/>
    <x v="222"/>
  </r>
  <r>
    <x v="243"/>
    <x v="71"/>
    <x v="50"/>
    <x v="52"/>
    <x v="0"/>
    <x v="0"/>
    <x v="9"/>
    <x v="178"/>
    <x v="1"/>
    <x v="0"/>
    <x v="179"/>
    <x v="1"/>
    <x v="0"/>
    <x v="223"/>
  </r>
  <r>
    <x v="244"/>
    <x v="71"/>
    <x v="50"/>
    <x v="52"/>
    <x v="0"/>
    <x v="0"/>
    <x v="9"/>
    <x v="1"/>
    <x v="1"/>
    <x v="0"/>
    <x v="1"/>
    <x v="1"/>
    <x v="0"/>
    <x v="1"/>
  </r>
  <r>
    <x v="245"/>
    <x v="71"/>
    <x v="50"/>
    <x v="52"/>
    <x v="0"/>
    <x v="0"/>
    <x v="10"/>
    <x v="179"/>
    <x v="180"/>
    <x v="0"/>
    <x v="180"/>
    <x v="181"/>
    <x v="0"/>
    <x v="224"/>
  </r>
  <r>
    <x v="246"/>
    <x v="72"/>
    <x v="51"/>
    <x v="53"/>
    <x v="0"/>
    <x v="2"/>
    <x v="20"/>
    <x v="180"/>
    <x v="1"/>
    <x v="0"/>
    <x v="181"/>
    <x v="1"/>
    <x v="0"/>
    <x v="225"/>
  </r>
  <r>
    <x v="247"/>
    <x v="72"/>
    <x v="51"/>
    <x v="53"/>
    <x v="0"/>
    <x v="1"/>
    <x v="3"/>
    <x v="181"/>
    <x v="181"/>
    <x v="0"/>
    <x v="182"/>
    <x v="182"/>
    <x v="0"/>
    <x v="226"/>
  </r>
  <r>
    <x v="248"/>
    <x v="73"/>
    <x v="52"/>
    <x v="54"/>
    <x v="0"/>
    <x v="2"/>
    <x v="10"/>
    <x v="182"/>
    <x v="182"/>
    <x v="167"/>
    <x v="183"/>
    <x v="183"/>
    <x v="168"/>
    <x v="227"/>
  </r>
  <r>
    <x v="249"/>
    <x v="74"/>
    <x v="53"/>
    <x v="55"/>
    <x v="0"/>
    <x v="4"/>
    <x v="15"/>
    <x v="183"/>
    <x v="183"/>
    <x v="168"/>
    <x v="184"/>
    <x v="59"/>
    <x v="169"/>
    <x v="228"/>
  </r>
  <r>
    <x v="250"/>
    <x v="74"/>
    <x v="53"/>
    <x v="55"/>
    <x v="0"/>
    <x v="4"/>
    <x v="15"/>
    <x v="184"/>
    <x v="184"/>
    <x v="169"/>
    <x v="185"/>
    <x v="184"/>
    <x v="170"/>
    <x v="229"/>
  </r>
  <r>
    <x v="251"/>
    <x v="74"/>
    <x v="53"/>
    <x v="55"/>
    <x v="0"/>
    <x v="4"/>
    <x v="2"/>
    <x v="185"/>
    <x v="185"/>
    <x v="170"/>
    <x v="186"/>
    <x v="185"/>
    <x v="171"/>
    <x v="230"/>
  </r>
  <r>
    <x v="252"/>
    <x v="74"/>
    <x v="53"/>
    <x v="55"/>
    <x v="0"/>
    <x v="4"/>
    <x v="2"/>
    <x v="186"/>
    <x v="1"/>
    <x v="0"/>
    <x v="187"/>
    <x v="1"/>
    <x v="0"/>
    <x v="231"/>
  </r>
  <r>
    <x v="253"/>
    <x v="74"/>
    <x v="53"/>
    <x v="55"/>
    <x v="0"/>
    <x v="0"/>
    <x v="13"/>
    <x v="1"/>
    <x v="1"/>
    <x v="171"/>
    <x v="1"/>
    <x v="1"/>
    <x v="172"/>
    <x v="232"/>
  </r>
  <r>
    <x v="254"/>
    <x v="74"/>
    <x v="53"/>
    <x v="55"/>
    <x v="0"/>
    <x v="0"/>
    <x v="20"/>
    <x v="187"/>
    <x v="186"/>
    <x v="172"/>
    <x v="188"/>
    <x v="186"/>
    <x v="173"/>
    <x v="233"/>
  </r>
  <r>
    <x v="255"/>
    <x v="74"/>
    <x v="53"/>
    <x v="55"/>
    <x v="0"/>
    <x v="4"/>
    <x v="20"/>
    <x v="188"/>
    <x v="187"/>
    <x v="173"/>
    <x v="189"/>
    <x v="187"/>
    <x v="174"/>
    <x v="234"/>
  </r>
  <r>
    <x v="256"/>
    <x v="74"/>
    <x v="53"/>
    <x v="55"/>
    <x v="0"/>
    <x v="2"/>
    <x v="20"/>
    <x v="1"/>
    <x v="188"/>
    <x v="0"/>
    <x v="1"/>
    <x v="188"/>
    <x v="0"/>
    <x v="235"/>
  </r>
  <r>
    <x v="257"/>
    <x v="75"/>
    <x v="54"/>
    <x v="56"/>
    <x v="0"/>
    <x v="2"/>
    <x v="3"/>
    <x v="189"/>
    <x v="1"/>
    <x v="0"/>
    <x v="190"/>
    <x v="1"/>
    <x v="0"/>
    <x v="236"/>
  </r>
  <r>
    <x v="258"/>
    <x v="76"/>
    <x v="55"/>
    <x v="57"/>
    <x v="0"/>
    <x v="2"/>
    <x v="4"/>
    <x v="1"/>
    <x v="1"/>
    <x v="174"/>
    <x v="1"/>
    <x v="1"/>
    <x v="175"/>
    <x v="237"/>
  </r>
  <r>
    <x v="259"/>
    <x v="77"/>
    <x v="55"/>
    <x v="57"/>
    <x v="0"/>
    <x v="1"/>
    <x v="4"/>
    <x v="190"/>
    <x v="189"/>
    <x v="175"/>
    <x v="191"/>
    <x v="189"/>
    <x v="176"/>
    <x v="238"/>
  </r>
  <r>
    <x v="260"/>
    <x v="77"/>
    <x v="55"/>
    <x v="57"/>
    <x v="0"/>
    <x v="2"/>
    <x v="4"/>
    <x v="191"/>
    <x v="190"/>
    <x v="176"/>
    <x v="192"/>
    <x v="190"/>
    <x v="177"/>
    <x v="239"/>
  </r>
  <r>
    <x v="261"/>
    <x v="77"/>
    <x v="55"/>
    <x v="57"/>
    <x v="0"/>
    <x v="1"/>
    <x v="4"/>
    <x v="192"/>
    <x v="191"/>
    <x v="177"/>
    <x v="193"/>
    <x v="191"/>
    <x v="178"/>
    <x v="240"/>
  </r>
  <r>
    <x v="262"/>
    <x v="77"/>
    <x v="55"/>
    <x v="57"/>
    <x v="0"/>
    <x v="0"/>
    <x v="4"/>
    <x v="1"/>
    <x v="192"/>
    <x v="178"/>
    <x v="1"/>
    <x v="192"/>
    <x v="179"/>
    <x v="241"/>
  </r>
  <r>
    <x v="263"/>
    <x v="77"/>
    <x v="55"/>
    <x v="57"/>
    <x v="0"/>
    <x v="2"/>
    <x v="4"/>
    <x v="193"/>
    <x v="193"/>
    <x v="179"/>
    <x v="194"/>
    <x v="193"/>
    <x v="180"/>
    <x v="242"/>
  </r>
  <r>
    <x v="264"/>
    <x v="77"/>
    <x v="55"/>
    <x v="57"/>
    <x v="0"/>
    <x v="1"/>
    <x v="5"/>
    <x v="194"/>
    <x v="194"/>
    <x v="180"/>
    <x v="195"/>
    <x v="194"/>
    <x v="181"/>
    <x v="243"/>
  </r>
  <r>
    <x v="265"/>
    <x v="77"/>
    <x v="55"/>
    <x v="57"/>
    <x v="0"/>
    <x v="2"/>
    <x v="5"/>
    <x v="195"/>
    <x v="195"/>
    <x v="181"/>
    <x v="196"/>
    <x v="195"/>
    <x v="182"/>
    <x v="244"/>
  </r>
  <r>
    <x v="266"/>
    <x v="77"/>
    <x v="55"/>
    <x v="57"/>
    <x v="0"/>
    <x v="1"/>
    <x v="5"/>
    <x v="196"/>
    <x v="196"/>
    <x v="182"/>
    <x v="197"/>
    <x v="196"/>
    <x v="183"/>
    <x v="245"/>
  </r>
  <r>
    <x v="267"/>
    <x v="77"/>
    <x v="55"/>
    <x v="57"/>
    <x v="0"/>
    <x v="1"/>
    <x v="5"/>
    <x v="197"/>
    <x v="197"/>
    <x v="183"/>
    <x v="198"/>
    <x v="197"/>
    <x v="184"/>
    <x v="246"/>
  </r>
  <r>
    <x v="268"/>
    <x v="77"/>
    <x v="55"/>
    <x v="57"/>
    <x v="0"/>
    <x v="1"/>
    <x v="5"/>
    <x v="198"/>
    <x v="198"/>
    <x v="184"/>
    <x v="199"/>
    <x v="198"/>
    <x v="185"/>
    <x v="247"/>
  </r>
  <r>
    <x v="269"/>
    <x v="77"/>
    <x v="55"/>
    <x v="57"/>
    <x v="0"/>
    <x v="0"/>
    <x v="5"/>
    <x v="199"/>
    <x v="199"/>
    <x v="185"/>
    <x v="200"/>
    <x v="199"/>
    <x v="186"/>
    <x v="248"/>
  </r>
  <r>
    <x v="270"/>
    <x v="77"/>
    <x v="55"/>
    <x v="57"/>
    <x v="0"/>
    <x v="2"/>
    <x v="5"/>
    <x v="200"/>
    <x v="200"/>
    <x v="186"/>
    <x v="201"/>
    <x v="200"/>
    <x v="187"/>
    <x v="249"/>
  </r>
  <r>
    <x v="271"/>
    <x v="77"/>
    <x v="55"/>
    <x v="57"/>
    <x v="0"/>
    <x v="2"/>
    <x v="5"/>
    <x v="201"/>
    <x v="201"/>
    <x v="187"/>
    <x v="202"/>
    <x v="201"/>
    <x v="188"/>
    <x v="250"/>
  </r>
  <r>
    <x v="272"/>
    <x v="77"/>
    <x v="55"/>
    <x v="57"/>
    <x v="0"/>
    <x v="1"/>
    <x v="0"/>
    <x v="202"/>
    <x v="202"/>
    <x v="188"/>
    <x v="203"/>
    <x v="202"/>
    <x v="189"/>
    <x v="251"/>
  </r>
  <r>
    <x v="273"/>
    <x v="77"/>
    <x v="55"/>
    <x v="57"/>
    <x v="0"/>
    <x v="2"/>
    <x v="7"/>
    <x v="203"/>
    <x v="1"/>
    <x v="0"/>
    <x v="204"/>
    <x v="1"/>
    <x v="0"/>
    <x v="252"/>
  </r>
  <r>
    <x v="274"/>
    <x v="77"/>
    <x v="55"/>
    <x v="57"/>
    <x v="0"/>
    <x v="2"/>
    <x v="7"/>
    <x v="204"/>
    <x v="1"/>
    <x v="0"/>
    <x v="205"/>
    <x v="1"/>
    <x v="0"/>
    <x v="253"/>
  </r>
  <r>
    <x v="275"/>
    <x v="77"/>
    <x v="55"/>
    <x v="57"/>
    <x v="0"/>
    <x v="0"/>
    <x v="13"/>
    <x v="1"/>
    <x v="1"/>
    <x v="189"/>
    <x v="1"/>
    <x v="1"/>
    <x v="190"/>
    <x v="254"/>
  </r>
  <r>
    <x v="276"/>
    <x v="77"/>
    <x v="55"/>
    <x v="57"/>
    <x v="0"/>
    <x v="0"/>
    <x v="10"/>
    <x v="205"/>
    <x v="203"/>
    <x v="190"/>
    <x v="206"/>
    <x v="203"/>
    <x v="191"/>
    <x v="255"/>
  </r>
  <r>
    <x v="277"/>
    <x v="77"/>
    <x v="55"/>
    <x v="57"/>
    <x v="0"/>
    <x v="3"/>
    <x v="10"/>
    <x v="206"/>
    <x v="204"/>
    <x v="191"/>
    <x v="207"/>
    <x v="204"/>
    <x v="192"/>
    <x v="256"/>
  </r>
  <r>
    <x v="278"/>
    <x v="77"/>
    <x v="55"/>
    <x v="57"/>
    <x v="0"/>
    <x v="0"/>
    <x v="10"/>
    <x v="207"/>
    <x v="205"/>
    <x v="192"/>
    <x v="208"/>
    <x v="205"/>
    <x v="193"/>
    <x v="257"/>
  </r>
  <r>
    <x v="279"/>
    <x v="77"/>
    <x v="55"/>
    <x v="57"/>
    <x v="0"/>
    <x v="1"/>
    <x v="10"/>
    <x v="1"/>
    <x v="206"/>
    <x v="193"/>
    <x v="1"/>
    <x v="206"/>
    <x v="194"/>
    <x v="258"/>
  </r>
  <r>
    <x v="280"/>
    <x v="77"/>
    <x v="55"/>
    <x v="57"/>
    <x v="0"/>
    <x v="1"/>
    <x v="10"/>
    <x v="208"/>
    <x v="207"/>
    <x v="194"/>
    <x v="209"/>
    <x v="207"/>
    <x v="195"/>
    <x v="259"/>
  </r>
  <r>
    <x v="281"/>
    <x v="77"/>
    <x v="55"/>
    <x v="57"/>
    <x v="0"/>
    <x v="2"/>
    <x v="10"/>
    <x v="209"/>
    <x v="208"/>
    <x v="195"/>
    <x v="210"/>
    <x v="208"/>
    <x v="196"/>
    <x v="260"/>
  </r>
  <r>
    <x v="282"/>
    <x v="77"/>
    <x v="55"/>
    <x v="57"/>
    <x v="0"/>
    <x v="1"/>
    <x v="10"/>
    <x v="210"/>
    <x v="209"/>
    <x v="196"/>
    <x v="211"/>
    <x v="209"/>
    <x v="197"/>
    <x v="261"/>
  </r>
  <r>
    <x v="283"/>
    <x v="77"/>
    <x v="55"/>
    <x v="57"/>
    <x v="0"/>
    <x v="1"/>
    <x v="10"/>
    <x v="211"/>
    <x v="1"/>
    <x v="0"/>
    <x v="212"/>
    <x v="1"/>
    <x v="0"/>
    <x v="262"/>
  </r>
  <r>
    <x v="284"/>
    <x v="77"/>
    <x v="55"/>
    <x v="57"/>
    <x v="0"/>
    <x v="2"/>
    <x v="3"/>
    <x v="212"/>
    <x v="210"/>
    <x v="197"/>
    <x v="213"/>
    <x v="210"/>
    <x v="198"/>
    <x v="263"/>
  </r>
  <r>
    <x v="285"/>
    <x v="77"/>
    <x v="55"/>
    <x v="57"/>
    <x v="0"/>
    <x v="0"/>
    <x v="3"/>
    <x v="213"/>
    <x v="211"/>
    <x v="198"/>
    <x v="214"/>
    <x v="211"/>
    <x v="199"/>
    <x v="264"/>
  </r>
  <r>
    <x v="286"/>
    <x v="77"/>
    <x v="55"/>
    <x v="57"/>
    <x v="0"/>
    <x v="2"/>
    <x v="3"/>
    <x v="214"/>
    <x v="212"/>
    <x v="199"/>
    <x v="215"/>
    <x v="212"/>
    <x v="200"/>
    <x v="265"/>
  </r>
  <r>
    <x v="287"/>
    <x v="77"/>
    <x v="55"/>
    <x v="57"/>
    <x v="0"/>
    <x v="0"/>
    <x v="25"/>
    <x v="1"/>
    <x v="213"/>
    <x v="0"/>
    <x v="1"/>
    <x v="213"/>
    <x v="0"/>
    <x v="236"/>
  </r>
  <r>
    <x v="288"/>
    <x v="78"/>
    <x v="55"/>
    <x v="58"/>
    <x v="0"/>
    <x v="1"/>
    <x v="5"/>
    <x v="215"/>
    <x v="214"/>
    <x v="200"/>
    <x v="216"/>
    <x v="214"/>
    <x v="201"/>
    <x v="266"/>
  </r>
  <r>
    <x v="289"/>
    <x v="79"/>
    <x v="55"/>
    <x v="59"/>
    <x v="0"/>
    <x v="0"/>
    <x v="10"/>
    <x v="216"/>
    <x v="215"/>
    <x v="201"/>
    <x v="217"/>
    <x v="215"/>
    <x v="202"/>
    <x v="267"/>
  </r>
  <r>
    <x v="290"/>
    <x v="80"/>
    <x v="56"/>
    <x v="60"/>
    <x v="0"/>
    <x v="1"/>
    <x v="7"/>
    <x v="217"/>
    <x v="216"/>
    <x v="0"/>
    <x v="218"/>
    <x v="216"/>
    <x v="0"/>
    <x v="268"/>
  </r>
  <r>
    <x v="291"/>
    <x v="80"/>
    <x v="56"/>
    <x v="60"/>
    <x v="0"/>
    <x v="3"/>
    <x v="11"/>
    <x v="218"/>
    <x v="217"/>
    <x v="0"/>
    <x v="219"/>
    <x v="217"/>
    <x v="0"/>
    <x v="269"/>
  </r>
  <r>
    <x v="292"/>
    <x v="80"/>
    <x v="56"/>
    <x v="60"/>
    <x v="0"/>
    <x v="3"/>
    <x v="11"/>
    <x v="219"/>
    <x v="218"/>
    <x v="202"/>
    <x v="220"/>
    <x v="218"/>
    <x v="203"/>
    <x v="270"/>
  </r>
  <r>
    <x v="293"/>
    <x v="81"/>
    <x v="57"/>
    <x v="61"/>
    <x v="0"/>
    <x v="0"/>
    <x v="9"/>
    <x v="220"/>
    <x v="219"/>
    <x v="203"/>
    <x v="221"/>
    <x v="219"/>
    <x v="204"/>
    <x v="271"/>
  </r>
  <r>
    <x v="294"/>
    <x v="81"/>
    <x v="57"/>
    <x v="61"/>
    <x v="0"/>
    <x v="0"/>
    <x v="9"/>
    <x v="221"/>
    <x v="220"/>
    <x v="204"/>
    <x v="222"/>
    <x v="220"/>
    <x v="205"/>
    <x v="272"/>
  </r>
  <r>
    <x v="295"/>
    <x v="81"/>
    <x v="57"/>
    <x v="61"/>
    <x v="0"/>
    <x v="1"/>
    <x v="10"/>
    <x v="222"/>
    <x v="1"/>
    <x v="0"/>
    <x v="223"/>
    <x v="1"/>
    <x v="0"/>
    <x v="273"/>
  </r>
  <r>
    <x v="296"/>
    <x v="82"/>
    <x v="58"/>
    <x v="62"/>
    <x v="0"/>
    <x v="3"/>
    <x v="13"/>
    <x v="223"/>
    <x v="1"/>
    <x v="0"/>
    <x v="224"/>
    <x v="1"/>
    <x v="0"/>
    <x v="274"/>
  </r>
  <r>
    <x v="297"/>
    <x v="20"/>
    <x v="59"/>
    <x v="63"/>
    <x v="0"/>
    <x v="5"/>
    <x v="26"/>
    <x v="1"/>
    <x v="221"/>
    <x v="0"/>
    <x v="1"/>
    <x v="221"/>
    <x v="0"/>
    <x v="275"/>
  </r>
  <r>
    <x v="298"/>
    <x v="20"/>
    <x v="59"/>
    <x v="63"/>
    <x v="0"/>
    <x v="5"/>
    <x v="26"/>
    <x v="224"/>
    <x v="222"/>
    <x v="56"/>
    <x v="225"/>
    <x v="222"/>
    <x v="206"/>
    <x v="276"/>
  </r>
  <r>
    <x v="299"/>
    <x v="20"/>
    <x v="59"/>
    <x v="63"/>
    <x v="0"/>
    <x v="5"/>
    <x v="26"/>
    <x v="225"/>
    <x v="223"/>
    <x v="205"/>
    <x v="226"/>
    <x v="223"/>
    <x v="207"/>
    <x v="277"/>
  </r>
  <r>
    <x v="300"/>
    <x v="20"/>
    <x v="59"/>
    <x v="63"/>
    <x v="0"/>
    <x v="5"/>
    <x v="0"/>
    <x v="226"/>
    <x v="1"/>
    <x v="0"/>
    <x v="227"/>
    <x v="1"/>
    <x v="0"/>
    <x v="278"/>
  </r>
  <r>
    <x v="301"/>
    <x v="20"/>
    <x v="59"/>
    <x v="63"/>
    <x v="0"/>
    <x v="0"/>
    <x v="17"/>
    <x v="227"/>
    <x v="224"/>
    <x v="206"/>
    <x v="228"/>
    <x v="224"/>
    <x v="208"/>
    <x v="279"/>
  </r>
  <r>
    <x v="302"/>
    <x v="20"/>
    <x v="59"/>
    <x v="63"/>
    <x v="0"/>
    <x v="0"/>
    <x v="17"/>
    <x v="228"/>
    <x v="225"/>
    <x v="207"/>
    <x v="229"/>
    <x v="225"/>
    <x v="209"/>
    <x v="280"/>
  </r>
  <r>
    <x v="303"/>
    <x v="20"/>
    <x v="59"/>
    <x v="63"/>
    <x v="0"/>
    <x v="3"/>
    <x v="17"/>
    <x v="229"/>
    <x v="226"/>
    <x v="208"/>
    <x v="230"/>
    <x v="226"/>
    <x v="210"/>
    <x v="281"/>
  </r>
  <r>
    <x v="304"/>
    <x v="20"/>
    <x v="59"/>
    <x v="63"/>
    <x v="0"/>
    <x v="0"/>
    <x v="10"/>
    <x v="230"/>
    <x v="227"/>
    <x v="209"/>
    <x v="231"/>
    <x v="227"/>
    <x v="211"/>
    <x v="282"/>
  </r>
  <r>
    <x v="305"/>
    <x v="83"/>
    <x v="59"/>
    <x v="63"/>
    <x v="0"/>
    <x v="3"/>
    <x v="1"/>
    <x v="1"/>
    <x v="1"/>
    <x v="0"/>
    <x v="232"/>
    <x v="1"/>
    <x v="0"/>
    <x v="1"/>
  </r>
  <r>
    <x v="306"/>
    <x v="83"/>
    <x v="59"/>
    <x v="63"/>
    <x v="0"/>
    <x v="3"/>
    <x v="27"/>
    <x v="1"/>
    <x v="1"/>
    <x v="0"/>
    <x v="1"/>
    <x v="1"/>
    <x v="0"/>
    <x v="1"/>
  </r>
  <r>
    <x v="307"/>
    <x v="83"/>
    <x v="59"/>
    <x v="63"/>
    <x v="0"/>
    <x v="3"/>
    <x v="27"/>
    <x v="231"/>
    <x v="228"/>
    <x v="210"/>
    <x v="233"/>
    <x v="228"/>
    <x v="212"/>
    <x v="283"/>
  </r>
  <r>
    <x v="308"/>
    <x v="83"/>
    <x v="59"/>
    <x v="64"/>
    <x v="0"/>
    <x v="3"/>
    <x v="27"/>
    <x v="232"/>
    <x v="229"/>
    <x v="211"/>
    <x v="234"/>
    <x v="229"/>
    <x v="213"/>
    <x v="284"/>
  </r>
  <r>
    <x v="309"/>
    <x v="83"/>
    <x v="59"/>
    <x v="64"/>
    <x v="0"/>
    <x v="3"/>
    <x v="27"/>
    <x v="233"/>
    <x v="1"/>
    <x v="0"/>
    <x v="235"/>
    <x v="1"/>
    <x v="0"/>
    <x v="285"/>
  </r>
  <r>
    <x v="310"/>
    <x v="83"/>
    <x v="59"/>
    <x v="64"/>
    <x v="0"/>
    <x v="3"/>
    <x v="27"/>
    <x v="234"/>
    <x v="1"/>
    <x v="0"/>
    <x v="236"/>
    <x v="1"/>
    <x v="0"/>
    <x v="286"/>
  </r>
  <r>
    <x v="311"/>
    <x v="5"/>
    <x v="60"/>
    <x v="65"/>
    <x v="0"/>
    <x v="2"/>
    <x v="4"/>
    <x v="1"/>
    <x v="1"/>
    <x v="0"/>
    <x v="1"/>
    <x v="1"/>
    <x v="0"/>
    <x v="1"/>
  </r>
  <r>
    <x v="312"/>
    <x v="84"/>
    <x v="61"/>
    <x v="66"/>
    <x v="0"/>
    <x v="4"/>
    <x v="10"/>
    <x v="1"/>
    <x v="230"/>
    <x v="212"/>
    <x v="1"/>
    <x v="230"/>
    <x v="214"/>
    <x v="287"/>
  </r>
  <r>
    <x v="313"/>
    <x v="85"/>
    <x v="62"/>
    <x v="67"/>
    <x v="0"/>
    <x v="3"/>
    <x v="4"/>
    <x v="235"/>
    <x v="1"/>
    <x v="0"/>
    <x v="237"/>
    <x v="1"/>
    <x v="0"/>
    <x v="288"/>
  </r>
  <r>
    <x v="314"/>
    <x v="85"/>
    <x v="62"/>
    <x v="67"/>
    <x v="0"/>
    <x v="3"/>
    <x v="4"/>
    <x v="236"/>
    <x v="231"/>
    <x v="213"/>
    <x v="238"/>
    <x v="231"/>
    <x v="215"/>
    <x v="289"/>
  </r>
  <r>
    <x v="315"/>
    <x v="85"/>
    <x v="62"/>
    <x v="67"/>
    <x v="0"/>
    <x v="3"/>
    <x v="5"/>
    <x v="1"/>
    <x v="232"/>
    <x v="214"/>
    <x v="1"/>
    <x v="232"/>
    <x v="216"/>
    <x v="290"/>
  </r>
  <r>
    <x v="316"/>
    <x v="85"/>
    <x v="62"/>
    <x v="67"/>
    <x v="0"/>
    <x v="3"/>
    <x v="20"/>
    <x v="237"/>
    <x v="233"/>
    <x v="0"/>
    <x v="239"/>
    <x v="233"/>
    <x v="0"/>
    <x v="291"/>
  </r>
  <r>
    <x v="317"/>
    <x v="45"/>
    <x v="62"/>
    <x v="67"/>
    <x v="0"/>
    <x v="1"/>
    <x v="20"/>
    <x v="238"/>
    <x v="234"/>
    <x v="215"/>
    <x v="240"/>
    <x v="234"/>
    <x v="217"/>
    <x v="292"/>
  </r>
  <r>
    <x v="318"/>
    <x v="86"/>
    <x v="63"/>
    <x v="68"/>
    <x v="0"/>
    <x v="1"/>
    <x v="5"/>
    <x v="239"/>
    <x v="235"/>
    <x v="0"/>
    <x v="241"/>
    <x v="235"/>
    <x v="0"/>
    <x v="293"/>
  </r>
  <r>
    <x v="319"/>
    <x v="87"/>
    <x v="63"/>
    <x v="68"/>
    <x v="0"/>
    <x v="2"/>
    <x v="5"/>
    <x v="1"/>
    <x v="236"/>
    <x v="216"/>
    <x v="1"/>
    <x v="236"/>
    <x v="218"/>
    <x v="294"/>
  </r>
  <r>
    <x v="320"/>
    <x v="87"/>
    <x v="63"/>
    <x v="68"/>
    <x v="0"/>
    <x v="2"/>
    <x v="10"/>
    <x v="240"/>
    <x v="237"/>
    <x v="217"/>
    <x v="242"/>
    <x v="237"/>
    <x v="219"/>
    <x v="295"/>
  </r>
  <r>
    <x v="321"/>
    <x v="88"/>
    <x v="64"/>
    <x v="69"/>
    <x v="0"/>
    <x v="3"/>
    <x v="8"/>
    <x v="241"/>
    <x v="238"/>
    <x v="0"/>
    <x v="243"/>
    <x v="238"/>
    <x v="0"/>
    <x v="296"/>
  </r>
  <r>
    <x v="322"/>
    <x v="88"/>
    <x v="64"/>
    <x v="69"/>
    <x v="0"/>
    <x v="3"/>
    <x v="8"/>
    <x v="242"/>
    <x v="1"/>
    <x v="0"/>
    <x v="244"/>
    <x v="1"/>
    <x v="0"/>
    <x v="297"/>
  </r>
  <r>
    <x v="323"/>
    <x v="89"/>
    <x v="65"/>
    <x v="70"/>
    <x v="0"/>
    <x v="2"/>
    <x v="4"/>
    <x v="243"/>
    <x v="239"/>
    <x v="0"/>
    <x v="245"/>
    <x v="239"/>
    <x v="0"/>
    <x v="298"/>
  </r>
  <r>
    <x v="324"/>
    <x v="89"/>
    <x v="65"/>
    <x v="70"/>
    <x v="0"/>
    <x v="1"/>
    <x v="6"/>
    <x v="244"/>
    <x v="240"/>
    <x v="218"/>
    <x v="246"/>
    <x v="240"/>
    <x v="220"/>
    <x v="299"/>
  </r>
  <r>
    <x v="325"/>
    <x v="89"/>
    <x v="65"/>
    <x v="70"/>
    <x v="0"/>
    <x v="0"/>
    <x v="13"/>
    <x v="245"/>
    <x v="1"/>
    <x v="0"/>
    <x v="247"/>
    <x v="1"/>
    <x v="0"/>
    <x v="300"/>
  </r>
  <r>
    <x v="326"/>
    <x v="89"/>
    <x v="65"/>
    <x v="70"/>
    <x v="0"/>
    <x v="1"/>
    <x v="10"/>
    <x v="246"/>
    <x v="1"/>
    <x v="0"/>
    <x v="248"/>
    <x v="1"/>
    <x v="0"/>
    <x v="301"/>
  </r>
  <r>
    <x v="327"/>
    <x v="89"/>
    <x v="65"/>
    <x v="70"/>
    <x v="0"/>
    <x v="1"/>
    <x v="10"/>
    <x v="247"/>
    <x v="241"/>
    <x v="0"/>
    <x v="249"/>
    <x v="241"/>
    <x v="0"/>
    <x v="302"/>
  </r>
  <r>
    <x v="328"/>
    <x v="90"/>
    <x v="65"/>
    <x v="70"/>
    <x v="0"/>
    <x v="3"/>
    <x v="5"/>
    <x v="1"/>
    <x v="242"/>
    <x v="219"/>
    <x v="1"/>
    <x v="242"/>
    <x v="221"/>
    <x v="303"/>
  </r>
  <r>
    <x v="329"/>
    <x v="90"/>
    <x v="65"/>
    <x v="70"/>
    <x v="0"/>
    <x v="3"/>
    <x v="10"/>
    <x v="1"/>
    <x v="243"/>
    <x v="220"/>
    <x v="1"/>
    <x v="243"/>
    <x v="222"/>
    <x v="304"/>
  </r>
  <r>
    <x v="330"/>
    <x v="91"/>
    <x v="65"/>
    <x v="70"/>
    <x v="0"/>
    <x v="0"/>
    <x v="3"/>
    <x v="248"/>
    <x v="1"/>
    <x v="0"/>
    <x v="250"/>
    <x v="1"/>
    <x v="0"/>
    <x v="305"/>
  </r>
  <r>
    <x v="331"/>
    <x v="92"/>
    <x v="65"/>
    <x v="70"/>
    <x v="0"/>
    <x v="3"/>
    <x v="28"/>
    <x v="249"/>
    <x v="1"/>
    <x v="0"/>
    <x v="251"/>
    <x v="1"/>
    <x v="0"/>
    <x v="306"/>
  </r>
  <r>
    <x v="332"/>
    <x v="93"/>
    <x v="65"/>
    <x v="70"/>
    <x v="0"/>
    <x v="1"/>
    <x v="5"/>
    <x v="250"/>
    <x v="244"/>
    <x v="221"/>
    <x v="252"/>
    <x v="244"/>
    <x v="223"/>
    <x v="307"/>
  </r>
  <r>
    <x v="333"/>
    <x v="93"/>
    <x v="65"/>
    <x v="70"/>
    <x v="0"/>
    <x v="1"/>
    <x v="10"/>
    <x v="251"/>
    <x v="245"/>
    <x v="222"/>
    <x v="253"/>
    <x v="245"/>
    <x v="224"/>
    <x v="308"/>
  </r>
  <r>
    <x v="334"/>
    <x v="93"/>
    <x v="65"/>
    <x v="70"/>
    <x v="0"/>
    <x v="1"/>
    <x v="10"/>
    <x v="252"/>
    <x v="246"/>
    <x v="223"/>
    <x v="254"/>
    <x v="246"/>
    <x v="225"/>
    <x v="309"/>
  </r>
  <r>
    <x v="335"/>
    <x v="94"/>
    <x v="66"/>
    <x v="71"/>
    <x v="0"/>
    <x v="1"/>
    <x v="5"/>
    <x v="253"/>
    <x v="247"/>
    <x v="0"/>
    <x v="255"/>
    <x v="247"/>
    <x v="0"/>
    <x v="310"/>
  </r>
  <r>
    <x v="336"/>
    <x v="95"/>
    <x v="66"/>
    <x v="71"/>
    <x v="0"/>
    <x v="1"/>
    <x v="10"/>
    <x v="1"/>
    <x v="1"/>
    <x v="0"/>
    <x v="1"/>
    <x v="1"/>
    <x v="0"/>
    <x v="1"/>
  </r>
  <r>
    <x v="337"/>
    <x v="78"/>
    <x v="66"/>
    <x v="72"/>
    <x v="0"/>
    <x v="1"/>
    <x v="5"/>
    <x v="254"/>
    <x v="248"/>
    <x v="0"/>
    <x v="256"/>
    <x v="248"/>
    <x v="0"/>
    <x v="311"/>
  </r>
  <r>
    <x v="338"/>
    <x v="96"/>
    <x v="67"/>
    <x v="73"/>
    <x v="0"/>
    <x v="4"/>
    <x v="0"/>
    <x v="255"/>
    <x v="249"/>
    <x v="224"/>
    <x v="257"/>
    <x v="108"/>
    <x v="226"/>
    <x v="312"/>
  </r>
  <r>
    <x v="339"/>
    <x v="97"/>
    <x v="68"/>
    <x v="74"/>
    <x v="0"/>
    <x v="2"/>
    <x v="8"/>
    <x v="256"/>
    <x v="250"/>
    <x v="0"/>
    <x v="258"/>
    <x v="249"/>
    <x v="0"/>
    <x v="313"/>
  </r>
  <r>
    <x v="340"/>
    <x v="98"/>
    <x v="69"/>
    <x v="75"/>
    <x v="0"/>
    <x v="1"/>
    <x v="5"/>
    <x v="1"/>
    <x v="1"/>
    <x v="0"/>
    <x v="1"/>
    <x v="1"/>
    <x v="0"/>
    <x v="1"/>
  </r>
  <r>
    <x v="341"/>
    <x v="99"/>
    <x v="70"/>
    <x v="76"/>
    <x v="0"/>
    <x v="1"/>
    <x v="10"/>
    <x v="1"/>
    <x v="1"/>
    <x v="225"/>
    <x v="1"/>
    <x v="1"/>
    <x v="227"/>
    <x v="314"/>
  </r>
  <r>
    <x v="342"/>
    <x v="100"/>
    <x v="71"/>
    <x v="77"/>
    <x v="0"/>
    <x v="1"/>
    <x v="4"/>
    <x v="1"/>
    <x v="1"/>
    <x v="0"/>
    <x v="1"/>
    <x v="1"/>
    <x v="0"/>
    <x v="1"/>
  </r>
  <r>
    <x v="343"/>
    <x v="100"/>
    <x v="71"/>
    <x v="77"/>
    <x v="0"/>
    <x v="0"/>
    <x v="10"/>
    <x v="1"/>
    <x v="251"/>
    <x v="226"/>
    <x v="1"/>
    <x v="250"/>
    <x v="228"/>
    <x v="315"/>
  </r>
  <r>
    <x v="344"/>
    <x v="101"/>
    <x v="72"/>
    <x v="78"/>
    <x v="0"/>
    <x v="1"/>
    <x v="11"/>
    <x v="257"/>
    <x v="252"/>
    <x v="227"/>
    <x v="259"/>
    <x v="251"/>
    <x v="152"/>
    <x v="316"/>
  </r>
  <r>
    <x v="345"/>
    <x v="102"/>
    <x v="73"/>
    <x v="79"/>
    <x v="0"/>
    <x v="1"/>
    <x v="3"/>
    <x v="1"/>
    <x v="1"/>
    <x v="228"/>
    <x v="1"/>
    <x v="1"/>
    <x v="229"/>
    <x v="317"/>
  </r>
  <r>
    <x v="346"/>
    <x v="103"/>
    <x v="74"/>
    <x v="80"/>
    <x v="0"/>
    <x v="2"/>
    <x v="24"/>
    <x v="258"/>
    <x v="253"/>
    <x v="229"/>
    <x v="260"/>
    <x v="252"/>
    <x v="230"/>
    <x v="318"/>
  </r>
  <r>
    <x v="347"/>
    <x v="103"/>
    <x v="74"/>
    <x v="80"/>
    <x v="0"/>
    <x v="2"/>
    <x v="10"/>
    <x v="259"/>
    <x v="1"/>
    <x v="0"/>
    <x v="261"/>
    <x v="1"/>
    <x v="0"/>
    <x v="319"/>
  </r>
  <r>
    <x v="348"/>
    <x v="104"/>
    <x v="75"/>
    <x v="81"/>
    <x v="0"/>
    <x v="2"/>
    <x v="15"/>
    <x v="260"/>
    <x v="254"/>
    <x v="230"/>
    <x v="262"/>
    <x v="253"/>
    <x v="231"/>
    <x v="320"/>
  </r>
  <r>
    <x v="349"/>
    <x v="104"/>
    <x v="75"/>
    <x v="81"/>
    <x v="0"/>
    <x v="2"/>
    <x v="20"/>
    <x v="261"/>
    <x v="1"/>
    <x v="0"/>
    <x v="171"/>
    <x v="1"/>
    <x v="0"/>
    <x v="321"/>
  </r>
  <r>
    <x v="350"/>
    <x v="104"/>
    <x v="75"/>
    <x v="81"/>
    <x v="0"/>
    <x v="2"/>
    <x v="20"/>
    <x v="262"/>
    <x v="255"/>
    <x v="231"/>
    <x v="263"/>
    <x v="254"/>
    <x v="232"/>
    <x v="322"/>
  </r>
  <r>
    <x v="351"/>
    <x v="104"/>
    <x v="75"/>
    <x v="81"/>
    <x v="0"/>
    <x v="2"/>
    <x v="20"/>
    <x v="263"/>
    <x v="256"/>
    <x v="0"/>
    <x v="264"/>
    <x v="255"/>
    <x v="0"/>
    <x v="323"/>
  </r>
  <r>
    <x v="352"/>
    <x v="94"/>
    <x v="76"/>
    <x v="82"/>
    <x v="0"/>
    <x v="1"/>
    <x v="13"/>
    <x v="264"/>
    <x v="257"/>
    <x v="232"/>
    <x v="265"/>
    <x v="256"/>
    <x v="233"/>
    <x v="324"/>
  </r>
  <r>
    <x v="353"/>
    <x v="94"/>
    <x v="76"/>
    <x v="82"/>
    <x v="0"/>
    <x v="1"/>
    <x v="13"/>
    <x v="1"/>
    <x v="258"/>
    <x v="233"/>
    <x v="1"/>
    <x v="257"/>
    <x v="234"/>
    <x v="325"/>
  </r>
  <r>
    <x v="354"/>
    <x v="94"/>
    <x v="76"/>
    <x v="82"/>
    <x v="0"/>
    <x v="0"/>
    <x v="13"/>
    <x v="265"/>
    <x v="1"/>
    <x v="0"/>
    <x v="266"/>
    <x v="1"/>
    <x v="0"/>
    <x v="326"/>
  </r>
  <r>
    <x v="355"/>
    <x v="94"/>
    <x v="76"/>
    <x v="82"/>
    <x v="0"/>
    <x v="0"/>
    <x v="13"/>
    <x v="266"/>
    <x v="1"/>
    <x v="0"/>
    <x v="267"/>
    <x v="1"/>
    <x v="0"/>
    <x v="327"/>
  </r>
  <r>
    <x v="356"/>
    <x v="105"/>
    <x v="77"/>
    <x v="83"/>
    <x v="0"/>
    <x v="3"/>
    <x v="5"/>
    <x v="1"/>
    <x v="1"/>
    <x v="234"/>
    <x v="1"/>
    <x v="1"/>
    <x v="235"/>
    <x v="328"/>
  </r>
  <r>
    <x v="357"/>
    <x v="106"/>
    <x v="78"/>
    <x v="84"/>
    <x v="0"/>
    <x v="0"/>
    <x v="9"/>
    <x v="267"/>
    <x v="259"/>
    <x v="235"/>
    <x v="268"/>
    <x v="258"/>
    <x v="236"/>
    <x v="329"/>
  </r>
  <r>
    <x v="358"/>
    <x v="107"/>
    <x v="79"/>
    <x v="85"/>
    <x v="0"/>
    <x v="2"/>
    <x v="26"/>
    <x v="268"/>
    <x v="260"/>
    <x v="0"/>
    <x v="269"/>
    <x v="259"/>
    <x v="0"/>
    <x v="330"/>
  </r>
  <r>
    <x v="359"/>
    <x v="107"/>
    <x v="79"/>
    <x v="85"/>
    <x v="0"/>
    <x v="2"/>
    <x v="26"/>
    <x v="269"/>
    <x v="261"/>
    <x v="0"/>
    <x v="270"/>
    <x v="260"/>
    <x v="0"/>
    <x v="331"/>
  </r>
  <r>
    <x v="360"/>
    <x v="107"/>
    <x v="79"/>
    <x v="85"/>
    <x v="0"/>
    <x v="2"/>
    <x v="26"/>
    <x v="270"/>
    <x v="262"/>
    <x v="0"/>
    <x v="271"/>
    <x v="261"/>
    <x v="0"/>
    <x v="332"/>
  </r>
  <r>
    <x v="361"/>
    <x v="107"/>
    <x v="79"/>
    <x v="85"/>
    <x v="0"/>
    <x v="3"/>
    <x v="26"/>
    <x v="271"/>
    <x v="263"/>
    <x v="0"/>
    <x v="272"/>
    <x v="262"/>
    <x v="0"/>
    <x v="333"/>
  </r>
  <r>
    <x v="362"/>
    <x v="107"/>
    <x v="79"/>
    <x v="85"/>
    <x v="0"/>
    <x v="3"/>
    <x v="26"/>
    <x v="272"/>
    <x v="264"/>
    <x v="236"/>
    <x v="273"/>
    <x v="263"/>
    <x v="237"/>
    <x v="334"/>
  </r>
  <r>
    <x v="363"/>
    <x v="107"/>
    <x v="79"/>
    <x v="85"/>
    <x v="0"/>
    <x v="3"/>
    <x v="26"/>
    <x v="1"/>
    <x v="1"/>
    <x v="0"/>
    <x v="1"/>
    <x v="1"/>
    <x v="0"/>
    <x v="1"/>
  </r>
  <r>
    <x v="364"/>
    <x v="107"/>
    <x v="79"/>
    <x v="85"/>
    <x v="0"/>
    <x v="2"/>
    <x v="24"/>
    <x v="273"/>
    <x v="1"/>
    <x v="0"/>
    <x v="274"/>
    <x v="1"/>
    <x v="0"/>
    <x v="335"/>
  </r>
  <r>
    <x v="365"/>
    <x v="107"/>
    <x v="79"/>
    <x v="85"/>
    <x v="0"/>
    <x v="0"/>
    <x v="29"/>
    <x v="274"/>
    <x v="265"/>
    <x v="237"/>
    <x v="275"/>
    <x v="264"/>
    <x v="238"/>
    <x v="336"/>
  </r>
  <r>
    <x v="366"/>
    <x v="107"/>
    <x v="79"/>
    <x v="85"/>
    <x v="0"/>
    <x v="2"/>
    <x v="30"/>
    <x v="1"/>
    <x v="1"/>
    <x v="238"/>
    <x v="1"/>
    <x v="1"/>
    <x v="239"/>
    <x v="337"/>
  </r>
  <r>
    <x v="367"/>
    <x v="107"/>
    <x v="79"/>
    <x v="85"/>
    <x v="0"/>
    <x v="2"/>
    <x v="30"/>
    <x v="1"/>
    <x v="1"/>
    <x v="239"/>
    <x v="1"/>
    <x v="1"/>
    <x v="240"/>
    <x v="338"/>
  </r>
  <r>
    <x v="368"/>
    <x v="107"/>
    <x v="79"/>
    <x v="85"/>
    <x v="0"/>
    <x v="2"/>
    <x v="30"/>
    <x v="275"/>
    <x v="266"/>
    <x v="240"/>
    <x v="276"/>
    <x v="265"/>
    <x v="241"/>
    <x v="339"/>
  </r>
  <r>
    <x v="369"/>
    <x v="107"/>
    <x v="79"/>
    <x v="85"/>
    <x v="0"/>
    <x v="2"/>
    <x v="30"/>
    <x v="276"/>
    <x v="267"/>
    <x v="241"/>
    <x v="277"/>
    <x v="266"/>
    <x v="242"/>
    <x v="340"/>
  </r>
  <r>
    <x v="370"/>
    <x v="107"/>
    <x v="79"/>
    <x v="85"/>
    <x v="0"/>
    <x v="3"/>
    <x v="2"/>
    <x v="1"/>
    <x v="1"/>
    <x v="0"/>
    <x v="1"/>
    <x v="1"/>
    <x v="0"/>
    <x v="1"/>
  </r>
  <r>
    <x v="371"/>
    <x v="107"/>
    <x v="79"/>
    <x v="85"/>
    <x v="0"/>
    <x v="2"/>
    <x v="21"/>
    <x v="277"/>
    <x v="268"/>
    <x v="242"/>
    <x v="278"/>
    <x v="267"/>
    <x v="243"/>
    <x v="341"/>
  </r>
  <r>
    <x v="372"/>
    <x v="107"/>
    <x v="79"/>
    <x v="85"/>
    <x v="0"/>
    <x v="2"/>
    <x v="21"/>
    <x v="278"/>
    <x v="269"/>
    <x v="243"/>
    <x v="279"/>
    <x v="268"/>
    <x v="244"/>
    <x v="342"/>
  </r>
  <r>
    <x v="373"/>
    <x v="107"/>
    <x v="79"/>
    <x v="85"/>
    <x v="0"/>
    <x v="2"/>
    <x v="21"/>
    <x v="279"/>
    <x v="270"/>
    <x v="244"/>
    <x v="280"/>
    <x v="269"/>
    <x v="245"/>
    <x v="343"/>
  </r>
  <r>
    <x v="374"/>
    <x v="107"/>
    <x v="79"/>
    <x v="85"/>
    <x v="0"/>
    <x v="2"/>
    <x v="21"/>
    <x v="280"/>
    <x v="271"/>
    <x v="0"/>
    <x v="281"/>
    <x v="270"/>
    <x v="0"/>
    <x v="344"/>
  </r>
  <r>
    <x v="375"/>
    <x v="107"/>
    <x v="79"/>
    <x v="85"/>
    <x v="0"/>
    <x v="2"/>
    <x v="21"/>
    <x v="281"/>
    <x v="1"/>
    <x v="0"/>
    <x v="282"/>
    <x v="1"/>
    <x v="0"/>
    <x v="345"/>
  </r>
  <r>
    <x v="376"/>
    <x v="107"/>
    <x v="79"/>
    <x v="85"/>
    <x v="0"/>
    <x v="2"/>
    <x v="21"/>
    <x v="282"/>
    <x v="1"/>
    <x v="0"/>
    <x v="283"/>
    <x v="1"/>
    <x v="0"/>
    <x v="346"/>
  </r>
  <r>
    <x v="377"/>
    <x v="107"/>
    <x v="79"/>
    <x v="85"/>
    <x v="0"/>
    <x v="2"/>
    <x v="21"/>
    <x v="283"/>
    <x v="272"/>
    <x v="0"/>
    <x v="284"/>
    <x v="271"/>
    <x v="0"/>
    <x v="347"/>
  </r>
  <r>
    <x v="378"/>
    <x v="107"/>
    <x v="79"/>
    <x v="85"/>
    <x v="0"/>
    <x v="2"/>
    <x v="21"/>
    <x v="284"/>
    <x v="1"/>
    <x v="0"/>
    <x v="285"/>
    <x v="1"/>
    <x v="0"/>
    <x v="348"/>
  </r>
  <r>
    <x v="379"/>
    <x v="107"/>
    <x v="79"/>
    <x v="85"/>
    <x v="0"/>
    <x v="2"/>
    <x v="21"/>
    <x v="285"/>
    <x v="273"/>
    <x v="0"/>
    <x v="286"/>
    <x v="272"/>
    <x v="0"/>
    <x v="349"/>
  </r>
  <r>
    <x v="380"/>
    <x v="107"/>
    <x v="79"/>
    <x v="85"/>
    <x v="0"/>
    <x v="2"/>
    <x v="21"/>
    <x v="286"/>
    <x v="274"/>
    <x v="0"/>
    <x v="287"/>
    <x v="273"/>
    <x v="0"/>
    <x v="350"/>
  </r>
  <r>
    <x v="381"/>
    <x v="107"/>
    <x v="79"/>
    <x v="85"/>
    <x v="0"/>
    <x v="2"/>
    <x v="21"/>
    <x v="287"/>
    <x v="1"/>
    <x v="0"/>
    <x v="288"/>
    <x v="1"/>
    <x v="0"/>
    <x v="351"/>
  </r>
  <r>
    <x v="382"/>
    <x v="107"/>
    <x v="79"/>
    <x v="85"/>
    <x v="0"/>
    <x v="2"/>
    <x v="21"/>
    <x v="288"/>
    <x v="275"/>
    <x v="0"/>
    <x v="289"/>
    <x v="274"/>
    <x v="0"/>
    <x v="352"/>
  </r>
  <r>
    <x v="383"/>
    <x v="107"/>
    <x v="79"/>
    <x v="85"/>
    <x v="0"/>
    <x v="2"/>
    <x v="21"/>
    <x v="289"/>
    <x v="276"/>
    <x v="245"/>
    <x v="290"/>
    <x v="275"/>
    <x v="246"/>
    <x v="353"/>
  </r>
  <r>
    <x v="384"/>
    <x v="107"/>
    <x v="79"/>
    <x v="85"/>
    <x v="0"/>
    <x v="2"/>
    <x v="21"/>
    <x v="260"/>
    <x v="277"/>
    <x v="0"/>
    <x v="291"/>
    <x v="276"/>
    <x v="0"/>
    <x v="354"/>
  </r>
  <r>
    <x v="385"/>
    <x v="107"/>
    <x v="79"/>
    <x v="85"/>
    <x v="0"/>
    <x v="2"/>
    <x v="21"/>
    <x v="290"/>
    <x v="1"/>
    <x v="0"/>
    <x v="292"/>
    <x v="1"/>
    <x v="0"/>
    <x v="355"/>
  </r>
  <r>
    <x v="386"/>
    <x v="107"/>
    <x v="79"/>
    <x v="85"/>
    <x v="0"/>
    <x v="2"/>
    <x v="21"/>
    <x v="291"/>
    <x v="1"/>
    <x v="0"/>
    <x v="293"/>
    <x v="1"/>
    <x v="0"/>
    <x v="356"/>
  </r>
  <r>
    <x v="387"/>
    <x v="107"/>
    <x v="79"/>
    <x v="85"/>
    <x v="0"/>
    <x v="2"/>
    <x v="21"/>
    <x v="292"/>
    <x v="278"/>
    <x v="0"/>
    <x v="294"/>
    <x v="277"/>
    <x v="0"/>
    <x v="357"/>
  </r>
  <r>
    <x v="388"/>
    <x v="107"/>
    <x v="79"/>
    <x v="85"/>
    <x v="0"/>
    <x v="2"/>
    <x v="21"/>
    <x v="293"/>
    <x v="1"/>
    <x v="0"/>
    <x v="295"/>
    <x v="1"/>
    <x v="0"/>
    <x v="358"/>
  </r>
  <r>
    <x v="389"/>
    <x v="107"/>
    <x v="79"/>
    <x v="85"/>
    <x v="0"/>
    <x v="2"/>
    <x v="21"/>
    <x v="294"/>
    <x v="1"/>
    <x v="0"/>
    <x v="296"/>
    <x v="1"/>
    <x v="0"/>
    <x v="359"/>
  </r>
  <r>
    <x v="390"/>
    <x v="107"/>
    <x v="79"/>
    <x v="85"/>
    <x v="0"/>
    <x v="2"/>
    <x v="21"/>
    <x v="295"/>
    <x v="279"/>
    <x v="246"/>
    <x v="297"/>
    <x v="278"/>
    <x v="246"/>
    <x v="360"/>
  </r>
  <r>
    <x v="391"/>
    <x v="107"/>
    <x v="79"/>
    <x v="85"/>
    <x v="0"/>
    <x v="2"/>
    <x v="21"/>
    <x v="296"/>
    <x v="1"/>
    <x v="0"/>
    <x v="298"/>
    <x v="1"/>
    <x v="0"/>
    <x v="361"/>
  </r>
  <r>
    <x v="392"/>
    <x v="107"/>
    <x v="79"/>
    <x v="85"/>
    <x v="0"/>
    <x v="2"/>
    <x v="21"/>
    <x v="297"/>
    <x v="280"/>
    <x v="247"/>
    <x v="299"/>
    <x v="279"/>
    <x v="247"/>
    <x v="362"/>
  </r>
  <r>
    <x v="393"/>
    <x v="107"/>
    <x v="79"/>
    <x v="85"/>
    <x v="0"/>
    <x v="2"/>
    <x v="21"/>
    <x v="298"/>
    <x v="281"/>
    <x v="0"/>
    <x v="300"/>
    <x v="280"/>
    <x v="0"/>
    <x v="363"/>
  </r>
  <r>
    <x v="394"/>
    <x v="107"/>
    <x v="79"/>
    <x v="85"/>
    <x v="0"/>
    <x v="2"/>
    <x v="21"/>
    <x v="299"/>
    <x v="1"/>
    <x v="0"/>
    <x v="301"/>
    <x v="1"/>
    <x v="0"/>
    <x v="364"/>
  </r>
  <r>
    <x v="395"/>
    <x v="107"/>
    <x v="79"/>
    <x v="85"/>
    <x v="0"/>
    <x v="3"/>
    <x v="21"/>
    <x v="300"/>
    <x v="282"/>
    <x v="248"/>
    <x v="302"/>
    <x v="281"/>
    <x v="248"/>
    <x v="365"/>
  </r>
  <r>
    <x v="396"/>
    <x v="107"/>
    <x v="79"/>
    <x v="85"/>
    <x v="0"/>
    <x v="3"/>
    <x v="21"/>
    <x v="301"/>
    <x v="283"/>
    <x v="249"/>
    <x v="303"/>
    <x v="282"/>
    <x v="249"/>
    <x v="366"/>
  </r>
  <r>
    <x v="397"/>
    <x v="107"/>
    <x v="79"/>
    <x v="85"/>
    <x v="0"/>
    <x v="3"/>
    <x v="21"/>
    <x v="302"/>
    <x v="284"/>
    <x v="250"/>
    <x v="304"/>
    <x v="283"/>
    <x v="250"/>
    <x v="367"/>
  </r>
  <r>
    <x v="398"/>
    <x v="107"/>
    <x v="79"/>
    <x v="85"/>
    <x v="0"/>
    <x v="3"/>
    <x v="21"/>
    <x v="303"/>
    <x v="285"/>
    <x v="251"/>
    <x v="305"/>
    <x v="284"/>
    <x v="251"/>
    <x v="368"/>
  </r>
  <r>
    <x v="399"/>
    <x v="107"/>
    <x v="79"/>
    <x v="85"/>
    <x v="0"/>
    <x v="3"/>
    <x v="27"/>
    <x v="304"/>
    <x v="286"/>
    <x v="0"/>
    <x v="306"/>
    <x v="285"/>
    <x v="0"/>
    <x v="369"/>
  </r>
  <r>
    <x v="400"/>
    <x v="107"/>
    <x v="79"/>
    <x v="85"/>
    <x v="0"/>
    <x v="3"/>
    <x v="8"/>
    <x v="305"/>
    <x v="287"/>
    <x v="0"/>
    <x v="307"/>
    <x v="286"/>
    <x v="0"/>
    <x v="237"/>
  </r>
  <r>
    <x v="401"/>
    <x v="107"/>
    <x v="79"/>
    <x v="85"/>
    <x v="0"/>
    <x v="3"/>
    <x v="8"/>
    <x v="306"/>
    <x v="1"/>
    <x v="0"/>
    <x v="308"/>
    <x v="1"/>
    <x v="0"/>
    <x v="370"/>
  </r>
  <r>
    <x v="402"/>
    <x v="107"/>
    <x v="79"/>
    <x v="85"/>
    <x v="0"/>
    <x v="3"/>
    <x v="8"/>
    <x v="307"/>
    <x v="288"/>
    <x v="252"/>
    <x v="309"/>
    <x v="287"/>
    <x v="252"/>
    <x v="371"/>
  </r>
  <r>
    <x v="403"/>
    <x v="107"/>
    <x v="79"/>
    <x v="85"/>
    <x v="0"/>
    <x v="3"/>
    <x v="8"/>
    <x v="308"/>
    <x v="289"/>
    <x v="0"/>
    <x v="310"/>
    <x v="288"/>
    <x v="0"/>
    <x v="372"/>
  </r>
  <r>
    <x v="404"/>
    <x v="107"/>
    <x v="79"/>
    <x v="85"/>
    <x v="0"/>
    <x v="3"/>
    <x v="8"/>
    <x v="59"/>
    <x v="1"/>
    <x v="0"/>
    <x v="311"/>
    <x v="1"/>
    <x v="0"/>
    <x v="373"/>
  </r>
  <r>
    <x v="405"/>
    <x v="107"/>
    <x v="79"/>
    <x v="85"/>
    <x v="0"/>
    <x v="3"/>
    <x v="8"/>
    <x v="309"/>
    <x v="290"/>
    <x v="253"/>
    <x v="312"/>
    <x v="289"/>
    <x v="253"/>
    <x v="374"/>
  </r>
  <r>
    <x v="406"/>
    <x v="107"/>
    <x v="79"/>
    <x v="85"/>
    <x v="0"/>
    <x v="3"/>
    <x v="8"/>
    <x v="1"/>
    <x v="1"/>
    <x v="0"/>
    <x v="1"/>
    <x v="1"/>
    <x v="0"/>
    <x v="1"/>
  </r>
  <r>
    <x v="407"/>
    <x v="107"/>
    <x v="79"/>
    <x v="85"/>
    <x v="0"/>
    <x v="3"/>
    <x v="8"/>
    <x v="310"/>
    <x v="291"/>
    <x v="0"/>
    <x v="313"/>
    <x v="290"/>
    <x v="0"/>
    <x v="375"/>
  </r>
  <r>
    <x v="408"/>
    <x v="107"/>
    <x v="79"/>
    <x v="85"/>
    <x v="0"/>
    <x v="3"/>
    <x v="8"/>
    <x v="1"/>
    <x v="1"/>
    <x v="0"/>
    <x v="1"/>
    <x v="1"/>
    <x v="0"/>
    <x v="1"/>
  </r>
  <r>
    <x v="409"/>
    <x v="107"/>
    <x v="79"/>
    <x v="85"/>
    <x v="0"/>
    <x v="3"/>
    <x v="8"/>
    <x v="311"/>
    <x v="292"/>
    <x v="0"/>
    <x v="314"/>
    <x v="291"/>
    <x v="0"/>
    <x v="376"/>
  </r>
  <r>
    <x v="410"/>
    <x v="107"/>
    <x v="79"/>
    <x v="85"/>
    <x v="0"/>
    <x v="3"/>
    <x v="8"/>
    <x v="312"/>
    <x v="1"/>
    <x v="0"/>
    <x v="315"/>
    <x v="1"/>
    <x v="0"/>
    <x v="377"/>
  </r>
  <r>
    <x v="411"/>
    <x v="107"/>
    <x v="79"/>
    <x v="85"/>
    <x v="0"/>
    <x v="3"/>
    <x v="8"/>
    <x v="313"/>
    <x v="293"/>
    <x v="254"/>
    <x v="316"/>
    <x v="292"/>
    <x v="254"/>
    <x v="378"/>
  </r>
  <r>
    <x v="412"/>
    <x v="107"/>
    <x v="79"/>
    <x v="85"/>
    <x v="0"/>
    <x v="3"/>
    <x v="8"/>
    <x v="1"/>
    <x v="1"/>
    <x v="0"/>
    <x v="1"/>
    <x v="1"/>
    <x v="0"/>
    <x v="1"/>
  </r>
  <r>
    <x v="413"/>
    <x v="107"/>
    <x v="79"/>
    <x v="85"/>
    <x v="0"/>
    <x v="3"/>
    <x v="8"/>
    <x v="314"/>
    <x v="1"/>
    <x v="0"/>
    <x v="317"/>
    <x v="1"/>
    <x v="0"/>
    <x v="379"/>
  </r>
  <r>
    <x v="414"/>
    <x v="107"/>
    <x v="79"/>
    <x v="85"/>
    <x v="0"/>
    <x v="3"/>
    <x v="8"/>
    <x v="315"/>
    <x v="294"/>
    <x v="255"/>
    <x v="314"/>
    <x v="293"/>
    <x v="255"/>
    <x v="380"/>
  </r>
  <r>
    <x v="415"/>
    <x v="107"/>
    <x v="79"/>
    <x v="85"/>
    <x v="0"/>
    <x v="3"/>
    <x v="8"/>
    <x v="316"/>
    <x v="295"/>
    <x v="0"/>
    <x v="318"/>
    <x v="294"/>
    <x v="0"/>
    <x v="381"/>
  </r>
  <r>
    <x v="416"/>
    <x v="107"/>
    <x v="79"/>
    <x v="85"/>
    <x v="0"/>
    <x v="3"/>
    <x v="8"/>
    <x v="317"/>
    <x v="296"/>
    <x v="0"/>
    <x v="319"/>
    <x v="295"/>
    <x v="0"/>
    <x v="382"/>
  </r>
  <r>
    <x v="417"/>
    <x v="107"/>
    <x v="79"/>
    <x v="85"/>
    <x v="0"/>
    <x v="3"/>
    <x v="8"/>
    <x v="318"/>
    <x v="1"/>
    <x v="0"/>
    <x v="320"/>
    <x v="1"/>
    <x v="0"/>
    <x v="383"/>
  </r>
  <r>
    <x v="418"/>
    <x v="107"/>
    <x v="79"/>
    <x v="85"/>
    <x v="0"/>
    <x v="2"/>
    <x v="9"/>
    <x v="319"/>
    <x v="297"/>
    <x v="0"/>
    <x v="321"/>
    <x v="296"/>
    <x v="0"/>
    <x v="384"/>
  </r>
  <r>
    <x v="419"/>
    <x v="107"/>
    <x v="79"/>
    <x v="85"/>
    <x v="0"/>
    <x v="0"/>
    <x v="9"/>
    <x v="320"/>
    <x v="1"/>
    <x v="0"/>
    <x v="322"/>
    <x v="1"/>
    <x v="0"/>
    <x v="385"/>
  </r>
  <r>
    <x v="420"/>
    <x v="107"/>
    <x v="79"/>
    <x v="85"/>
    <x v="0"/>
    <x v="0"/>
    <x v="9"/>
    <x v="321"/>
    <x v="298"/>
    <x v="256"/>
    <x v="323"/>
    <x v="297"/>
    <x v="256"/>
    <x v="386"/>
  </r>
  <r>
    <x v="421"/>
    <x v="107"/>
    <x v="79"/>
    <x v="85"/>
    <x v="0"/>
    <x v="0"/>
    <x v="9"/>
    <x v="322"/>
    <x v="299"/>
    <x v="0"/>
    <x v="324"/>
    <x v="298"/>
    <x v="0"/>
    <x v="387"/>
  </r>
  <r>
    <x v="422"/>
    <x v="107"/>
    <x v="79"/>
    <x v="85"/>
    <x v="0"/>
    <x v="0"/>
    <x v="9"/>
    <x v="1"/>
    <x v="1"/>
    <x v="0"/>
    <x v="1"/>
    <x v="1"/>
    <x v="0"/>
    <x v="1"/>
  </r>
  <r>
    <x v="423"/>
    <x v="107"/>
    <x v="79"/>
    <x v="85"/>
    <x v="0"/>
    <x v="0"/>
    <x v="9"/>
    <x v="323"/>
    <x v="300"/>
    <x v="257"/>
    <x v="325"/>
    <x v="299"/>
    <x v="257"/>
    <x v="388"/>
  </r>
  <r>
    <x v="424"/>
    <x v="107"/>
    <x v="79"/>
    <x v="85"/>
    <x v="0"/>
    <x v="0"/>
    <x v="9"/>
    <x v="324"/>
    <x v="301"/>
    <x v="0"/>
    <x v="326"/>
    <x v="300"/>
    <x v="0"/>
    <x v="389"/>
  </r>
  <r>
    <x v="425"/>
    <x v="107"/>
    <x v="79"/>
    <x v="85"/>
    <x v="0"/>
    <x v="2"/>
    <x v="9"/>
    <x v="325"/>
    <x v="302"/>
    <x v="0"/>
    <x v="327"/>
    <x v="301"/>
    <x v="0"/>
    <x v="390"/>
  </r>
  <r>
    <x v="426"/>
    <x v="107"/>
    <x v="79"/>
    <x v="85"/>
    <x v="0"/>
    <x v="0"/>
    <x v="9"/>
    <x v="326"/>
    <x v="1"/>
    <x v="0"/>
    <x v="328"/>
    <x v="1"/>
    <x v="0"/>
    <x v="391"/>
  </r>
  <r>
    <x v="427"/>
    <x v="107"/>
    <x v="79"/>
    <x v="85"/>
    <x v="0"/>
    <x v="0"/>
    <x v="9"/>
    <x v="1"/>
    <x v="1"/>
    <x v="258"/>
    <x v="1"/>
    <x v="1"/>
    <x v="258"/>
    <x v="392"/>
  </r>
  <r>
    <x v="428"/>
    <x v="107"/>
    <x v="79"/>
    <x v="85"/>
    <x v="0"/>
    <x v="0"/>
    <x v="9"/>
    <x v="1"/>
    <x v="1"/>
    <x v="0"/>
    <x v="1"/>
    <x v="1"/>
    <x v="0"/>
    <x v="1"/>
  </r>
  <r>
    <x v="429"/>
    <x v="107"/>
    <x v="79"/>
    <x v="85"/>
    <x v="0"/>
    <x v="0"/>
    <x v="9"/>
    <x v="1"/>
    <x v="1"/>
    <x v="259"/>
    <x v="1"/>
    <x v="1"/>
    <x v="259"/>
    <x v="393"/>
  </r>
  <r>
    <x v="430"/>
    <x v="107"/>
    <x v="79"/>
    <x v="85"/>
    <x v="0"/>
    <x v="0"/>
    <x v="9"/>
    <x v="327"/>
    <x v="303"/>
    <x v="0"/>
    <x v="329"/>
    <x v="302"/>
    <x v="0"/>
    <x v="394"/>
  </r>
  <r>
    <x v="431"/>
    <x v="107"/>
    <x v="79"/>
    <x v="85"/>
    <x v="0"/>
    <x v="0"/>
    <x v="9"/>
    <x v="328"/>
    <x v="304"/>
    <x v="260"/>
    <x v="330"/>
    <x v="303"/>
    <x v="260"/>
    <x v="395"/>
  </r>
  <r>
    <x v="432"/>
    <x v="107"/>
    <x v="79"/>
    <x v="85"/>
    <x v="0"/>
    <x v="0"/>
    <x v="9"/>
    <x v="329"/>
    <x v="305"/>
    <x v="43"/>
    <x v="331"/>
    <x v="304"/>
    <x v="261"/>
    <x v="396"/>
  </r>
  <r>
    <x v="433"/>
    <x v="107"/>
    <x v="79"/>
    <x v="85"/>
    <x v="0"/>
    <x v="0"/>
    <x v="9"/>
    <x v="330"/>
    <x v="306"/>
    <x v="0"/>
    <x v="332"/>
    <x v="305"/>
    <x v="0"/>
    <x v="397"/>
  </r>
  <r>
    <x v="434"/>
    <x v="107"/>
    <x v="79"/>
    <x v="85"/>
    <x v="0"/>
    <x v="0"/>
    <x v="9"/>
    <x v="1"/>
    <x v="1"/>
    <x v="0"/>
    <x v="1"/>
    <x v="1"/>
    <x v="0"/>
    <x v="1"/>
  </r>
  <r>
    <x v="435"/>
    <x v="107"/>
    <x v="79"/>
    <x v="85"/>
    <x v="0"/>
    <x v="0"/>
    <x v="9"/>
    <x v="1"/>
    <x v="1"/>
    <x v="0"/>
    <x v="1"/>
    <x v="1"/>
    <x v="0"/>
    <x v="1"/>
  </r>
  <r>
    <x v="436"/>
    <x v="107"/>
    <x v="79"/>
    <x v="85"/>
    <x v="0"/>
    <x v="2"/>
    <x v="3"/>
    <x v="331"/>
    <x v="307"/>
    <x v="261"/>
    <x v="333"/>
    <x v="306"/>
    <x v="262"/>
    <x v="398"/>
  </r>
  <r>
    <x v="437"/>
    <x v="107"/>
    <x v="79"/>
    <x v="85"/>
    <x v="0"/>
    <x v="3"/>
    <x v="3"/>
    <x v="332"/>
    <x v="308"/>
    <x v="262"/>
    <x v="334"/>
    <x v="307"/>
    <x v="263"/>
    <x v="399"/>
  </r>
  <r>
    <x v="438"/>
    <x v="107"/>
    <x v="79"/>
    <x v="85"/>
    <x v="0"/>
    <x v="2"/>
    <x v="31"/>
    <x v="1"/>
    <x v="1"/>
    <x v="263"/>
    <x v="1"/>
    <x v="1"/>
    <x v="264"/>
    <x v="400"/>
  </r>
  <r>
    <x v="439"/>
    <x v="107"/>
    <x v="79"/>
    <x v="85"/>
    <x v="0"/>
    <x v="2"/>
    <x v="31"/>
    <x v="1"/>
    <x v="1"/>
    <x v="264"/>
    <x v="1"/>
    <x v="1"/>
    <x v="265"/>
    <x v="401"/>
  </r>
  <r>
    <x v="440"/>
    <x v="107"/>
    <x v="79"/>
    <x v="85"/>
    <x v="0"/>
    <x v="2"/>
    <x v="31"/>
    <x v="333"/>
    <x v="309"/>
    <x v="265"/>
    <x v="335"/>
    <x v="308"/>
    <x v="266"/>
    <x v="402"/>
  </r>
  <r>
    <x v="441"/>
    <x v="107"/>
    <x v="79"/>
    <x v="85"/>
    <x v="0"/>
    <x v="2"/>
    <x v="31"/>
    <x v="334"/>
    <x v="310"/>
    <x v="266"/>
    <x v="336"/>
    <x v="309"/>
    <x v="267"/>
    <x v="403"/>
  </r>
  <r>
    <x v="442"/>
    <x v="107"/>
    <x v="79"/>
    <x v="85"/>
    <x v="0"/>
    <x v="0"/>
    <x v="10"/>
    <x v="335"/>
    <x v="1"/>
    <x v="0"/>
    <x v="337"/>
    <x v="1"/>
    <x v="0"/>
    <x v="182"/>
  </r>
  <r>
    <x v="443"/>
    <x v="107"/>
    <x v="79"/>
    <x v="85"/>
    <x v="1"/>
    <x v="3"/>
    <x v="8"/>
    <x v="336"/>
    <x v="1"/>
    <x v="0"/>
    <x v="338"/>
    <x v="1"/>
    <x v="0"/>
    <x v="404"/>
  </r>
  <r>
    <x v="444"/>
    <x v="107"/>
    <x v="79"/>
    <x v="85"/>
    <x v="0"/>
    <x v="3"/>
    <x v="8"/>
    <x v="337"/>
    <x v="1"/>
    <x v="0"/>
    <x v="339"/>
    <x v="1"/>
    <x v="0"/>
    <x v="405"/>
  </r>
  <r>
    <x v="445"/>
    <x v="108"/>
    <x v="79"/>
    <x v="85"/>
    <x v="0"/>
    <x v="0"/>
    <x v="9"/>
    <x v="338"/>
    <x v="311"/>
    <x v="0"/>
    <x v="340"/>
    <x v="310"/>
    <x v="0"/>
    <x v="406"/>
  </r>
  <r>
    <x v="446"/>
    <x v="109"/>
    <x v="80"/>
    <x v="86"/>
    <x v="0"/>
    <x v="5"/>
    <x v="20"/>
    <x v="339"/>
    <x v="312"/>
    <x v="267"/>
    <x v="341"/>
    <x v="311"/>
    <x v="268"/>
    <x v="407"/>
  </r>
  <r>
    <x v="447"/>
    <x v="109"/>
    <x v="80"/>
    <x v="86"/>
    <x v="0"/>
    <x v="5"/>
    <x v="20"/>
    <x v="340"/>
    <x v="313"/>
    <x v="268"/>
    <x v="342"/>
    <x v="312"/>
    <x v="269"/>
    <x v="408"/>
  </r>
  <r>
    <x v="448"/>
    <x v="110"/>
    <x v="81"/>
    <x v="87"/>
    <x v="0"/>
    <x v="1"/>
    <x v="10"/>
    <x v="1"/>
    <x v="1"/>
    <x v="0"/>
    <x v="1"/>
    <x v="1"/>
    <x v="0"/>
    <x v="1"/>
  </r>
  <r>
    <x v="449"/>
    <x v="111"/>
    <x v="82"/>
    <x v="88"/>
    <x v="0"/>
    <x v="1"/>
    <x v="3"/>
    <x v="341"/>
    <x v="1"/>
    <x v="0"/>
    <x v="343"/>
    <x v="1"/>
    <x v="0"/>
    <x v="409"/>
  </r>
  <r>
    <x v="450"/>
    <x v="111"/>
    <x v="82"/>
    <x v="88"/>
    <x v="0"/>
    <x v="0"/>
    <x v="3"/>
    <x v="342"/>
    <x v="1"/>
    <x v="0"/>
    <x v="344"/>
    <x v="1"/>
    <x v="0"/>
    <x v="410"/>
  </r>
  <r>
    <x v="451"/>
    <x v="111"/>
    <x v="82"/>
    <x v="88"/>
    <x v="0"/>
    <x v="0"/>
    <x v="3"/>
    <x v="343"/>
    <x v="1"/>
    <x v="0"/>
    <x v="345"/>
    <x v="1"/>
    <x v="0"/>
    <x v="411"/>
  </r>
  <r>
    <x v="452"/>
    <x v="111"/>
    <x v="82"/>
    <x v="88"/>
    <x v="0"/>
    <x v="1"/>
    <x v="3"/>
    <x v="344"/>
    <x v="1"/>
    <x v="0"/>
    <x v="346"/>
    <x v="1"/>
    <x v="0"/>
    <x v="412"/>
  </r>
  <r>
    <x v="453"/>
    <x v="112"/>
    <x v="82"/>
    <x v="88"/>
    <x v="0"/>
    <x v="1"/>
    <x v="32"/>
    <x v="345"/>
    <x v="314"/>
    <x v="269"/>
    <x v="347"/>
    <x v="313"/>
    <x v="270"/>
    <x v="413"/>
  </r>
  <r>
    <x v="454"/>
    <x v="112"/>
    <x v="82"/>
    <x v="88"/>
    <x v="0"/>
    <x v="1"/>
    <x v="32"/>
    <x v="346"/>
    <x v="315"/>
    <x v="270"/>
    <x v="348"/>
    <x v="314"/>
    <x v="271"/>
    <x v="414"/>
  </r>
  <r>
    <x v="455"/>
    <x v="113"/>
    <x v="83"/>
    <x v="89"/>
    <x v="0"/>
    <x v="3"/>
    <x v="5"/>
    <x v="347"/>
    <x v="316"/>
    <x v="271"/>
    <x v="349"/>
    <x v="315"/>
    <x v="272"/>
    <x v="415"/>
  </r>
  <r>
    <x v="456"/>
    <x v="113"/>
    <x v="83"/>
    <x v="89"/>
    <x v="0"/>
    <x v="3"/>
    <x v="10"/>
    <x v="348"/>
    <x v="317"/>
    <x v="272"/>
    <x v="350"/>
    <x v="316"/>
    <x v="273"/>
    <x v="416"/>
  </r>
  <r>
    <x v="457"/>
    <x v="114"/>
    <x v="83"/>
    <x v="89"/>
    <x v="0"/>
    <x v="1"/>
    <x v="12"/>
    <x v="349"/>
    <x v="318"/>
    <x v="0"/>
    <x v="351"/>
    <x v="317"/>
    <x v="0"/>
    <x v="417"/>
  </r>
  <r>
    <x v="458"/>
    <x v="115"/>
    <x v="84"/>
    <x v="90"/>
    <x v="0"/>
    <x v="4"/>
    <x v="10"/>
    <x v="350"/>
    <x v="319"/>
    <x v="273"/>
    <x v="352"/>
    <x v="318"/>
    <x v="274"/>
    <x v="418"/>
  </r>
  <r>
    <x v="459"/>
    <x v="116"/>
    <x v="85"/>
    <x v="91"/>
    <x v="0"/>
    <x v="1"/>
    <x v="10"/>
    <x v="1"/>
    <x v="1"/>
    <x v="274"/>
    <x v="1"/>
    <x v="1"/>
    <x v="275"/>
    <x v="419"/>
  </r>
  <r>
    <x v="460"/>
    <x v="117"/>
    <x v="86"/>
    <x v="92"/>
    <x v="0"/>
    <x v="1"/>
    <x v="10"/>
    <x v="1"/>
    <x v="1"/>
    <x v="0"/>
    <x v="1"/>
    <x v="1"/>
    <x v="0"/>
    <x v="1"/>
  </r>
  <r>
    <x v="461"/>
    <x v="118"/>
    <x v="87"/>
    <x v="93"/>
    <x v="0"/>
    <x v="1"/>
    <x v="13"/>
    <x v="351"/>
    <x v="1"/>
    <x v="0"/>
    <x v="353"/>
    <x v="1"/>
    <x v="0"/>
    <x v="420"/>
  </r>
  <r>
    <x v="462"/>
    <x v="118"/>
    <x v="87"/>
    <x v="93"/>
    <x v="0"/>
    <x v="0"/>
    <x v="10"/>
    <x v="352"/>
    <x v="320"/>
    <x v="0"/>
    <x v="354"/>
    <x v="319"/>
    <x v="0"/>
    <x v="421"/>
  </r>
  <r>
    <x v="463"/>
    <x v="119"/>
    <x v="87"/>
    <x v="93"/>
    <x v="0"/>
    <x v="2"/>
    <x v="24"/>
    <x v="353"/>
    <x v="321"/>
    <x v="0"/>
    <x v="355"/>
    <x v="320"/>
    <x v="0"/>
    <x v="422"/>
  </r>
  <r>
    <x v="464"/>
    <x v="119"/>
    <x v="87"/>
    <x v="93"/>
    <x v="0"/>
    <x v="2"/>
    <x v="13"/>
    <x v="354"/>
    <x v="322"/>
    <x v="275"/>
    <x v="356"/>
    <x v="321"/>
    <x v="276"/>
    <x v="423"/>
  </r>
  <r>
    <x v="465"/>
    <x v="119"/>
    <x v="87"/>
    <x v="93"/>
    <x v="0"/>
    <x v="2"/>
    <x v="13"/>
    <x v="355"/>
    <x v="323"/>
    <x v="276"/>
    <x v="357"/>
    <x v="322"/>
    <x v="277"/>
    <x v="424"/>
  </r>
  <r>
    <x v="466"/>
    <x v="120"/>
    <x v="87"/>
    <x v="93"/>
    <x v="0"/>
    <x v="0"/>
    <x v="5"/>
    <x v="356"/>
    <x v="324"/>
    <x v="0"/>
    <x v="358"/>
    <x v="323"/>
    <x v="0"/>
    <x v="425"/>
  </r>
  <r>
    <x v="467"/>
    <x v="120"/>
    <x v="87"/>
    <x v="93"/>
    <x v="0"/>
    <x v="1"/>
    <x v="10"/>
    <x v="1"/>
    <x v="1"/>
    <x v="0"/>
    <x v="1"/>
    <x v="1"/>
    <x v="0"/>
    <x v="1"/>
  </r>
  <r>
    <x v="468"/>
    <x v="121"/>
    <x v="88"/>
    <x v="94"/>
    <x v="0"/>
    <x v="1"/>
    <x v="5"/>
    <x v="1"/>
    <x v="325"/>
    <x v="277"/>
    <x v="1"/>
    <x v="324"/>
    <x v="278"/>
    <x v="426"/>
  </r>
  <r>
    <x v="469"/>
    <x v="121"/>
    <x v="88"/>
    <x v="94"/>
    <x v="0"/>
    <x v="1"/>
    <x v="10"/>
    <x v="357"/>
    <x v="326"/>
    <x v="278"/>
    <x v="359"/>
    <x v="325"/>
    <x v="279"/>
    <x v="427"/>
  </r>
  <r>
    <x v="470"/>
    <x v="122"/>
    <x v="89"/>
    <x v="95"/>
    <x v="0"/>
    <x v="0"/>
    <x v="10"/>
    <x v="358"/>
    <x v="327"/>
    <x v="279"/>
    <x v="360"/>
    <x v="326"/>
    <x v="280"/>
    <x v="428"/>
  </r>
  <r>
    <x v="471"/>
    <x v="122"/>
    <x v="89"/>
    <x v="95"/>
    <x v="1"/>
    <x v="0"/>
    <x v="20"/>
    <x v="359"/>
    <x v="328"/>
    <x v="280"/>
    <x v="361"/>
    <x v="327"/>
    <x v="281"/>
    <x v="429"/>
  </r>
  <r>
    <x v="472"/>
    <x v="123"/>
    <x v="90"/>
    <x v="96"/>
    <x v="0"/>
    <x v="1"/>
    <x v="10"/>
    <x v="360"/>
    <x v="329"/>
    <x v="281"/>
    <x v="362"/>
    <x v="328"/>
    <x v="282"/>
    <x v="430"/>
  </r>
  <r>
    <x v="473"/>
    <x v="123"/>
    <x v="90"/>
    <x v="96"/>
    <x v="0"/>
    <x v="1"/>
    <x v="10"/>
    <x v="361"/>
    <x v="330"/>
    <x v="0"/>
    <x v="363"/>
    <x v="329"/>
    <x v="0"/>
    <x v="431"/>
  </r>
  <r>
    <x v="474"/>
    <x v="124"/>
    <x v="91"/>
    <x v="97"/>
    <x v="0"/>
    <x v="1"/>
    <x v="5"/>
    <x v="362"/>
    <x v="331"/>
    <x v="0"/>
    <x v="364"/>
    <x v="330"/>
    <x v="0"/>
    <x v="432"/>
  </r>
  <r>
    <x v="475"/>
    <x v="125"/>
    <x v="91"/>
    <x v="97"/>
    <x v="0"/>
    <x v="2"/>
    <x v="4"/>
    <x v="363"/>
    <x v="332"/>
    <x v="282"/>
    <x v="365"/>
    <x v="331"/>
    <x v="283"/>
    <x v="433"/>
  </r>
  <r>
    <x v="476"/>
    <x v="125"/>
    <x v="91"/>
    <x v="97"/>
    <x v="0"/>
    <x v="1"/>
    <x v="5"/>
    <x v="364"/>
    <x v="333"/>
    <x v="283"/>
    <x v="366"/>
    <x v="332"/>
    <x v="284"/>
    <x v="434"/>
  </r>
  <r>
    <x v="477"/>
    <x v="125"/>
    <x v="91"/>
    <x v="97"/>
    <x v="0"/>
    <x v="1"/>
    <x v="10"/>
    <x v="365"/>
    <x v="1"/>
    <x v="0"/>
    <x v="367"/>
    <x v="1"/>
    <x v="0"/>
    <x v="435"/>
  </r>
  <r>
    <x v="478"/>
    <x v="125"/>
    <x v="91"/>
    <x v="97"/>
    <x v="0"/>
    <x v="0"/>
    <x v="10"/>
    <x v="366"/>
    <x v="334"/>
    <x v="284"/>
    <x v="368"/>
    <x v="333"/>
    <x v="285"/>
    <x v="436"/>
  </r>
  <r>
    <x v="479"/>
    <x v="126"/>
    <x v="91"/>
    <x v="97"/>
    <x v="0"/>
    <x v="3"/>
    <x v="5"/>
    <x v="367"/>
    <x v="335"/>
    <x v="285"/>
    <x v="369"/>
    <x v="334"/>
    <x v="286"/>
    <x v="437"/>
  </r>
  <r>
    <x v="480"/>
    <x v="126"/>
    <x v="91"/>
    <x v="97"/>
    <x v="0"/>
    <x v="3"/>
    <x v="20"/>
    <x v="368"/>
    <x v="1"/>
    <x v="0"/>
    <x v="370"/>
    <x v="1"/>
    <x v="0"/>
    <x v="438"/>
  </r>
  <r>
    <x v="481"/>
    <x v="126"/>
    <x v="91"/>
    <x v="97"/>
    <x v="0"/>
    <x v="1"/>
    <x v="10"/>
    <x v="1"/>
    <x v="1"/>
    <x v="0"/>
    <x v="1"/>
    <x v="1"/>
    <x v="0"/>
    <x v="1"/>
  </r>
  <r>
    <x v="482"/>
    <x v="126"/>
    <x v="91"/>
    <x v="97"/>
    <x v="0"/>
    <x v="3"/>
    <x v="10"/>
    <x v="369"/>
    <x v="336"/>
    <x v="0"/>
    <x v="371"/>
    <x v="335"/>
    <x v="0"/>
    <x v="439"/>
  </r>
  <r>
    <x v="483"/>
    <x v="126"/>
    <x v="91"/>
    <x v="97"/>
    <x v="0"/>
    <x v="3"/>
    <x v="11"/>
    <x v="370"/>
    <x v="1"/>
    <x v="0"/>
    <x v="372"/>
    <x v="1"/>
    <x v="0"/>
    <x v="440"/>
  </r>
  <r>
    <x v="484"/>
    <x v="127"/>
    <x v="91"/>
    <x v="97"/>
    <x v="0"/>
    <x v="3"/>
    <x v="20"/>
    <x v="1"/>
    <x v="337"/>
    <x v="286"/>
    <x v="1"/>
    <x v="336"/>
    <x v="287"/>
    <x v="441"/>
  </r>
  <r>
    <x v="485"/>
    <x v="128"/>
    <x v="91"/>
    <x v="97"/>
    <x v="0"/>
    <x v="2"/>
    <x v="4"/>
    <x v="371"/>
    <x v="1"/>
    <x v="0"/>
    <x v="373"/>
    <x v="1"/>
    <x v="0"/>
    <x v="442"/>
  </r>
  <r>
    <x v="486"/>
    <x v="128"/>
    <x v="91"/>
    <x v="97"/>
    <x v="0"/>
    <x v="1"/>
    <x v="5"/>
    <x v="372"/>
    <x v="338"/>
    <x v="287"/>
    <x v="374"/>
    <x v="337"/>
    <x v="288"/>
    <x v="443"/>
  </r>
  <r>
    <x v="487"/>
    <x v="128"/>
    <x v="91"/>
    <x v="97"/>
    <x v="0"/>
    <x v="2"/>
    <x v="32"/>
    <x v="373"/>
    <x v="339"/>
    <x v="288"/>
    <x v="375"/>
    <x v="338"/>
    <x v="289"/>
    <x v="444"/>
  </r>
  <r>
    <x v="488"/>
    <x v="128"/>
    <x v="91"/>
    <x v="97"/>
    <x v="0"/>
    <x v="1"/>
    <x v="13"/>
    <x v="1"/>
    <x v="1"/>
    <x v="289"/>
    <x v="1"/>
    <x v="1"/>
    <x v="290"/>
    <x v="445"/>
  </r>
  <r>
    <x v="489"/>
    <x v="128"/>
    <x v="91"/>
    <x v="97"/>
    <x v="0"/>
    <x v="1"/>
    <x v="10"/>
    <x v="374"/>
    <x v="340"/>
    <x v="290"/>
    <x v="376"/>
    <x v="339"/>
    <x v="291"/>
    <x v="446"/>
  </r>
  <r>
    <x v="490"/>
    <x v="128"/>
    <x v="91"/>
    <x v="97"/>
    <x v="0"/>
    <x v="1"/>
    <x v="10"/>
    <x v="1"/>
    <x v="341"/>
    <x v="0"/>
    <x v="1"/>
    <x v="340"/>
    <x v="0"/>
    <x v="447"/>
  </r>
  <r>
    <x v="491"/>
    <x v="129"/>
    <x v="92"/>
    <x v="98"/>
    <x v="0"/>
    <x v="2"/>
    <x v="26"/>
    <x v="1"/>
    <x v="342"/>
    <x v="291"/>
    <x v="1"/>
    <x v="341"/>
    <x v="292"/>
    <x v="448"/>
  </r>
  <r>
    <x v="492"/>
    <x v="129"/>
    <x v="92"/>
    <x v="98"/>
    <x v="0"/>
    <x v="2"/>
    <x v="0"/>
    <x v="375"/>
    <x v="343"/>
    <x v="292"/>
    <x v="377"/>
    <x v="342"/>
    <x v="293"/>
    <x v="449"/>
  </r>
  <r>
    <x v="493"/>
    <x v="129"/>
    <x v="92"/>
    <x v="98"/>
    <x v="0"/>
    <x v="0"/>
    <x v="0"/>
    <x v="376"/>
    <x v="344"/>
    <x v="0"/>
    <x v="378"/>
    <x v="343"/>
    <x v="0"/>
    <x v="450"/>
  </r>
  <r>
    <x v="494"/>
    <x v="129"/>
    <x v="92"/>
    <x v="98"/>
    <x v="0"/>
    <x v="3"/>
    <x v="0"/>
    <x v="377"/>
    <x v="345"/>
    <x v="293"/>
    <x v="379"/>
    <x v="344"/>
    <x v="294"/>
    <x v="451"/>
  </r>
  <r>
    <x v="495"/>
    <x v="129"/>
    <x v="92"/>
    <x v="98"/>
    <x v="0"/>
    <x v="3"/>
    <x v="27"/>
    <x v="1"/>
    <x v="346"/>
    <x v="294"/>
    <x v="1"/>
    <x v="345"/>
    <x v="295"/>
    <x v="452"/>
  </r>
  <r>
    <x v="496"/>
    <x v="129"/>
    <x v="92"/>
    <x v="98"/>
    <x v="0"/>
    <x v="2"/>
    <x v="33"/>
    <x v="378"/>
    <x v="1"/>
    <x v="0"/>
    <x v="380"/>
    <x v="1"/>
    <x v="0"/>
    <x v="453"/>
  </r>
  <r>
    <x v="497"/>
    <x v="129"/>
    <x v="92"/>
    <x v="98"/>
    <x v="0"/>
    <x v="0"/>
    <x v="9"/>
    <x v="379"/>
    <x v="1"/>
    <x v="0"/>
    <x v="381"/>
    <x v="1"/>
    <x v="0"/>
    <x v="454"/>
  </r>
  <r>
    <x v="498"/>
    <x v="129"/>
    <x v="92"/>
    <x v="98"/>
    <x v="0"/>
    <x v="1"/>
    <x v="9"/>
    <x v="380"/>
    <x v="1"/>
    <x v="0"/>
    <x v="382"/>
    <x v="1"/>
    <x v="0"/>
    <x v="455"/>
  </r>
  <r>
    <x v="499"/>
    <x v="129"/>
    <x v="92"/>
    <x v="98"/>
    <x v="0"/>
    <x v="1"/>
    <x v="9"/>
    <x v="381"/>
    <x v="347"/>
    <x v="295"/>
    <x v="383"/>
    <x v="346"/>
    <x v="296"/>
    <x v="456"/>
  </r>
  <r>
    <x v="500"/>
    <x v="129"/>
    <x v="92"/>
    <x v="98"/>
    <x v="0"/>
    <x v="1"/>
    <x v="9"/>
    <x v="382"/>
    <x v="348"/>
    <x v="296"/>
    <x v="384"/>
    <x v="347"/>
    <x v="297"/>
    <x v="457"/>
  </r>
  <r>
    <x v="501"/>
    <x v="129"/>
    <x v="92"/>
    <x v="98"/>
    <x v="0"/>
    <x v="3"/>
    <x v="9"/>
    <x v="1"/>
    <x v="1"/>
    <x v="0"/>
    <x v="1"/>
    <x v="1"/>
    <x v="0"/>
    <x v="1"/>
  </r>
  <r>
    <x v="502"/>
    <x v="129"/>
    <x v="92"/>
    <x v="98"/>
    <x v="0"/>
    <x v="3"/>
    <x v="9"/>
    <x v="383"/>
    <x v="349"/>
    <x v="297"/>
    <x v="385"/>
    <x v="348"/>
    <x v="298"/>
    <x v="458"/>
  </r>
  <r>
    <x v="503"/>
    <x v="129"/>
    <x v="92"/>
    <x v="98"/>
    <x v="0"/>
    <x v="3"/>
    <x v="9"/>
    <x v="384"/>
    <x v="350"/>
    <x v="298"/>
    <x v="386"/>
    <x v="349"/>
    <x v="299"/>
    <x v="459"/>
  </r>
  <r>
    <x v="504"/>
    <x v="129"/>
    <x v="92"/>
    <x v="98"/>
    <x v="0"/>
    <x v="2"/>
    <x v="10"/>
    <x v="385"/>
    <x v="1"/>
    <x v="0"/>
    <x v="387"/>
    <x v="1"/>
    <x v="0"/>
    <x v="460"/>
  </r>
  <r>
    <x v="505"/>
    <x v="129"/>
    <x v="92"/>
    <x v="98"/>
    <x v="0"/>
    <x v="2"/>
    <x v="34"/>
    <x v="386"/>
    <x v="351"/>
    <x v="0"/>
    <x v="388"/>
    <x v="350"/>
    <x v="0"/>
    <x v="461"/>
  </r>
  <r>
    <x v="506"/>
    <x v="129"/>
    <x v="92"/>
    <x v="98"/>
    <x v="0"/>
    <x v="2"/>
    <x v="3"/>
    <x v="387"/>
    <x v="352"/>
    <x v="299"/>
    <x v="389"/>
    <x v="351"/>
    <x v="300"/>
    <x v="462"/>
  </r>
  <r>
    <x v="507"/>
    <x v="130"/>
    <x v="93"/>
    <x v="99"/>
    <x v="0"/>
    <x v="1"/>
    <x v="10"/>
    <x v="388"/>
    <x v="353"/>
    <x v="0"/>
    <x v="390"/>
    <x v="352"/>
    <x v="0"/>
    <x v="463"/>
  </r>
  <r>
    <x v="508"/>
    <x v="131"/>
    <x v="93"/>
    <x v="99"/>
    <x v="0"/>
    <x v="3"/>
    <x v="5"/>
    <x v="389"/>
    <x v="354"/>
    <x v="0"/>
    <x v="391"/>
    <x v="353"/>
    <x v="0"/>
    <x v="464"/>
  </r>
  <r>
    <x v="509"/>
    <x v="131"/>
    <x v="93"/>
    <x v="99"/>
    <x v="0"/>
    <x v="3"/>
    <x v="10"/>
    <x v="1"/>
    <x v="1"/>
    <x v="0"/>
    <x v="1"/>
    <x v="1"/>
    <x v="0"/>
    <x v="1"/>
  </r>
  <r>
    <x v="510"/>
    <x v="131"/>
    <x v="93"/>
    <x v="99"/>
    <x v="0"/>
    <x v="3"/>
    <x v="10"/>
    <x v="1"/>
    <x v="1"/>
    <x v="0"/>
    <x v="1"/>
    <x v="1"/>
    <x v="0"/>
    <x v="1"/>
  </r>
  <r>
    <x v="511"/>
    <x v="132"/>
    <x v="93"/>
    <x v="99"/>
    <x v="0"/>
    <x v="2"/>
    <x v="4"/>
    <x v="1"/>
    <x v="1"/>
    <x v="0"/>
    <x v="1"/>
    <x v="1"/>
    <x v="0"/>
    <x v="1"/>
  </r>
  <r>
    <x v="512"/>
    <x v="133"/>
    <x v="93"/>
    <x v="99"/>
    <x v="0"/>
    <x v="1"/>
    <x v="10"/>
    <x v="1"/>
    <x v="1"/>
    <x v="0"/>
    <x v="1"/>
    <x v="1"/>
    <x v="0"/>
    <x v="1"/>
  </r>
  <r>
    <x v="513"/>
    <x v="134"/>
    <x v="93"/>
    <x v="99"/>
    <x v="0"/>
    <x v="2"/>
    <x v="5"/>
    <x v="390"/>
    <x v="355"/>
    <x v="300"/>
    <x v="392"/>
    <x v="354"/>
    <x v="301"/>
    <x v="465"/>
  </r>
  <r>
    <x v="514"/>
    <x v="135"/>
    <x v="93"/>
    <x v="99"/>
    <x v="0"/>
    <x v="1"/>
    <x v="4"/>
    <x v="391"/>
    <x v="356"/>
    <x v="301"/>
    <x v="393"/>
    <x v="355"/>
    <x v="302"/>
    <x v="466"/>
  </r>
  <r>
    <x v="515"/>
    <x v="135"/>
    <x v="93"/>
    <x v="99"/>
    <x v="0"/>
    <x v="2"/>
    <x v="5"/>
    <x v="1"/>
    <x v="357"/>
    <x v="0"/>
    <x v="1"/>
    <x v="356"/>
    <x v="0"/>
    <x v="467"/>
  </r>
  <r>
    <x v="516"/>
    <x v="135"/>
    <x v="93"/>
    <x v="99"/>
    <x v="0"/>
    <x v="1"/>
    <x v="20"/>
    <x v="392"/>
    <x v="1"/>
    <x v="0"/>
    <x v="394"/>
    <x v="1"/>
    <x v="0"/>
    <x v="468"/>
  </r>
  <r>
    <x v="517"/>
    <x v="136"/>
    <x v="93"/>
    <x v="99"/>
    <x v="0"/>
    <x v="1"/>
    <x v="5"/>
    <x v="393"/>
    <x v="358"/>
    <x v="302"/>
    <x v="395"/>
    <x v="357"/>
    <x v="303"/>
    <x v="469"/>
  </r>
  <r>
    <x v="518"/>
    <x v="136"/>
    <x v="93"/>
    <x v="99"/>
    <x v="0"/>
    <x v="2"/>
    <x v="35"/>
    <x v="394"/>
    <x v="359"/>
    <x v="303"/>
    <x v="396"/>
    <x v="358"/>
    <x v="304"/>
    <x v="470"/>
  </r>
  <r>
    <x v="519"/>
    <x v="136"/>
    <x v="93"/>
    <x v="99"/>
    <x v="0"/>
    <x v="1"/>
    <x v="10"/>
    <x v="395"/>
    <x v="360"/>
    <x v="304"/>
    <x v="397"/>
    <x v="359"/>
    <x v="305"/>
    <x v="471"/>
  </r>
  <r>
    <x v="520"/>
    <x v="136"/>
    <x v="93"/>
    <x v="99"/>
    <x v="0"/>
    <x v="1"/>
    <x v="10"/>
    <x v="396"/>
    <x v="361"/>
    <x v="305"/>
    <x v="398"/>
    <x v="360"/>
    <x v="306"/>
    <x v="472"/>
  </r>
  <r>
    <x v="521"/>
    <x v="136"/>
    <x v="93"/>
    <x v="99"/>
    <x v="0"/>
    <x v="1"/>
    <x v="10"/>
    <x v="397"/>
    <x v="362"/>
    <x v="306"/>
    <x v="399"/>
    <x v="361"/>
    <x v="307"/>
    <x v="473"/>
  </r>
  <r>
    <x v="522"/>
    <x v="136"/>
    <x v="93"/>
    <x v="99"/>
    <x v="0"/>
    <x v="1"/>
    <x v="3"/>
    <x v="398"/>
    <x v="363"/>
    <x v="307"/>
    <x v="400"/>
    <x v="362"/>
    <x v="308"/>
    <x v="474"/>
  </r>
  <r>
    <x v="523"/>
    <x v="136"/>
    <x v="93"/>
    <x v="99"/>
    <x v="0"/>
    <x v="2"/>
    <x v="3"/>
    <x v="399"/>
    <x v="364"/>
    <x v="308"/>
    <x v="401"/>
    <x v="363"/>
    <x v="309"/>
    <x v="475"/>
  </r>
  <r>
    <x v="524"/>
    <x v="137"/>
    <x v="93"/>
    <x v="99"/>
    <x v="0"/>
    <x v="1"/>
    <x v="10"/>
    <x v="1"/>
    <x v="1"/>
    <x v="0"/>
    <x v="1"/>
    <x v="1"/>
    <x v="0"/>
    <x v="1"/>
  </r>
  <r>
    <x v="525"/>
    <x v="138"/>
    <x v="93"/>
    <x v="99"/>
    <x v="0"/>
    <x v="1"/>
    <x v="10"/>
    <x v="1"/>
    <x v="365"/>
    <x v="0"/>
    <x v="1"/>
    <x v="364"/>
    <x v="0"/>
    <x v="476"/>
  </r>
  <r>
    <x v="526"/>
    <x v="139"/>
    <x v="94"/>
    <x v="100"/>
    <x v="0"/>
    <x v="3"/>
    <x v="13"/>
    <x v="400"/>
    <x v="366"/>
    <x v="309"/>
    <x v="402"/>
    <x v="365"/>
    <x v="310"/>
    <x v="477"/>
  </r>
  <r>
    <x v="527"/>
    <x v="139"/>
    <x v="94"/>
    <x v="100"/>
    <x v="0"/>
    <x v="1"/>
    <x v="10"/>
    <x v="401"/>
    <x v="367"/>
    <x v="310"/>
    <x v="403"/>
    <x v="366"/>
    <x v="311"/>
    <x v="478"/>
  </r>
  <r>
    <x v="528"/>
    <x v="140"/>
    <x v="95"/>
    <x v="101"/>
    <x v="0"/>
    <x v="1"/>
    <x v="4"/>
    <x v="402"/>
    <x v="1"/>
    <x v="0"/>
    <x v="404"/>
    <x v="1"/>
    <x v="0"/>
    <x v="479"/>
  </r>
  <r>
    <x v="529"/>
    <x v="140"/>
    <x v="95"/>
    <x v="101"/>
    <x v="0"/>
    <x v="1"/>
    <x v="4"/>
    <x v="1"/>
    <x v="1"/>
    <x v="0"/>
    <x v="1"/>
    <x v="1"/>
    <x v="0"/>
    <x v="1"/>
  </r>
  <r>
    <x v="530"/>
    <x v="140"/>
    <x v="95"/>
    <x v="101"/>
    <x v="0"/>
    <x v="1"/>
    <x v="5"/>
    <x v="403"/>
    <x v="1"/>
    <x v="0"/>
    <x v="405"/>
    <x v="1"/>
    <x v="0"/>
    <x v="480"/>
  </r>
  <r>
    <x v="531"/>
    <x v="140"/>
    <x v="95"/>
    <x v="101"/>
    <x v="0"/>
    <x v="1"/>
    <x v="10"/>
    <x v="404"/>
    <x v="1"/>
    <x v="0"/>
    <x v="406"/>
    <x v="1"/>
    <x v="0"/>
    <x v="481"/>
  </r>
  <r>
    <x v="532"/>
    <x v="140"/>
    <x v="95"/>
    <x v="101"/>
    <x v="0"/>
    <x v="1"/>
    <x v="10"/>
    <x v="405"/>
    <x v="1"/>
    <x v="0"/>
    <x v="407"/>
    <x v="1"/>
    <x v="0"/>
    <x v="482"/>
  </r>
  <r>
    <x v="533"/>
    <x v="141"/>
    <x v="96"/>
    <x v="102"/>
    <x v="0"/>
    <x v="0"/>
    <x v="0"/>
    <x v="1"/>
    <x v="1"/>
    <x v="0"/>
    <x v="1"/>
    <x v="1"/>
    <x v="0"/>
    <x v="1"/>
  </r>
  <r>
    <x v="534"/>
    <x v="141"/>
    <x v="96"/>
    <x v="102"/>
    <x v="0"/>
    <x v="0"/>
    <x v="10"/>
    <x v="1"/>
    <x v="1"/>
    <x v="0"/>
    <x v="1"/>
    <x v="1"/>
    <x v="0"/>
    <x v="1"/>
  </r>
  <r>
    <x v="535"/>
    <x v="142"/>
    <x v="97"/>
    <x v="103"/>
    <x v="0"/>
    <x v="1"/>
    <x v="5"/>
    <x v="1"/>
    <x v="1"/>
    <x v="311"/>
    <x v="1"/>
    <x v="1"/>
    <x v="312"/>
    <x v="483"/>
  </r>
  <r>
    <x v="536"/>
    <x v="143"/>
    <x v="98"/>
    <x v="104"/>
    <x v="0"/>
    <x v="1"/>
    <x v="5"/>
    <x v="1"/>
    <x v="368"/>
    <x v="312"/>
    <x v="1"/>
    <x v="367"/>
    <x v="313"/>
    <x v="484"/>
  </r>
  <r>
    <x v="537"/>
    <x v="143"/>
    <x v="98"/>
    <x v="104"/>
    <x v="0"/>
    <x v="1"/>
    <x v="10"/>
    <x v="406"/>
    <x v="369"/>
    <x v="313"/>
    <x v="408"/>
    <x v="368"/>
    <x v="314"/>
    <x v="485"/>
  </r>
  <r>
    <x v="538"/>
    <x v="144"/>
    <x v="98"/>
    <x v="104"/>
    <x v="0"/>
    <x v="1"/>
    <x v="10"/>
    <x v="407"/>
    <x v="370"/>
    <x v="314"/>
    <x v="409"/>
    <x v="369"/>
    <x v="315"/>
    <x v="486"/>
  </r>
  <r>
    <x v="539"/>
    <x v="145"/>
    <x v="99"/>
    <x v="105"/>
    <x v="0"/>
    <x v="2"/>
    <x v="13"/>
    <x v="408"/>
    <x v="371"/>
    <x v="0"/>
    <x v="410"/>
    <x v="370"/>
    <x v="0"/>
    <x v="487"/>
  </r>
  <r>
    <x v="540"/>
    <x v="145"/>
    <x v="99"/>
    <x v="105"/>
    <x v="0"/>
    <x v="2"/>
    <x v="10"/>
    <x v="409"/>
    <x v="372"/>
    <x v="315"/>
    <x v="411"/>
    <x v="371"/>
    <x v="316"/>
    <x v="488"/>
  </r>
  <r>
    <x v="541"/>
    <x v="146"/>
    <x v="100"/>
    <x v="106"/>
    <x v="0"/>
    <x v="0"/>
    <x v="5"/>
    <x v="1"/>
    <x v="1"/>
    <x v="316"/>
    <x v="1"/>
    <x v="1"/>
    <x v="317"/>
    <x v="489"/>
  </r>
  <r>
    <x v="542"/>
    <x v="110"/>
    <x v="101"/>
    <x v="107"/>
    <x v="0"/>
    <x v="1"/>
    <x v="10"/>
    <x v="410"/>
    <x v="373"/>
    <x v="0"/>
    <x v="412"/>
    <x v="372"/>
    <x v="0"/>
    <x v="490"/>
  </r>
  <r>
    <x v="543"/>
    <x v="147"/>
    <x v="102"/>
    <x v="108"/>
    <x v="0"/>
    <x v="2"/>
    <x v="5"/>
    <x v="1"/>
    <x v="1"/>
    <x v="317"/>
    <x v="1"/>
    <x v="1"/>
    <x v="318"/>
    <x v="491"/>
  </r>
  <r>
    <x v="544"/>
    <x v="148"/>
    <x v="102"/>
    <x v="109"/>
    <x v="0"/>
    <x v="2"/>
    <x v="10"/>
    <x v="1"/>
    <x v="169"/>
    <x v="318"/>
    <x v="1"/>
    <x v="373"/>
    <x v="319"/>
    <x v="492"/>
  </r>
  <r>
    <x v="545"/>
    <x v="148"/>
    <x v="102"/>
    <x v="109"/>
    <x v="0"/>
    <x v="2"/>
    <x v="10"/>
    <x v="1"/>
    <x v="374"/>
    <x v="319"/>
    <x v="1"/>
    <x v="374"/>
    <x v="320"/>
    <x v="493"/>
  </r>
  <r>
    <x v="546"/>
    <x v="149"/>
    <x v="103"/>
    <x v="110"/>
    <x v="0"/>
    <x v="3"/>
    <x v="4"/>
    <x v="1"/>
    <x v="1"/>
    <x v="0"/>
    <x v="1"/>
    <x v="1"/>
    <x v="0"/>
    <x v="1"/>
  </r>
  <r>
    <x v="547"/>
    <x v="150"/>
    <x v="104"/>
    <x v="111"/>
    <x v="0"/>
    <x v="2"/>
    <x v="5"/>
    <x v="411"/>
    <x v="375"/>
    <x v="320"/>
    <x v="413"/>
    <x v="375"/>
    <x v="321"/>
    <x v="494"/>
  </r>
  <r>
    <x v="548"/>
    <x v="151"/>
    <x v="105"/>
    <x v="112"/>
    <x v="0"/>
    <x v="5"/>
    <x v="2"/>
    <x v="412"/>
    <x v="376"/>
    <x v="321"/>
    <x v="414"/>
    <x v="376"/>
    <x v="322"/>
    <x v="495"/>
  </r>
  <r>
    <x v="549"/>
    <x v="151"/>
    <x v="105"/>
    <x v="112"/>
    <x v="0"/>
    <x v="3"/>
    <x v="2"/>
    <x v="413"/>
    <x v="377"/>
    <x v="322"/>
    <x v="415"/>
    <x v="377"/>
    <x v="323"/>
    <x v="496"/>
  </r>
  <r>
    <x v="550"/>
    <x v="110"/>
    <x v="106"/>
    <x v="113"/>
    <x v="0"/>
    <x v="1"/>
    <x v="10"/>
    <x v="414"/>
    <x v="378"/>
    <x v="0"/>
    <x v="416"/>
    <x v="378"/>
    <x v="0"/>
    <x v="4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
  <r>
    <x v="0"/>
    <n v="3341.5012999999999"/>
    <n v="3428.0437000000002"/>
    <n v="1852.1968999999999"/>
    <n v="125970.25199999999"/>
    <n v="127615.61199999999"/>
    <n v="64977.618000000002"/>
    <n v="318563.48200000002"/>
    <n v="8621.7419000000009"/>
    <n v="2.5899256720325163E-2"/>
    <n v="1.3061496455528251E-2"/>
    <n v="1.2837760264796912E-2"/>
    <m/>
  </r>
  <r>
    <x v="1"/>
    <n v="1818.1666"/>
    <n v="2101.6939000000002"/>
    <n v="1233.5607"/>
    <n v="45975.839"/>
    <n v="53803.039499999999"/>
    <n v="29897.358"/>
    <n v="129676.2365"/>
    <n v="5153.4212000000007"/>
    <n v="0.15594132022885043"/>
    <n v="0.17024595244471774"/>
    <n v="-1.4304632215867308E-2"/>
    <m/>
  </r>
  <r>
    <x v="2"/>
    <n v="511.78089999999997"/>
    <n v="507.3048"/>
    <n v="295.71379999999999"/>
    <n v="23199.701799999999"/>
    <n v="21680.539100000002"/>
    <n v="11434.4841"/>
    <n v="56314.725000000006"/>
    <n v="1314.7995000000001"/>
    <n v="-8.7461255392688054E-3"/>
    <n v="-6.5481992531472855E-2"/>
    <n v="5.6735866992204051E-2"/>
    <m/>
  </r>
  <r>
    <x v="3"/>
    <n v="471.6447"/>
    <n v="448.00150000000002"/>
    <n v="276.14030000000002"/>
    <n v="13724.156499999999"/>
    <n v="13181.351199999999"/>
    <n v="8823.5241000000005"/>
    <n v="35729.031799999997"/>
    <n v="1195.7865000000002"/>
    <n v="-5.0129260436934789E-2"/>
    <n v="-3.9551086436532552E-2"/>
    <n v="-1.0578174000402236E-2"/>
    <m/>
  </r>
  <r>
    <x v="4"/>
    <n v="394.4622"/>
    <n v="406.93380000000002"/>
    <n v="320.21539999999999"/>
    <n v="18966.535500000002"/>
    <n v="19594.108899999999"/>
    <n v="15751.087"/>
    <n v="54311.731400000004"/>
    <n v="1121.6114"/>
    <n v="3.1616717647470462E-2"/>
    <n v="3.3088457298909302E-2"/>
    <n v="-1.4717396514388401E-3"/>
    <m/>
  </r>
  <r>
    <x v="5"/>
    <n v="447.58159999999998"/>
    <n v="351.95119999999997"/>
    <n v="140.74770000000001"/>
    <n v="23420.140299999999"/>
    <n v="17186.2664"/>
    <n v="6668.4120999999996"/>
    <n v="47274.818800000001"/>
    <n v="940.28049999999996"/>
    <n v="-0.21366025770496377"/>
    <n v="-0.26617577094531747"/>
    <n v="5.2515513240353695E-2"/>
    <m/>
  </r>
  <r>
    <x v="6"/>
    <n v="332.01650000000001"/>
    <n v="406.09359999999998"/>
    <n v="185.505"/>
    <n v="9811.9591"/>
    <n v="12002.149100000001"/>
    <n v="5143.8028000000004"/>
    <n v="26957.911000000004"/>
    <n v="923.61509999999998"/>
    <n v="0.22311270674800793"/>
    <n v="0.22321638091622298"/>
    <n v="-1.0367416821505104E-4"/>
    <m/>
  </r>
  <r>
    <x v="7"/>
    <n v="306.92559999999997"/>
    <n v="309.65649999999999"/>
    <n v="149.7295"/>
    <n v="16220.671399999999"/>
    <n v="15817.5867"/>
    <n v="7239.5672999999997"/>
    <n v="39277.825400000002"/>
    <n v="766.3116"/>
    <n v="8.8975960297870884E-3"/>
    <n v="-2.485006261824646E-2"/>
    <n v="3.374765864803355E-2"/>
    <m/>
  </r>
  <r>
    <x v="8"/>
    <n v="396.2448"/>
    <n v="253.72479999999999"/>
    <n v="99.128500000000003"/>
    <n v="23444.316599999998"/>
    <n v="14396.6903"/>
    <n v="5148.9142000000002"/>
    <n v="42989.9211"/>
    <n v="749.09810000000004"/>
    <n v="-0.35967664433703611"/>
    <n v="-0.38591981393051134"/>
    <n v="2.6243169593475224E-2"/>
    <m/>
  </r>
  <r>
    <x v="9"/>
    <n v="277.92669999999998"/>
    <n v="310.41480000000001"/>
    <n v="125.3454"/>
    <n v="8929.9617999999991"/>
    <n v="9775.1643000000004"/>
    <n v="3632.8901999999998"/>
    <n v="22338.016300000003"/>
    <n v="713.68690000000004"/>
    <n v="0.11689449052573946"/>
    <n v="9.46479412711487E-2"/>
    <n v="2.2246549254590756E-2"/>
    <m/>
  </r>
  <r>
    <x v="10"/>
    <n v="230.7484"/>
    <n v="299.01389999999998"/>
    <n v="143.24440000000001"/>
    <n v="11792.665300000001"/>
    <n v="15508.3496"/>
    <n v="7115.8298999999997"/>
    <n v="34416.844799999999"/>
    <n v="673.00670000000002"/>
    <n v="0.29584387150680125"/>
    <n v="0.31508435162659953"/>
    <n v="-1.9240480119798287E-2"/>
    <m/>
  </r>
  <r>
    <x v="11"/>
    <n v="220.27789999999999"/>
    <n v="271.99849999999998"/>
    <n v="141.2388"/>
    <n v="1748.9223999999999"/>
    <n v="2358.5315000000001"/>
    <n v="1240.7411999999999"/>
    <n v="5348.1951000000008"/>
    <n v="633.51519999999994"/>
    <n v="0.23479704500542267"/>
    <n v="0.34856269208971202"/>
    <n v="-0.11376564708428935"/>
    <m/>
  </r>
  <r>
    <x v="12"/>
    <n v="270.87889999999999"/>
    <n v="171.8775"/>
    <n v="82.344399999999993"/>
    <n v="16349.0191"/>
    <n v="10296.382799999999"/>
    <n v="4756.37"/>
    <n v="31401.771899999996"/>
    <n v="525.10079999999994"/>
    <n v="-0.36548213980490912"/>
    <n v="-0.37021403320765589"/>
    <n v="4.7318934027467674E-3"/>
    <m/>
  </r>
  <r>
    <x v="13"/>
    <n v="192.72300000000001"/>
    <n v="183.24340000000001"/>
    <n v="97.209599999999995"/>
    <n v="7900.9691000000003"/>
    <n v="6838.8454000000002"/>
    <n v="3264.5805999999998"/>
    <n v="18004.395100000002"/>
    <n v="473.17600000000004"/>
    <n v="-4.9187694255485873E-2"/>
    <n v="-0.13442954738299129"/>
    <n v="8.5241853127505415E-2"/>
    <m/>
  </r>
  <r>
    <x v="14"/>
    <n v="168.57919999999999"/>
    <n v="187.82560000000001"/>
    <n v="100.9211"/>
    <n v="4051.7896000000001"/>
    <n v="4420.8852999999999"/>
    <n v="2421.1071000000002"/>
    <n v="10893.781999999999"/>
    <n v="457.32590000000005"/>
    <n v="0.11416829597008424"/>
    <n v="9.1094488223179171E-2"/>
    <n v="2.3073807746905067E-2"/>
    <m/>
  </r>
  <r>
    <x v="15"/>
    <n v="225.05289999999999"/>
    <n v="160.9256"/>
    <n v="66.089799999999997"/>
    <n v="14096.87"/>
    <n v="9843.2201000000005"/>
    <n v="3643.3836000000001"/>
    <n v="27583.473700000002"/>
    <n v="452.06830000000002"/>
    <n v="-0.28494322890307122"/>
    <n v="-0.30174428082262233"/>
    <n v="1.6801051919551113E-2"/>
    <m/>
  </r>
  <r>
    <x v="16"/>
    <n v="138.01410000000001"/>
    <n v="157.21960000000001"/>
    <n v="81.463999999999999"/>
    <n v="7869.3761999999997"/>
    <n v="8660.3381000000008"/>
    <n v="4114.0384000000004"/>
    <n v="20643.752700000001"/>
    <n v="376.6977"/>
    <n v="0.13915607173469957"/>
    <n v="0.10051138487952847"/>
    <n v="3.8644686855171098E-2"/>
    <m/>
  </r>
  <r>
    <x v="17"/>
    <n v="154.93469999999999"/>
    <n v="154.98240000000001"/>
    <n v="45.514299999999999"/>
    <n v="4738.4238999999998"/>
    <n v="5792.3320000000003"/>
    <n v="1599.6686"/>
    <n v="12130.424500000001"/>
    <n v="355.4314"/>
    <n v="3.0787163882603627E-4"/>
    <n v="0.22241743715668846"/>
    <n v="-0.22210956551786243"/>
    <m/>
  </r>
  <r>
    <x v="18"/>
    <n v="110.6263"/>
    <n v="168.029"/>
    <n v="45.025399999999998"/>
    <n v="6418.4327000000003"/>
    <n v="9586.4138000000003"/>
    <n v="2536.5643"/>
    <n v="18541.410799999998"/>
    <n v="323.6807"/>
    <n v="0.51888836560564711"/>
    <n v="0.49357549546324603"/>
    <n v="2.5312870142401078E-2"/>
    <m/>
  </r>
  <r>
    <x v="19"/>
    <n v="137.1788"/>
    <n v="116.5658"/>
    <n v="65.912899999999993"/>
    <n v="7929.3796000000002"/>
    <n v="6740.5910999999996"/>
    <n v="3524.3125"/>
    <n v="18194.283199999998"/>
    <n v="319.65749999999997"/>
    <n v="-0.15026374337725654"/>
    <n v="-0.14992200650855467"/>
    <n v="-3.4173686870186959E-4"/>
    <m/>
  </r>
  <r>
    <x v="20"/>
    <n v="0"/>
    <n v="170.6652"/>
    <n v="101.533"/>
    <n v="0"/>
    <n v="10947.355799999999"/>
    <n v="5713.8589000000002"/>
    <n v="16661.2147"/>
    <n v="272.19819999999999"/>
    <n v="0"/>
    <n v="-0.40507496548798466"/>
    <n v="0.40507496548798466"/>
    <m/>
  </r>
  <r>
    <x v="21"/>
    <n v="27.842099999999999"/>
    <n v="189.22739999999999"/>
    <n v="44.134900000000002"/>
    <n v="1267.7428"/>
    <n v="11056.5895"/>
    <n v="2900.9742999999999"/>
    <n v="15225.3066"/>
    <n v="261.20439999999996"/>
    <n v="5.7964485437520876"/>
    <n v="-0.7667626358550611"/>
    <n v="6.5632111796071486"/>
    <m/>
  </r>
  <r>
    <x v="22"/>
    <n v="104.66630000000001"/>
    <n v="94.425600000000003"/>
    <n v="45.948500000000003"/>
    <n v="5728.6422000000002"/>
    <n v="5002.3734000000004"/>
    <n v="2228.9189999999999"/>
    <n v="12959.934600000001"/>
    <n v="245.04040000000001"/>
    <n v="-9.7841425559134151E-2"/>
    <n v="-0.51338937745696078"/>
    <n v="0.41554795189782662"/>
    <m/>
  </r>
  <r>
    <x v="23"/>
    <n v="113.30880000000001"/>
    <n v="81.313699999999997"/>
    <n v="48.297400000000003"/>
    <n v="1483.433"/>
    <n v="1045.7734"/>
    <n v="598.3963"/>
    <n v="3127.6026999999999"/>
    <n v="242.91990000000001"/>
    <n v="-0.28237083086221021"/>
    <n v="-0.40603612921315835"/>
    <n v="0.12366529835094814"/>
    <m/>
  </r>
  <r>
    <x v="24"/>
    <n v="65.928700000000006"/>
    <n v="83.733099999999993"/>
    <n v="33.060899999999997"/>
    <n v="4636.9623000000001"/>
    <n v="5284.2040999999999"/>
    <n v="2040.6587"/>
    <n v="11961.8251"/>
    <n v="182.7227"/>
    <n v="0.27005537800684659"/>
    <n v="-0.60516331056655015"/>
    <n v="0.8752186885733968"/>
    <m/>
  </r>
  <r>
    <x v="25"/>
    <n v="36.0259"/>
    <n v="55.229399999999998"/>
    <n v="85.139799999999994"/>
    <n v="1024.5518"/>
    <n v="1623.7085999999999"/>
    <n v="2439.0855000000001"/>
    <n v="5087.3459000000003"/>
    <n v="176.39510000000001"/>
    <n v="0.53304705781118578"/>
    <n v="0.54156662936769173"/>
    <n v="-8.519571556505956E-3"/>
    <m/>
  </r>
  <r>
    <x v="26"/>
    <n v="113.4864"/>
    <n v="49.046199999999999"/>
    <n v="12.333"/>
    <n v="2663.5762"/>
    <n v="1050.6376"/>
    <n v="244.38679999999999"/>
    <n v="3958.6005999999998"/>
    <n v="174.8656"/>
    <n v="-0.56782310479493581"/>
    <n v="-0.74854321027928772"/>
    <n v="0.18072010548435191"/>
    <m/>
  </r>
  <r>
    <x v="27"/>
    <n v="14.5854"/>
    <n v="84.660600000000002"/>
    <n v="67.934799999999996"/>
    <n v="930.23509999999999"/>
    <n v="4606.9654"/>
    <n v="3467.3735000000001"/>
    <n v="9004.5740000000005"/>
    <n v="167.1808"/>
    <n v="4.8044757085852972"/>
    <n v="-0.19756297498482181"/>
    <n v="5.0020386835701194"/>
    <m/>
  </r>
  <r>
    <x v="28"/>
    <n v="26.3474"/>
    <n v="72.5916"/>
    <n v="62.0075"/>
    <n v="920.46799999999996"/>
    <n v="3084.2015999999999"/>
    <n v="2719.9431"/>
    <n v="6724.6126999999997"/>
    <n v="160.94649999999999"/>
    <n v="1.7551712882485557"/>
    <n v="-0.14580337118895298"/>
    <n v="1.9009746594375088"/>
    <m/>
  </r>
  <r>
    <x v="29"/>
    <n v="55.783799999999999"/>
    <n v="57.806899999999999"/>
    <n v="19.850100000000001"/>
    <n v="3648.0401999999999"/>
    <n v="4041.2568000000001"/>
    <n v="1253.7541000000001"/>
    <n v="8943.0511000000006"/>
    <n v="133.4408"/>
    <n v="3.626680147282902E-2"/>
    <n v="-0.65661365684719297"/>
    <n v="0.69288045832002199"/>
    <m/>
  </r>
  <r>
    <x v="30"/>
    <n v="76.472300000000004"/>
    <n v="36.366500000000002"/>
    <n v="17.4222"/>
    <n v="3099.3413999999998"/>
    <n v="1512.1391000000001"/>
    <n v="684.81539999999995"/>
    <n v="5296.2958999999992"/>
    <n v="130.261"/>
    <n v="-0.5244487219555316"/>
    <n v="-0.52092722698087524"/>
    <n v="-3.5214949746563695E-3"/>
    <m/>
  </r>
  <r>
    <x v="31"/>
    <n v="54.988799999999998"/>
    <n v="43.223300000000002"/>
    <n v="24.458100000000002"/>
    <n v="1994.8981000000001"/>
    <n v="1640.5911000000001"/>
    <n v="925.65359999999998"/>
    <n v="4561.1427999999996"/>
    <n v="122.67019999999999"/>
    <n v="-0.21396175221135932"/>
    <n v="-0.43414547246508245"/>
    <n v="0.22018372025372313"/>
    <m/>
  </r>
  <r>
    <x v="32"/>
    <n v="64.446200000000005"/>
    <n v="43.039900000000003"/>
    <n v="13.16"/>
    <n v="4048.3544000000002"/>
    <n v="2244.0173"/>
    <n v="741.50080000000003"/>
    <n v="7033.8724999999995"/>
    <n v="120.6461"/>
    <n v="-0.33215767570469634"/>
    <n v="-0.69423720780020404"/>
    <n v="0.36207953209550769"/>
    <m/>
  </r>
  <r>
    <x v="33"/>
    <n v="80.961600000000004"/>
    <n v="26.590599999999998"/>
    <n v="4.7952000000000004"/>
    <n v="4767.0126"/>
    <n v="1476.0722000000001"/>
    <n v="260.76119999999997"/>
    <n v="6503.8460000000005"/>
    <n v="112.34739999999999"/>
    <n v="-0.6715652852710422"/>
    <n v="-0.81966559611291201"/>
    <n v="0.14810031084186981"/>
    <m/>
  </r>
  <r>
    <x v="34"/>
    <n v="0"/>
    <n v="71.560299999999998"/>
    <n v="32.9009"/>
    <n v="0"/>
    <n v="4107.0888999999997"/>
    <n v="1795.3303000000001"/>
    <n v="5902.4192000000003"/>
    <n v="104.46119999999999"/>
    <n v="0"/>
    <n v="-0.54023529806331161"/>
    <n v="0.54023529806331161"/>
    <m/>
  </r>
  <r>
    <x v="35"/>
    <n v="57.485300000000002"/>
    <n v="39.476199999999999"/>
    <n v="6.7363999999999997"/>
    <n v="3117.2665999999999"/>
    <n v="2098.0985000000001"/>
    <n v="314.59030000000001"/>
    <n v="5529.9553999999998"/>
    <n v="103.6979"/>
    <n v="-0.31328183031140139"/>
    <n v="-0.82935540908192795"/>
    <n v="0.51607357877052662"/>
    <m/>
  </r>
  <r>
    <x v="36"/>
    <n v="53.159100000000002"/>
    <n v="28.811599999999999"/>
    <n v="10.3498"/>
    <n v="3425.3593000000001"/>
    <n v="1685.9922999999999"/>
    <n v="587.04769999999996"/>
    <n v="5698.3993"/>
    <n v="92.320499999999996"/>
    <n v="-0.45801189260164304"/>
    <n v="-0.64077663163448051"/>
    <n v="0.18276473903283746"/>
    <m/>
  </r>
  <r>
    <x v="37"/>
    <n v="19.4955"/>
    <n v="39.761400000000002"/>
    <n v="26.269500000000001"/>
    <n v="286.0496"/>
    <n v="652.10860000000002"/>
    <n v="499.83789999999999"/>
    <n v="1437.9961000000001"/>
    <n v="85.526399999999995"/>
    <n v="1.0395168115719013"/>
    <n v="-0.33932155306402695"/>
    <n v="1.3788383646359283"/>
    <m/>
  </r>
  <r>
    <x v="38"/>
    <n v="20.423200000000001"/>
    <n v="51.941600000000001"/>
    <n v="13.0914"/>
    <n v="1229.9928"/>
    <n v="2594.8521000000001"/>
    <n v="721.54930000000002"/>
    <n v="4546.3941999999997"/>
    <n v="85.456199999999995"/>
    <n v="1.5432645226996748"/>
    <n v="-0.74795924653842005"/>
    <n v="2.291223769238095"/>
    <m/>
  </r>
  <r>
    <x v="39"/>
    <n v="41.451799999999999"/>
    <n v="23.849699999999999"/>
    <n v="14.791499999999999"/>
    <n v="1547.7049999999999"/>
    <n v="1096.4466"/>
    <n v="817.30290000000002"/>
    <n v="3461.4545000000003"/>
    <n v="80.093000000000004"/>
    <n v="-0.42464018450344737"/>
    <n v="-0.37980351954112629"/>
    <n v="-4.4836664962321082E-2"/>
    <m/>
  </r>
  <r>
    <x v="40"/>
    <n v="38.935099999999998"/>
    <n v="24.638200000000001"/>
    <n v="13.2829"/>
    <n v="1028.7485999999999"/>
    <n v="660.65030000000002"/>
    <n v="408.45429999999999"/>
    <n v="2097.8532"/>
    <n v="76.856200000000001"/>
    <n v="-0.36719823501159615"/>
    <n v="-0.46088188260506047"/>
    <n v="9.3683647593464314E-2"/>
    <m/>
  </r>
  <r>
    <x v="41"/>
    <n v="0.25940000000000002"/>
    <n v="52.957299999999996"/>
    <n v="23.471399999999999"/>
    <n v="15.5664"/>
    <n v="2545.1428999999998"/>
    <n v="1037.0354"/>
    <n v="3597.7447000000002"/>
    <n v="76.688099999999991"/>
    <n v="203.15304548959134"/>
    <n v="-0.55678631652293453"/>
    <n v="203.70983180611427"/>
    <m/>
  </r>
  <r>
    <x v="42"/>
    <n v="42.300199999999997"/>
    <n v="20.829499999999999"/>
    <n v="4.8948"/>
    <n v="2912.5239999999999"/>
    <n v="1143.2672"/>
    <n v="245.0727"/>
    <n v="4300.8638999999994"/>
    <n v="68.024500000000003"/>
    <n v="-0.5075791603822204"/>
    <n v="-0.7650063611704554"/>
    <n v="0.257427200788235"/>
    <m/>
  </r>
  <r>
    <x v="43"/>
    <n v="58.588999999999999"/>
    <n v="8.2077000000000009"/>
    <n v="0.42030000000000001"/>
    <n v="1297.0438999999999"/>
    <n v="153.7491"/>
    <n v="7.6287000000000003"/>
    <n v="1458.4216999999999"/>
    <n v="67.216999999999999"/>
    <n v="-0.85991056341634087"/>
    <n v="-0.94879198801125775"/>
    <n v="8.888142459491688E-2"/>
    <m/>
  </r>
  <r>
    <x v="44"/>
    <n v="37.596899999999998"/>
    <n v="28.031099999999999"/>
    <n v="1.2394000000000001"/>
    <n v="2231.0284000000001"/>
    <n v="1606.1090999999999"/>
    <n v="64.665899999999993"/>
    <n v="3901.8033999999998"/>
    <n v="66.867400000000004"/>
    <n v="-0.25443055145504018"/>
    <n v="-0.95578482471255144"/>
    <n v="0.70135427325751132"/>
    <m/>
  </r>
  <r>
    <x v="45"/>
    <n v="15.6523"/>
    <n v="38.264400000000002"/>
    <n v="12.5626"/>
    <n v="709.8646"/>
    <n v="1422.4413"/>
    <n v="440.17869999999999"/>
    <n v="2572.4845999999998"/>
    <n v="66.479300000000009"/>
    <n v="1.4446503069836383"/>
    <n v="-0.67168961227668544"/>
    <n v="2.1163399192603238"/>
    <m/>
  </r>
  <r>
    <x v="46"/>
    <n v="0"/>
    <n v="13.1921"/>
    <n v="52.811100000000003"/>
    <n v="0"/>
    <n v="565.53909999999996"/>
    <n v="2091.2260999999999"/>
    <n v="2656.7651999999998"/>
    <n v="66.003200000000007"/>
    <n v="0"/>
    <n v="3.0032367856520188"/>
    <n v="-3.0032367856520188"/>
    <m/>
  </r>
  <r>
    <x v="47"/>
    <n v="23.7455"/>
    <n v="29.3566"/>
    <n v="11.906700000000001"/>
    <n v="713.0412"/>
    <n v="960.05740000000003"/>
    <n v="372.1223"/>
    <n v="2045.2209"/>
    <n v="65.008800000000008"/>
    <n v="0.23630161504285024"/>
    <n v="-0.59441147816845274"/>
    <n v="0.83071309321130293"/>
    <m/>
  </r>
  <r>
    <x v="48"/>
    <n v="27.677700000000002"/>
    <n v="22.1416"/>
    <n v="9.0610999999999997"/>
    <n v="1974.3932"/>
    <n v="1482.2675999999999"/>
    <n v="601.1807"/>
    <n v="4057.8414999999995"/>
    <n v="58.880399999999995"/>
    <n v="-0.2000202328950744"/>
    <n v="-0.5907657983162915"/>
    <n v="0.39074556542121708"/>
    <m/>
  </r>
  <r>
    <x v="49"/>
    <n v="0"/>
    <n v="1.8077000000000001"/>
    <n v="54.250700000000002"/>
    <n v="0"/>
    <n v="127.6024"/>
    <n v="2956.24"/>
    <n v="3083.8424"/>
    <n v="56.058399999999999"/>
    <n v="0"/>
    <n v="29.010897825966698"/>
    <n v="-29.010897825966698"/>
    <m/>
  </r>
  <r>
    <x v="50"/>
    <n v="34.924300000000002"/>
    <n v="13.6989"/>
    <n v="2.1793999999999998"/>
    <n v="2361.7521000000002"/>
    <n v="920.36559999999997"/>
    <n v="151.65029999999999"/>
    <n v="3433.768"/>
    <n v="50.802600000000005"/>
    <n v="-0.60775448613143279"/>
    <n v="-0.84090693413339768"/>
    <n v="0.23315244800196488"/>
    <m/>
  </r>
  <r>
    <x v="51"/>
    <n v="20.5808"/>
    <n v="16.885999999999999"/>
    <n v="8.2624999999999993"/>
    <n v="116.04819999999999"/>
    <n v="107.1939"/>
    <n v="44.347099999999998"/>
    <n v="267.58920000000001"/>
    <n v="45.729299999999995"/>
    <n v="-0.17952654901655915"/>
    <n v="-0.51068932843775916"/>
    <n v="0.33116277942119998"/>
    <m/>
  </r>
  <r>
    <x v="52"/>
    <n v="26.606400000000001"/>
    <n v="12.7163"/>
    <n v="6.1870000000000003"/>
    <n v="773.97839999999997"/>
    <n v="348.9753"/>
    <n v="165.18170000000001"/>
    <n v="1288.1354000000001"/>
    <n v="45.509699999999995"/>
    <n v="-0.52205860244151781"/>
    <n v="-0.51345910367009273"/>
    <n v="-8.5994987714250737E-3"/>
    <m/>
  </r>
  <r>
    <x v="53"/>
    <n v="25.839099999999998"/>
    <n v="9.0121000000000002"/>
    <n v="10.0204"/>
    <n v="1539.4739"/>
    <n v="509.45670000000001"/>
    <n v="585.52229999999997"/>
    <n v="2634.4529000000002"/>
    <n v="44.871600000000001"/>
    <n v="-0.65122237229624869"/>
    <n v="0.11188291297255913"/>
    <n v="-0.76310528526880783"/>
    <m/>
  </r>
  <r>
    <x v="54"/>
    <n v="14.2293"/>
    <n v="21.789000000000001"/>
    <n v="7.9466000000000001"/>
    <n v="761.61429999999996"/>
    <n v="1129.7994000000001"/>
    <n v="412.24349999999998"/>
    <n v="2303.6572000000001"/>
    <n v="43.9649"/>
    <n v="0.53127701292403706"/>
    <n v="-0.63529303777135249"/>
    <n v="1.1665700506953895"/>
    <m/>
  </r>
  <r>
    <x v="55"/>
    <n v="9.5548999999999999"/>
    <n v="16.797000000000001"/>
    <n v="14.8012"/>
    <n v="338.9522"/>
    <n v="643.8528"/>
    <n v="454.05590000000001"/>
    <n v="1436.8609000000001"/>
    <n v="41.153100000000002"/>
    <n v="0.75794618468011188"/>
    <n v="-0.11881883669702928"/>
    <n v="0.87676502137714118"/>
    <m/>
  </r>
  <r>
    <x v="56"/>
    <n v="30.201799999999999"/>
    <n v="8.3574999999999999"/>
    <n v="2.2814000000000001"/>
    <n v="1834.3515"/>
    <n v="456.8947"/>
    <n v="133.4556"/>
    <n v="2424.7017999999998"/>
    <n v="40.840699999999998"/>
    <n v="-0.72327808276327898"/>
    <n v="-0.72702363146874072"/>
    <n v="3.745548705461732E-3"/>
    <m/>
  </r>
  <r>
    <x v="57"/>
    <n v="0"/>
    <n v="19.032699999999998"/>
    <n v="19.713699999999999"/>
    <n v="0"/>
    <n v="1111.0531000000001"/>
    <n v="1063.3096"/>
    <n v="2174.3627000000001"/>
    <n v="38.746399999999994"/>
    <n v="0"/>
    <n v="3.5780525096281712E-2"/>
    <n v="-3.5780525096281712E-2"/>
    <m/>
  </r>
  <r>
    <x v="58"/>
    <n v="18.511199999999999"/>
    <n v="14.1861"/>
    <n v="5.5843999999999996"/>
    <n v="978.4941"/>
    <n v="734.42629999999997"/>
    <n v="305.17070000000001"/>
    <n v="2018.0911000000001"/>
    <n v="38.281700000000001"/>
    <n v="-0.23364773758589391"/>
    <n v="-0.6063470580356829"/>
    <n v="0.37269932044978898"/>
    <m/>
  </r>
  <r>
    <x v="59"/>
    <n v="34.405999999999999"/>
    <n v="2.0082"/>
    <n v="5.9400000000000001E-2"/>
    <n v="1027.0906"/>
    <n v="44.666600000000003"/>
    <n v="0.51659999999999995"/>
    <n v="1072.2737999999999"/>
    <n v="36.473599999999998"/>
    <n v="-0.9416322734406789"/>
    <n v="-0.97042127278159551"/>
    <n v="2.878899934091661E-2"/>
    <m/>
  </r>
  <r>
    <x v="60"/>
    <n v="11.181699999999999"/>
    <n v="15.1816"/>
    <n v="9.6165000000000003"/>
    <n v="586.38080000000002"/>
    <n v="752.94479999999999"/>
    <n v="438.76389999999998"/>
    <n v="1778.0895"/>
    <n v="35.979799999999997"/>
    <n v="0.35771841491007633"/>
    <n v="-0.36656874110765658"/>
    <n v="0.72428715601773286"/>
    <m/>
  </r>
  <r>
    <x v="61"/>
    <n v="21.1371"/>
    <n v="8.0383999999999993"/>
    <n v="4.7045000000000003"/>
    <n v="1185.9459999999999"/>
    <n v="460.75880000000001"/>
    <n v="246.6643"/>
    <n v="1893.3690999999999"/>
    <n v="33.880000000000003"/>
    <n v="-0.6197018512473329"/>
    <n v="-0.41474671576433114"/>
    <n v="-0.20495513548300176"/>
    <m/>
  </r>
  <r>
    <x v="62"/>
    <n v="12.300599999999999"/>
    <n v="12.544"/>
    <n v="8.6647999999999996"/>
    <n v="127.5915"/>
    <n v="142.6704"/>
    <n v="110.39149999999999"/>
    <n v="380.65339999999998"/>
    <n v="33.509399999999999"/>
    <n v="1.9787652634830916E-2"/>
    <n v="-0.30924744897959189"/>
    <n v="0.32903510161442279"/>
    <m/>
  </r>
  <r>
    <x v="63"/>
    <n v="20.231999999999999"/>
    <n v="11.313700000000001"/>
    <n v="0"/>
    <n v="583.67819999999995"/>
    <n v="345.19709999999998"/>
    <n v="0"/>
    <n v="928.87529999999992"/>
    <n v="31.5457"/>
    <n v="-0.44080170027678917"/>
    <n v="-1"/>
    <n v="0.55919829972321078"/>
    <m/>
  </r>
  <r>
    <x v="64"/>
    <n v="8.6231000000000009"/>
    <n v="12.938800000000001"/>
    <n v="5.3171999999999997"/>
    <n v="434.61660000000001"/>
    <n v="658.82550000000003"/>
    <n v="232.69980000000001"/>
    <n v="1326.1419000000001"/>
    <n v="26.879100000000001"/>
    <n v="0.50048126543818339"/>
    <n v="-0.5890499891798312"/>
    <n v="1.0895312546180147"/>
    <m/>
  </r>
  <r>
    <x v="65"/>
    <n v="0"/>
    <n v="10.2052"/>
    <n v="14.4321"/>
    <n v="0"/>
    <n v="569.2527"/>
    <n v="716.4248"/>
    <n v="1285.6775"/>
    <n v="24.6373"/>
    <n v="0"/>
    <n v="0.41419080468780628"/>
    <n v="-0.41419080468780628"/>
    <m/>
  </r>
  <r>
    <x v="66"/>
    <n v="17.142399999999999"/>
    <n v="6.4819000000000004"/>
    <n v="0.25540000000000002"/>
    <n v="938.0729"/>
    <n v="380.07749999999999"/>
    <n v="12.7729"/>
    <n v="1330.9232999999999"/>
    <n v="23.8797"/>
    <n v="-0.62187908344222509"/>
    <n v="-0.96059797281661241"/>
    <n v="0.33871888937438732"/>
    <m/>
  </r>
  <r>
    <x v="67"/>
    <n v="0"/>
    <n v="0.06"/>
    <n v="22.166699999999999"/>
    <n v="0"/>
    <n v="3.96"/>
    <n v="1353.54"/>
    <n v="1357.5"/>
    <n v="22.226699999999997"/>
    <n v="0"/>
    <n v="368.44499999999999"/>
    <n v="-368.44499999999999"/>
    <m/>
  </r>
  <r>
    <x v="68"/>
    <n v="5.7763"/>
    <n v="9.2917000000000005"/>
    <n v="0.95250000000000001"/>
    <n v="311.05720000000002"/>
    <n v="539.97619999999995"/>
    <n v="61.781700000000001"/>
    <n v="912.81510000000003"/>
    <n v="16.020500000000002"/>
    <n v="0.60859027405086308"/>
    <n v="-0.89748915698957132"/>
    <n v="1.5060794310404344"/>
    <m/>
  </r>
  <r>
    <x v="69"/>
    <n v="2.9096000000000002"/>
    <n v="6.0198"/>
    <n v="5.5109000000000004"/>
    <n v="55.366500000000002"/>
    <n v="108.4705"/>
    <n v="98.710099999999997"/>
    <n v="262.5471"/>
    <n v="14.440300000000001"/>
    <n v="1.0689441847676655"/>
    <n v="-8.4537692282135563E-2"/>
    <n v="1.153481877049801"/>
    <m/>
  </r>
  <r>
    <x v="70"/>
    <n v="12.6196"/>
    <n v="0.30170000000000002"/>
    <n v="0"/>
    <n v="774.8818"/>
    <n v="18.222799999999999"/>
    <n v="0"/>
    <n v="793.1046"/>
    <n v="12.9213"/>
    <n v="-0.97609274461948081"/>
    <n v="-1"/>
    <n v="2.3907255380519188E-2"/>
    <m/>
  </r>
  <r>
    <x v="71"/>
    <n v="12.684200000000001"/>
    <n v="0"/>
    <n v="0"/>
    <n v="511.87400000000002"/>
    <n v="0"/>
    <n v="0"/>
    <n v="511.87400000000002"/>
    <n v="12.684200000000001"/>
    <n v="-1"/>
    <n v="0"/>
    <n v="-1"/>
    <m/>
  </r>
  <r>
    <x v="72"/>
    <n v="3.3401000000000001"/>
    <n v="5.1974"/>
    <n v="3.7094999999999998"/>
    <n v="168.65979999999999"/>
    <n v="278.62639999999999"/>
    <n v="222.0746"/>
    <n v="669.36080000000004"/>
    <n v="12.247"/>
    <n v="0.55606119577258162"/>
    <n v="-0.28627775426174629"/>
    <n v="0.8423389500343279"/>
    <m/>
  </r>
  <r>
    <x v="73"/>
    <n v="4.0102000000000002"/>
    <n v="6.6558000000000002"/>
    <n v="0"/>
    <n v="83.551900000000003"/>
    <n v="115.5257"/>
    <n v="0"/>
    <n v="199.07760000000002"/>
    <n v="10.666"/>
    <n v="0.65971771981447302"/>
    <n v="-1"/>
    <n v="1.659717719814473"/>
    <m/>
  </r>
  <r>
    <x v="74"/>
    <n v="4.6416000000000004"/>
    <n v="5.1684999999999999"/>
    <n v="0.78010000000000002"/>
    <n v="142.55420000000001"/>
    <n v="145.93899999999999"/>
    <n v="21.435099999999998"/>
    <n v="309.92829999999998"/>
    <n v="10.590199999999999"/>
    <n v="0.11351689072733528"/>
    <n v="-0.84906646028828481"/>
    <n v="0.96258335101562009"/>
    <m/>
  </r>
  <r>
    <x v="75"/>
    <n v="0"/>
    <n v="4.4634999999999998"/>
    <n v="5.9009999999999998"/>
    <n v="0"/>
    <n v="231.33420000000001"/>
    <n v="348.19819999999999"/>
    <n v="579.53240000000005"/>
    <n v="10.3645"/>
    <n v="0"/>
    <n v="0.32205668197602777"/>
    <n v="-0.32205668197602777"/>
    <m/>
  </r>
  <r>
    <x v="76"/>
    <n v="8.6900999999999993"/>
    <n v="1.1979"/>
    <n v="0.1404"/>
    <n v="161.07130000000001"/>
    <n v="29.083500000000001"/>
    <n v="1.4401999999999999"/>
    <n v="191.59500000000003"/>
    <n v="10.0284"/>
    <n v="-0.86215348500017264"/>
    <n v="-0.88279489105935383"/>
    <n v="2.0641406059181189E-2"/>
    <m/>
  </r>
  <r>
    <x v="77"/>
    <n v="9.2643000000000004"/>
    <n v="0.1729"/>
    <n v="3.0000000000000001E-3"/>
    <n v="358.95979999999997"/>
    <n v="4.9572000000000003"/>
    <n v="7.1999999999999995E-2"/>
    <n v="363.98899999999998"/>
    <n v="9.4402000000000008"/>
    <n v="-0.98133696015888949"/>
    <n v="-0.9826489300173511"/>
    <n v="1.3119698584616035E-3"/>
    <m/>
  </r>
  <r>
    <x v="78"/>
    <n v="8.2482000000000006"/>
    <n v="0.97330000000000005"/>
    <n v="0"/>
    <n v="505.78250000000003"/>
    <n v="58.400799999999997"/>
    <n v="0"/>
    <n v="564.18330000000003"/>
    <n v="9.2215000000000007"/>
    <n v="-0.8819984966416915"/>
    <n v="-1"/>
    <n v="0.1180015033583085"/>
    <m/>
  </r>
  <r>
    <x v="79"/>
    <n v="9.1872000000000007"/>
    <n v="0"/>
    <n v="0"/>
    <n v="430.16879999999998"/>
    <n v="0"/>
    <n v="0"/>
    <n v="430.16879999999998"/>
    <n v="9.1872000000000007"/>
    <n v="-1"/>
    <n v="0"/>
    <n v="-1"/>
    <m/>
  </r>
  <r>
    <x v="80"/>
    <n v="8.9794"/>
    <n v="0"/>
    <n v="0"/>
    <n v="618.46879999999999"/>
    <n v="0"/>
    <n v="0"/>
    <n v="618.46879999999999"/>
    <n v="8.9794"/>
    <n v="-1"/>
    <n v="0"/>
    <n v="-1"/>
    <m/>
  </r>
  <r>
    <x v="81"/>
    <n v="7.4866999999999999"/>
    <n v="1.5100000000000001E-2"/>
    <n v="0"/>
    <n v="509.18150000000003"/>
    <n v="0.77590000000000003"/>
    <n v="0"/>
    <n v="509.95740000000001"/>
    <n v="7.5018000000000002"/>
    <n v="-0.99798309001295626"/>
    <n v="-1"/>
    <n v="2.0169099870437357E-3"/>
    <m/>
  </r>
  <r>
    <x v="82"/>
    <n v="6.1833"/>
    <n v="0.61119999999999997"/>
    <n v="0"/>
    <n v="392.1592"/>
    <n v="31.181999999999999"/>
    <n v="0"/>
    <n v="423.34120000000001"/>
    <n v="6.7945000000000002"/>
    <n v="-0.90115310594666276"/>
    <n v="-1"/>
    <n v="9.8846894053337242E-2"/>
    <m/>
  </r>
  <r>
    <x v="83"/>
    <n v="0"/>
    <n v="6.2138"/>
    <n v="8.77E-2"/>
    <n v="0"/>
    <n v="384.83499999999998"/>
    <n v="5.7408999999999999"/>
    <n v="390.57589999999999"/>
    <n v="6.3014999999999999"/>
    <n v="0"/>
    <n v="-0.98588625317840939"/>
    <n v="0.98588625317840939"/>
    <m/>
  </r>
  <r>
    <x v="84"/>
    <n v="1.8396999999999999"/>
    <n v="4.3616000000000001"/>
    <n v="0"/>
    <n v="115.49760000000001"/>
    <n v="300.46589999999998"/>
    <n v="0"/>
    <n v="415.96349999999995"/>
    <n v="6.2012999999999998"/>
    <n v="1.3708213295646032"/>
    <n v="-1"/>
    <n v="2.3708213295646035"/>
    <m/>
  </r>
  <r>
    <x v="85"/>
    <n v="6.1033999999999997"/>
    <n v="8.2299999999999998E-2"/>
    <n v="0"/>
    <n v="422.25490000000002"/>
    <n v="3.4649000000000001"/>
    <n v="0"/>
    <n v="425.71980000000002"/>
    <n v="6.1856999999999998"/>
    <n v="-0.98651571255365866"/>
    <n v="-1"/>
    <n v="1.3484287446341336E-2"/>
    <m/>
  </r>
  <r>
    <x v="86"/>
    <n v="3.1665000000000001"/>
    <n v="2.1888000000000001"/>
    <n v="0.46289999999999998"/>
    <n v="65.203199999999995"/>
    <n v="50.370399999999997"/>
    <n v="10.166600000000001"/>
    <n v="125.7402"/>
    <n v="5.8182"/>
    <n v="-0.30876361913784933"/>
    <n v="-0.78851425438596501"/>
    <n v="0.47975063524811568"/>
    <m/>
  </r>
  <r>
    <x v="87"/>
    <n v="5.2523"/>
    <n v="0"/>
    <n v="0"/>
    <n v="269.2595"/>
    <n v="0"/>
    <n v="0"/>
    <n v="269.2595"/>
    <n v="5.2523"/>
    <n v="-1"/>
    <n v="0"/>
    <n v="-1"/>
    <m/>
  </r>
  <r>
    <x v="88"/>
    <n v="2.5480999999999998"/>
    <n v="2.6009000000000002"/>
    <n v="0"/>
    <n v="132.16820000000001"/>
    <n v="141.76490000000001"/>
    <n v="0"/>
    <n v="273.93310000000002"/>
    <n v="5.149"/>
    <n v="2.0721321769161496E-2"/>
    <n v="-1"/>
    <n v="1.0207213217691615"/>
    <m/>
  </r>
  <r>
    <x v="89"/>
    <n v="1.5390999999999999"/>
    <n v="2.0581"/>
    <n v="0.68220000000000003"/>
    <n v="71.357399999999998"/>
    <n v="96.8429"/>
    <n v="27.710899999999999"/>
    <n v="195.91120000000001"/>
    <n v="4.2793999999999999"/>
    <n v="0.33721005782600233"/>
    <n v="-0.66852922598513198"/>
    <n v="1.0057392838111343"/>
    <m/>
  </r>
  <r>
    <x v="90"/>
    <n v="4.0544000000000002"/>
    <n v="0"/>
    <n v="0"/>
    <n v="233.119"/>
    <n v="0"/>
    <n v="0"/>
    <n v="233.119"/>
    <n v="4.0544000000000002"/>
    <n v="-1"/>
    <n v="0"/>
    <n v="-1"/>
    <m/>
  </r>
  <r>
    <x v="91"/>
    <n v="0"/>
    <n v="3.052"/>
    <n v="0.7581"/>
    <n v="0"/>
    <n v="36.4679"/>
    <n v="10.828200000000001"/>
    <n v="47.296100000000003"/>
    <n v="3.8101000000000003"/>
    <n v="0"/>
    <n v="-0.75160550458715591"/>
    <n v="0.75160550458715591"/>
    <m/>
  </r>
  <r>
    <x v="92"/>
    <n v="1.4174"/>
    <n v="2.3006000000000002"/>
    <n v="0"/>
    <n v="78.384500000000003"/>
    <n v="113.29300000000001"/>
    <n v="0"/>
    <n v="191.67750000000001"/>
    <n v="3.718"/>
    <n v="0.62311274163962194"/>
    <n v="-1"/>
    <n v="1.623112741639622"/>
    <m/>
  </r>
  <r>
    <x v="93"/>
    <n v="2.5741999999999998"/>
    <n v="0.58250000000000002"/>
    <n v="9.0300000000000005E-2"/>
    <n v="138.52269999999999"/>
    <n v="28.354600000000001"/>
    <n v="3.9451999999999998"/>
    <n v="170.82249999999999"/>
    <n v="3.2469999999999999"/>
    <n v="-0.77371610597467178"/>
    <n v="-0.84497854077253221"/>
    <n v="7.126243479786043E-2"/>
    <m/>
  </r>
  <r>
    <x v="94"/>
    <n v="0"/>
    <n v="0"/>
    <n v="3.1633"/>
    <n v="0"/>
    <n v="0"/>
    <n v="171.71680000000001"/>
    <n v="171.71680000000001"/>
    <n v="3.1633"/>
    <n v="0"/>
    <n v="0"/>
    <n v="0"/>
    <m/>
  </r>
  <r>
    <x v="95"/>
    <n v="3.0200000000000001E-2"/>
    <n v="2.0104000000000002"/>
    <n v="1.0045999999999999"/>
    <n v="1.4571000000000001"/>
    <n v="118.0438"/>
    <n v="56.873399999999997"/>
    <n v="176.37430000000001"/>
    <n v="3.0451999999999999"/>
    <n v="65.569536423841058"/>
    <n v="-0.50029844807003587"/>
    <n v="66.069834871911098"/>
    <m/>
  </r>
  <r>
    <x v="96"/>
    <n v="1.4567000000000001"/>
    <n v="0.9708"/>
    <n v="0.44130000000000003"/>
    <n v="8.1128999999999998"/>
    <n v="4.8048999999999999"/>
    <n v="2.4375"/>
    <n v="15.3553"/>
    <n v="2.8688000000000002"/>
    <n v="-0.33356216104894632"/>
    <n v="-0.54542645241038312"/>
    <n v="0.21186429136143681"/>
    <m/>
  </r>
  <r>
    <x v="97"/>
    <n v="2.6486999999999998"/>
    <n v="0"/>
    <n v="0"/>
    <n v="124.62050000000001"/>
    <n v="0"/>
    <n v="0"/>
    <n v="124.62050000000001"/>
    <n v="2.6486999999999998"/>
    <n v="-1"/>
    <n v="0"/>
    <n v="-1"/>
    <m/>
  </r>
  <r>
    <x v="98"/>
    <n v="0.97350000000000003"/>
    <n v="1.3669"/>
    <n v="0.25619999999999998"/>
    <n v="4.9279999999999999"/>
    <n v="7.3564999999999996"/>
    <n v="1.4279999999999999"/>
    <n v="13.712499999999999"/>
    <n v="2.5965999999999996"/>
    <n v="0.4041088854648176"/>
    <n v="-0.81256858585119618"/>
    <n v="1.2166774713160138"/>
    <m/>
  </r>
  <r>
    <x v="99"/>
    <n v="1.9350000000000001"/>
    <n v="0.624"/>
    <n v="0"/>
    <n v="24.822900000000001"/>
    <n v="9.4085999999999999"/>
    <n v="0"/>
    <n v="34.231499999999997"/>
    <n v="2.5590000000000002"/>
    <n v="-0.67751937984496124"/>
    <n v="-1"/>
    <n v="0.32248062015503876"/>
    <m/>
  </r>
  <r>
    <x v="100"/>
    <n v="2.1507000000000001"/>
    <n v="0.15629999999999999"/>
    <n v="5.8099999999999999E-2"/>
    <n v="55.849800000000002"/>
    <n v="3.1030000000000002"/>
    <n v="1.1613"/>
    <n v="60.114100000000001"/>
    <n v="2.3651"/>
    <n v="-0.92732598688799006"/>
    <n v="-0.62827895073576456"/>
    <n v="-0.2990470361522255"/>
    <m/>
  </r>
  <r>
    <x v="101"/>
    <n v="0.22359999999999999"/>
    <n v="1.0136000000000001"/>
    <n v="1.0572999999999999"/>
    <n v="12.2155"/>
    <n v="49.151600000000002"/>
    <n v="44.717399999999998"/>
    <n v="106.08449999999999"/>
    <n v="2.2945000000000002"/>
    <n v="3.5330948121645798"/>
    <n v="4.3113654301499452E-2"/>
    <n v="3.4899811578630802"/>
    <m/>
  </r>
  <r>
    <x v="102"/>
    <n v="0.52039999999999997"/>
    <n v="1.6072"/>
    <n v="0.16420000000000001"/>
    <n v="10.5198"/>
    <n v="34.4998"/>
    <n v="3.1461000000000001"/>
    <n v="48.165699999999994"/>
    <n v="2.2918000000000003"/>
    <n v="2.0883935434281322"/>
    <n v="-0.89783474365355909"/>
    <n v="2.9862282870816914"/>
    <m/>
  </r>
  <r>
    <x v="103"/>
    <n v="2.0785999999999998"/>
    <n v="7.1199999999999999E-2"/>
    <n v="0"/>
    <n v="104.04649999999999"/>
    <n v="3.8216000000000001"/>
    <n v="0"/>
    <n v="107.8681"/>
    <n v="2.1497999999999999"/>
    <n v="-0.96574617531030493"/>
    <n v="-1"/>
    <n v="3.4253824689695067E-2"/>
    <m/>
  </r>
  <r>
    <x v="104"/>
    <n v="1.9984999999999999"/>
    <n v="3.2300000000000002E-2"/>
    <n v="0"/>
    <n v="141.71469999999999"/>
    <n v="1.9971000000000001"/>
    <n v="0"/>
    <n v="143.71179999999998"/>
    <n v="2.0308000000000002"/>
    <n v="-0.98383787840880665"/>
    <n v="-1"/>
    <n v="1.6162121591193346E-2"/>
    <m/>
  </r>
  <r>
    <x v="105"/>
    <n v="0"/>
    <n v="0"/>
    <n v="1.9407000000000001"/>
    <n v="0"/>
    <n v="0"/>
    <n v="110.1146"/>
    <n v="110.1146"/>
    <n v="1.9407000000000001"/>
    <n v="0"/>
    <n v="0"/>
    <n v="0"/>
    <m/>
  </r>
  <r>
    <x v="106"/>
    <n v="0.33289999999999997"/>
    <n v="2.7199999999999998E-2"/>
    <n v="1.4402999999999999"/>
    <n v="16.585699999999999"/>
    <n v="2.2242999999999999"/>
    <n v="35.560600000000001"/>
    <n v="54.370599999999996"/>
    <n v="1.8003999999999998"/>
    <n v="-0.91829378191649147"/>
    <n v="51.952205882352942"/>
    <n v="-52.870499664269431"/>
    <m/>
  </r>
  <r>
    <x v="107"/>
    <n v="1.7324999999999999"/>
    <n v="2.7699999999999999E-2"/>
    <n v="0"/>
    <n v="34.565800000000003"/>
    <n v="0.64290000000000003"/>
    <n v="0"/>
    <n v="35.2087"/>
    <n v="1.7602"/>
    <n v="-0.984011544011544"/>
    <n v="-1"/>
    <n v="1.5988455988455996E-2"/>
    <m/>
  </r>
  <r>
    <x v="108"/>
    <n v="1.6357999999999999"/>
    <n v="0"/>
    <n v="0"/>
    <n v="89.7791"/>
    <n v="0"/>
    <n v="0"/>
    <n v="89.7791"/>
    <n v="1.6357999999999999"/>
    <n v="-1"/>
    <n v="0"/>
    <n v="-1"/>
    <m/>
  </r>
  <r>
    <x v="109"/>
    <n v="0"/>
    <n v="6.88E-2"/>
    <n v="1.5603"/>
    <n v="0"/>
    <n v="2.9011"/>
    <n v="56.070300000000003"/>
    <n v="58.971400000000003"/>
    <n v="1.6291"/>
    <n v="0"/>
    <n v="21.678779069767444"/>
    <n v="-21.678779069767444"/>
    <m/>
  </r>
  <r>
    <x v="110"/>
    <n v="0"/>
    <n v="0.79349999999999998"/>
    <n v="0.7298"/>
    <n v="0"/>
    <n v="47.268799999999999"/>
    <n v="43.602699999999999"/>
    <n v="90.871499999999997"/>
    <n v="1.5232999999999999"/>
    <n v="0"/>
    <n v="-8.0277252678008795E-2"/>
    <n v="8.0277252678008795E-2"/>
    <m/>
  </r>
  <r>
    <x v="111"/>
    <n v="1.18"/>
    <n v="0"/>
    <n v="0"/>
    <n v="36.940399999999997"/>
    <n v="0"/>
    <n v="0"/>
    <n v="36.940399999999997"/>
    <n v="1.18"/>
    <n v="-1"/>
    <n v="0"/>
    <n v="-1"/>
    <m/>
  </r>
  <r>
    <x v="112"/>
    <n v="1.0731999999999999"/>
    <n v="0"/>
    <n v="0"/>
    <n v="47.075600000000001"/>
    <n v="0"/>
    <n v="0"/>
    <n v="47.075600000000001"/>
    <n v="1.0731999999999999"/>
    <n v="-1"/>
    <n v="0"/>
    <n v="-1"/>
    <m/>
  </r>
  <r>
    <x v="113"/>
    <n v="0.17230000000000001"/>
    <n v="0.63319999999999999"/>
    <n v="0.15670000000000001"/>
    <n v="7.7868000000000004"/>
    <n v="27.705500000000001"/>
    <n v="6.8449999999999998"/>
    <n v="42.337299999999999"/>
    <n v="0.96219999999999994"/>
    <n v="2.6749854904236794"/>
    <n v="-0.75252684775742262"/>
    <n v="3.4275123381811019"/>
    <m/>
  </r>
  <r>
    <x v="114"/>
    <n v="0.1913"/>
    <n v="0.55200000000000005"/>
    <n v="4.3700000000000003E-2"/>
    <n v="6.9211999999999998"/>
    <n v="19.9695"/>
    <n v="1.2094"/>
    <n v="28.100099999999998"/>
    <n v="0.78700000000000003"/>
    <n v="1.8855201254573968"/>
    <n v="-0.92083333333333339"/>
    <n v="2.8063534587907304"/>
    <m/>
  </r>
  <r>
    <x v="115"/>
    <n v="0.70520000000000005"/>
    <n v="0"/>
    <n v="0"/>
    <n v="47.325299999999999"/>
    <n v="0"/>
    <n v="0"/>
    <n v="47.325299999999999"/>
    <n v="0.70520000000000005"/>
    <n v="-1"/>
    <n v="0"/>
    <n v="-1"/>
    <m/>
  </r>
  <r>
    <x v="116"/>
    <n v="0"/>
    <n v="0"/>
    <n v="0.624"/>
    <n v="0"/>
    <n v="0"/>
    <n v="34.035699999999999"/>
    <n v="34.035699999999999"/>
    <n v="0.624"/>
    <n v="0"/>
    <n v="0"/>
    <n v="0"/>
    <m/>
  </r>
  <r>
    <x v="117"/>
    <n v="0.1459"/>
    <n v="0.29930000000000001"/>
    <n v="5.04E-2"/>
    <n v="2.8885999999999998"/>
    <n v="6.5743"/>
    <n v="1.1331"/>
    <n v="10.596"/>
    <n v="0.49560000000000004"/>
    <n v="1.0514050719671009"/>
    <n v="-0.83160708319411958"/>
    <n v="1.8830121551612204"/>
    <m/>
  </r>
  <r>
    <x v="118"/>
    <n v="0.26200000000000001"/>
    <n v="0.1656"/>
    <n v="0"/>
    <n v="18.860299999999999"/>
    <n v="11.920500000000001"/>
    <n v="0"/>
    <n v="30.780799999999999"/>
    <n v="0.42759999999999998"/>
    <n v="-0.36793893129770994"/>
    <n v="-1"/>
    <n v="0.63206106870229006"/>
    <m/>
  </r>
  <r>
    <x v="119"/>
    <n v="0.36020000000000002"/>
    <n v="5.21E-2"/>
    <n v="9.4000000000000004E-3"/>
    <n v="19.065100000000001"/>
    <n v="2.6206"/>
    <n v="0.48"/>
    <n v="22.165700000000001"/>
    <n v="0.42170000000000002"/>
    <n v="-0.85535813436979458"/>
    <n v="-0.81957773512476007"/>
    <n v="-3.5780399245034511E-2"/>
    <m/>
  </r>
  <r>
    <x v="120"/>
    <n v="0.373"/>
    <n v="1.12E-2"/>
    <n v="0"/>
    <n v="7.2888000000000002"/>
    <n v="0.2389"/>
    <n v="0"/>
    <n v="7.5277000000000003"/>
    <n v="0.38419999999999999"/>
    <n v="-0.96997319034852547"/>
    <n v="-1"/>
    <n v="3.0026809651474529E-2"/>
    <m/>
  </r>
  <r>
    <x v="121"/>
    <n v="6.0000000000000001E-3"/>
    <n v="0.35439999999999999"/>
    <n v="0"/>
    <n v="0.33839999999999998"/>
    <n v="16.541699999999999"/>
    <n v="0"/>
    <n v="16.880099999999999"/>
    <n v="0.3604"/>
    <n v="58.066666666666663"/>
    <n v="-1"/>
    <n v="59.066666666666663"/>
    <m/>
  </r>
  <r>
    <x v="122"/>
    <n v="0.31290000000000001"/>
    <n v="4.0300000000000002E-2"/>
    <n v="0"/>
    <n v="2.3519999999999999"/>
    <n v="0.30399999999999999"/>
    <n v="0"/>
    <n v="2.6559999999999997"/>
    <n v="0.35320000000000001"/>
    <n v="-0.87120485778203893"/>
    <n v="-1"/>
    <n v="0.12879514221796107"/>
    <m/>
  </r>
  <r>
    <x v="123"/>
    <n v="0"/>
    <n v="0.22009999999999999"/>
    <n v="0.1012"/>
    <n v="0"/>
    <n v="3.5211000000000001"/>
    <n v="1.6187"/>
    <n v="5.1398000000000001"/>
    <n v="0.32129999999999997"/>
    <n v="0"/>
    <n v="-0.54020899591094951"/>
    <n v="0.54020899591094951"/>
    <m/>
  </r>
  <r>
    <x v="124"/>
    <n v="0"/>
    <n v="0.2286"/>
    <n v="8.4099999999999994E-2"/>
    <n v="0"/>
    <n v="3.6671999999999998"/>
    <n v="1.3489"/>
    <n v="5.0160999999999998"/>
    <n v="0.31269999999999998"/>
    <n v="0"/>
    <n v="-0.63210848643919515"/>
    <n v="0.63210848643919515"/>
    <m/>
  </r>
  <r>
    <x v="125"/>
    <n v="0.1076"/>
    <n v="0.1249"/>
    <n v="7.1900000000000006E-2"/>
    <n v="5.5374999999999996"/>
    <n v="6.4203000000000001"/>
    <n v="3.698"/>
    <n v="15.655799999999999"/>
    <n v="0.3044"/>
    <n v="0.16078066914498138"/>
    <n v="-0.42433947157726176"/>
    <n v="0.58512014072224316"/>
    <m/>
  </r>
  <r>
    <x v="126"/>
    <n v="6.6299999999999998E-2"/>
    <n v="0.12959999999999999"/>
    <n v="7.1499999999999994E-2"/>
    <n v="0.504"/>
    <n v="0.91539999999999999"/>
    <n v="0.52459999999999996"/>
    <n v="1.944"/>
    <n v="0.26739999999999997"/>
    <n v="0.9547511312217194"/>
    <n v="-0.44830246913580246"/>
    <n v="1.4030536003575218"/>
    <m/>
  </r>
  <r>
    <x v="127"/>
    <n v="0.24010000000000001"/>
    <n v="0"/>
    <n v="0"/>
    <n v="10.8056"/>
    <n v="0"/>
    <n v="0"/>
    <n v="10.8056"/>
    <n v="0.24010000000000001"/>
    <n v="-1"/>
    <n v="0"/>
    <n v="-1"/>
    <m/>
  </r>
  <r>
    <x v="128"/>
    <n v="0.15809999999999999"/>
    <n v="2E-3"/>
    <n v="1E-3"/>
    <n v="2.1"/>
    <n v="0.02"/>
    <n v="0.02"/>
    <n v="2.14"/>
    <n v="0.16109999999999999"/>
    <n v="-0.98734977862112583"/>
    <n v="-0.5"/>
    <n v="-0.48734977862112583"/>
    <m/>
  </r>
  <r>
    <x v="129"/>
    <n v="0"/>
    <n v="0"/>
    <n v="0.1532"/>
    <n v="0"/>
    <n v="0"/>
    <n v="9.1946999999999992"/>
    <n v="9.1946999999999992"/>
    <n v="0.1532"/>
    <n v="0"/>
    <n v="0"/>
    <n v="0"/>
    <m/>
  </r>
  <r>
    <x v="130"/>
    <n v="0.13550000000000001"/>
    <n v="0"/>
    <n v="0"/>
    <n v="3.2519"/>
    <n v="0"/>
    <n v="0"/>
    <n v="3.2519"/>
    <n v="0.13550000000000001"/>
    <n v="-1"/>
    <n v="0"/>
    <n v="-1"/>
    <m/>
  </r>
  <r>
    <x v="131"/>
    <n v="0"/>
    <n v="0.1202"/>
    <n v="0"/>
    <n v="0"/>
    <n v="2.4085999999999999"/>
    <n v="0"/>
    <n v="2.4085999999999999"/>
    <n v="0.1202"/>
    <n v="0"/>
    <n v="-1"/>
    <n v="1"/>
    <m/>
  </r>
  <r>
    <x v="132"/>
    <n v="0"/>
    <n v="3.7900000000000003E-2"/>
    <n v="6.93E-2"/>
    <n v="0"/>
    <n v="2.3294000000000001"/>
    <n v="4.2670000000000003"/>
    <n v="6.5964000000000009"/>
    <n v="0.1072"/>
    <n v="0"/>
    <n v="0.82849604221635875"/>
    <n v="-0.82849604221635875"/>
    <m/>
  </r>
  <r>
    <x v="133"/>
    <n v="4.4499999999999998E-2"/>
    <n v="6.2E-2"/>
    <n v="0"/>
    <n v="0.36759999999999998"/>
    <n v="0.48380000000000001"/>
    <n v="0"/>
    <n v="0.85139999999999993"/>
    <n v="0.1065"/>
    <n v="0.39325842696629221"/>
    <n v="-1"/>
    <n v="1.3932584269662922"/>
    <m/>
  </r>
  <r>
    <x v="134"/>
    <n v="0"/>
    <n v="0"/>
    <n v="9.8000000000000004E-2"/>
    <n v="0"/>
    <n v="0"/>
    <n v="3.3592"/>
    <n v="3.3592"/>
    <n v="9.8000000000000004E-2"/>
    <n v="0"/>
    <n v="0"/>
    <n v="0"/>
    <m/>
  </r>
  <r>
    <x v="135"/>
    <n v="0"/>
    <n v="0"/>
    <n v="5.57E-2"/>
    <n v="0"/>
    <n v="0"/>
    <n v="1.7425999999999999"/>
    <n v="1.7425999999999999"/>
    <n v="5.57E-2"/>
    <n v="0"/>
    <n v="0"/>
    <n v="0"/>
    <m/>
  </r>
  <r>
    <x v="136"/>
    <n v="0"/>
    <n v="3.1300000000000001E-2"/>
    <n v="0"/>
    <n v="0"/>
    <n v="1.2579"/>
    <n v="0"/>
    <n v="1.2579"/>
    <n v="3.1300000000000001E-2"/>
    <n v="0"/>
    <n v="-1"/>
    <n v="1"/>
    <m/>
  </r>
  <r>
    <x v="137"/>
    <n v="1.1900000000000001E-2"/>
    <n v="0"/>
    <n v="0"/>
    <n v="0.14000000000000001"/>
    <n v="0"/>
    <n v="0"/>
    <n v="0.14000000000000001"/>
    <n v="1.1900000000000001E-2"/>
    <n v="-1"/>
    <n v="0"/>
    <n v="-1"/>
    <m/>
  </r>
  <r>
    <x v="138"/>
    <n v="1.09E-2"/>
    <n v="0"/>
    <n v="0"/>
    <n v="0.16"/>
    <n v="0"/>
    <n v="0"/>
    <n v="0.16"/>
    <n v="1.09E-2"/>
    <n v="-1"/>
    <n v="0"/>
    <n v="-1"/>
    <m/>
  </r>
  <r>
    <x v="139"/>
    <n v="1.03E-2"/>
    <n v="0"/>
    <n v="0"/>
    <n v="0.3876"/>
    <n v="0"/>
    <n v="0"/>
    <n v="0.3876"/>
    <n v="1.03E-2"/>
    <n v="-1"/>
    <n v="0"/>
    <n v="-1"/>
    <m/>
  </r>
  <r>
    <x v="140"/>
    <n v="0"/>
    <n v="9.4999999999999998E-3"/>
    <n v="0"/>
    <n v="0"/>
    <n v="0.51649999999999996"/>
    <n v="0"/>
    <n v="0.51649999999999996"/>
    <n v="9.4999999999999998E-3"/>
    <n v="0"/>
    <n v="-1"/>
    <n v="1"/>
    <m/>
  </r>
  <r>
    <x v="141"/>
    <n v="0"/>
    <n v="0"/>
    <n v="9.1999999999999998E-3"/>
    <n v="0"/>
    <n v="0"/>
    <n v="0.30320000000000003"/>
    <n v="0.30320000000000003"/>
    <n v="9.1999999999999998E-3"/>
    <n v="0"/>
    <n v="0"/>
    <n v="0"/>
    <m/>
  </r>
  <r>
    <x v="142"/>
    <n v="7.0000000000000001E-3"/>
    <n v="0"/>
    <n v="0"/>
    <n v="0.08"/>
    <n v="0"/>
    <n v="0"/>
    <n v="0.08"/>
    <n v="7.0000000000000001E-3"/>
    <n v="-1"/>
    <n v="0"/>
    <n v="-1"/>
    <m/>
  </r>
  <r>
    <x v="143"/>
    <n v="0"/>
    <n v="0"/>
    <n v="2.0999999999999999E-3"/>
    <n v="0"/>
    <n v="0"/>
    <n v="0.17710000000000001"/>
    <n v="0.17710000000000001"/>
    <n v="2.0999999999999999E-3"/>
    <n v="0"/>
    <n v="0"/>
    <n v="0"/>
    <m/>
  </r>
  <r>
    <x v="144"/>
    <n v="0"/>
    <n v="0"/>
    <n v="0"/>
    <n v="0"/>
    <n v="0"/>
    <n v="0"/>
    <n v="0"/>
    <n v="0"/>
    <n v="0"/>
    <n v="0"/>
    <n v="0"/>
    <m/>
  </r>
  <r>
    <x v="145"/>
    <n v="0"/>
    <n v="0"/>
    <n v="0"/>
    <n v="0"/>
    <n v="0"/>
    <n v="0"/>
    <n v="0"/>
    <n v="0"/>
    <n v="0"/>
    <n v="0"/>
    <n v="0"/>
    <m/>
  </r>
  <r>
    <x v="146"/>
    <n v="0"/>
    <n v="0"/>
    <n v="0"/>
    <n v="0"/>
    <n v="0"/>
    <n v="0"/>
    <n v="0"/>
    <n v="0"/>
    <n v="0"/>
    <n v="0"/>
    <n v="0"/>
    <m/>
  </r>
  <r>
    <x v="147"/>
    <n v="0"/>
    <n v="0"/>
    <n v="0"/>
    <n v="0"/>
    <n v="0"/>
    <n v="0"/>
    <n v="0"/>
    <n v="0"/>
    <n v="0"/>
    <n v="0"/>
    <n v="0"/>
    <m/>
  </r>
  <r>
    <x v="148"/>
    <n v="0"/>
    <n v="0"/>
    <n v="0"/>
    <n v="0"/>
    <n v="0"/>
    <n v="0"/>
    <n v="0"/>
    <n v="0"/>
    <n v="0"/>
    <n v="0"/>
    <n v="0"/>
    <m/>
  </r>
  <r>
    <x v="149"/>
    <n v="0"/>
    <n v="0"/>
    <n v="0"/>
    <n v="0"/>
    <n v="0"/>
    <n v="0"/>
    <n v="0"/>
    <n v="0"/>
    <n v="0"/>
    <n v="0"/>
    <n v="0"/>
    <m/>
  </r>
  <r>
    <x v="150"/>
    <n v="0"/>
    <n v="0"/>
    <n v="0"/>
    <n v="0"/>
    <n v="0"/>
    <n v="0"/>
    <n v="0"/>
    <n v="0"/>
    <n v="0"/>
    <n v="0"/>
    <n v="0"/>
    <m/>
  </r>
  <r>
    <x v="151"/>
    <n v="0"/>
    <n v="0"/>
    <n v="0"/>
    <n v="0"/>
    <n v="0"/>
    <n v="0"/>
    <n v="0"/>
    <n v="0"/>
    <n v="0"/>
    <n v="0"/>
    <n v="0"/>
    <m/>
  </r>
  <r>
    <x v="152"/>
    <n v="0"/>
    <n v="0"/>
    <n v="0"/>
    <n v="0"/>
    <n v="0"/>
    <n v="0"/>
    <n v="0"/>
    <n v="0"/>
    <n v="0"/>
    <n v="0"/>
    <n v="0"/>
    <m/>
  </r>
  <r>
    <x v="153"/>
    <n v="0"/>
    <n v="0"/>
    <n v="0"/>
    <n v="0"/>
    <n v="0"/>
    <n v="0"/>
    <n v="0"/>
    <n v="0"/>
    <n v="0"/>
    <n v="0"/>
    <n v="0"/>
    <m/>
  </r>
  <r>
    <x v="154"/>
    <n v="0"/>
    <n v="0"/>
    <n v="0"/>
    <n v="0"/>
    <n v="0"/>
    <n v="0"/>
    <n v="0"/>
    <n v="0"/>
    <n v="0"/>
    <n v="0"/>
    <n v="0"/>
    <m/>
  </r>
  <r>
    <x v="155"/>
    <n v="0"/>
    <n v="0"/>
    <n v="0"/>
    <n v="0"/>
    <n v="0"/>
    <n v="0"/>
    <n v="0"/>
    <n v="0"/>
    <n v="0"/>
    <n v="0"/>
    <n v="0"/>
    <m/>
  </r>
  <r>
    <x v="156"/>
    <n v="0"/>
    <n v="0"/>
    <n v="0"/>
    <n v="0"/>
    <n v="0"/>
    <n v="0"/>
    <n v="0"/>
    <n v="0"/>
    <n v="0"/>
    <n v="0"/>
    <n v="0"/>
    <m/>
  </r>
  <r>
    <x v="157"/>
    <n v="0"/>
    <n v="0"/>
    <n v="0"/>
    <n v="0"/>
    <n v="0"/>
    <n v="0"/>
    <n v="0"/>
    <n v="0"/>
    <n v="0"/>
    <n v="0"/>
    <n v="0"/>
    <m/>
  </r>
  <r>
    <x v="158"/>
    <n v="0"/>
    <n v="0"/>
    <n v="0"/>
    <n v="0"/>
    <n v="0"/>
    <n v="0"/>
    <n v="0"/>
    <n v="0"/>
    <n v="0"/>
    <n v="0"/>
    <n v="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1">
  <r>
    <x v="0"/>
    <s v="BABY 2000 "/>
    <s v="Nova Garbagnate"/>
    <x v="0"/>
    <s v="BAGS"/>
    <s v="WITHOUT EXTRA PROTECTCARE INDICATION"/>
    <s v="20"/>
    <n v="1.9350000000000001"/>
    <n v="0.624"/>
    <n v="0"/>
    <n v="24.822900000000001"/>
    <n v="9.4085999999999999"/>
    <n v="0"/>
    <n v="2.5590000000000002"/>
    <n v="-0.67751937984496124"/>
    <n v="-0.62097095826837312"/>
    <n v="-5.6548421576588126E-2"/>
    <m/>
  </r>
  <r>
    <x v="1"/>
    <s v="BAMBO "/>
    <s v="BeneCare"/>
    <x v="1"/>
    <s v="BAGS"/>
    <s v="WITHOUT EXTRA PROTECTCARE INDICATION"/>
    <s v="10"/>
    <n v="0"/>
    <n v="0"/>
    <n v="0"/>
    <n v="0"/>
    <n v="0"/>
    <n v="0"/>
    <n v="0"/>
    <n v="0"/>
    <n v="0"/>
    <n v="0"/>
    <m/>
  </r>
  <r>
    <x v="1"/>
    <s v="BAMBO "/>
    <s v="BeneCare"/>
    <x v="2"/>
    <s v="BAGS"/>
    <s v="WITHOUT EXTRA PROTECTCARE INDICATION"/>
    <s v="50"/>
    <n v="0"/>
    <n v="0"/>
    <n v="0"/>
    <n v="0"/>
    <n v="0"/>
    <n v="0"/>
    <n v="0"/>
    <n v="0"/>
    <n v="0"/>
    <n v="0"/>
    <m/>
  </r>
  <r>
    <x v="1"/>
    <s v="BAMBO "/>
    <s v="BeneCare"/>
    <x v="3"/>
    <s v="BAGS"/>
    <s v="WITHOUT EXTRA PROTECTCARE INDICATION"/>
    <s v="80"/>
    <n v="0"/>
    <n v="0"/>
    <n v="0"/>
    <n v="0"/>
    <n v="0"/>
    <n v="0"/>
    <n v="0"/>
    <n v="0"/>
    <n v="0"/>
    <n v="0"/>
    <m/>
  </r>
  <r>
    <x v="1"/>
    <s v="BAMBO "/>
    <s v="BeneCare"/>
    <x v="4"/>
    <s v="BAGS"/>
    <s v="WITHOUT EXTRA PROTECTCARE INDICATION"/>
    <s v="80"/>
    <n v="1.09E-2"/>
    <n v="0"/>
    <n v="0"/>
    <n v="0.16"/>
    <n v="0"/>
    <n v="0"/>
    <n v="1.09E-2"/>
    <n v="-1"/>
    <n v="-1"/>
    <n v="0"/>
    <m/>
  </r>
  <r>
    <x v="2"/>
    <s v="BABY CREMA "/>
    <s v="VigaLife"/>
    <x v="5"/>
    <s v="BAGS"/>
    <s v="PH BALANCED"/>
    <s v="100"/>
    <n v="81.467399999999998"/>
    <n v="92.903000000000006"/>
    <n v="52.511899999999997"/>
    <n v="2980.7042999999999"/>
    <n v="3415.3553999999999"/>
    <n v="1823.0734"/>
    <n v="226.88230000000001"/>
    <n v="0.14037025853286109"/>
    <n v="0.14582161001344551"/>
    <n v="-5.4513514805844265E-3"/>
    <m/>
  </r>
  <r>
    <x v="2"/>
    <s v="BABY CREMA "/>
    <s v="VigaLife"/>
    <x v="6"/>
    <s v="BAGS"/>
    <s v="PH BALANCED"/>
    <s v="72"/>
    <n v="1663.8369"/>
    <n v="1815.6596999999999"/>
    <n v="1049.2485999999999"/>
    <n v="62012.672500000001"/>
    <n v="68679.966"/>
    <n v="37856.881999999998"/>
    <n v="4528.7451999999994"/>
    <n v="9.1248607360493034E-2"/>
    <n v="0.10751501638636844"/>
    <n v="-1.6266409025875408E-2"/>
    <m/>
  </r>
  <r>
    <x v="2"/>
    <s v="BABY CREMA "/>
    <s v="VigaLife"/>
    <x v="7"/>
    <s v="BAGS"/>
    <s v="PH BALANCED"/>
    <s v="120"/>
    <n v="842.87239999999997"/>
    <n v="745.33579999999995"/>
    <n v="366.95890000000003"/>
    <n v="38888.539799999999"/>
    <n v="31985.000499999998"/>
    <n v="14135.173000000001"/>
    <n v="1955.1671000000001"/>
    <n v="-0.11571929511513253"/>
    <n v="-0.17752117553151225"/>
    <n v="6.1801880416379726E-2"/>
    <m/>
  </r>
  <r>
    <x v="2"/>
    <s v="BABY CREMA "/>
    <s v="VigaLife"/>
    <x v="8"/>
    <s v="BAGS"/>
    <s v="WITHOUT EXTRA PROTECTCARE INDICATION"/>
    <s v="15"/>
    <n v="12.774800000000001"/>
    <n v="10.866"/>
    <n v="6.7743000000000002"/>
    <n v="151.26679999999999"/>
    <n v="127.18680000000001"/>
    <n v="77.459400000000002"/>
    <n v="30.415099999999999"/>
    <n v="-0.14941916898894708"/>
    <n v="-0.15918892975854573"/>
    <n v="9.769760769598651E-3"/>
    <m/>
  </r>
  <r>
    <x v="2"/>
    <s v="BABY CREMA "/>
    <s v="VigaLife"/>
    <x v="9"/>
    <s v="BAGS"/>
    <s v="WITHOUT EXTRA PROTECTCARE INDICATION"/>
    <s v="15"/>
    <n v="20.055299999999999"/>
    <n v="17.836099999999998"/>
    <n v="11.187099999999999"/>
    <n v="231.08779999999999"/>
    <n v="217.71180000000001"/>
    <n v="141.00800000000001"/>
    <n v="49.078499999999998"/>
    <n v="-0.11065404157504505"/>
    <n v="-5.7882761443918622E-2"/>
    <n v="-5.2771280131126426E-2"/>
    <m/>
  </r>
  <r>
    <x v="2"/>
    <s v="BABY CREMA "/>
    <s v="VigaLife"/>
    <x v="10"/>
    <s v="BAGS"/>
    <s v="PH BALANCED"/>
    <s v="15"/>
    <n v="1.2461"/>
    <n v="7.7651000000000003"/>
    <n v="2.2378"/>
    <n v="20.960899999999999"/>
    <n v="127.6666"/>
    <n v="33.570999999999998"/>
    <n v="11.249000000000001"/>
    <n v="5.2315223497311614"/>
    <n v="5.090702212214171"/>
    <n v="0.14082013751699041"/>
    <m/>
  </r>
  <r>
    <x v="2"/>
    <s v="BABY CREMA "/>
    <s v="VigaLife"/>
    <x v="11"/>
    <s v="BAGS"/>
    <s v="ALCOHOL FREE"/>
    <s v="15"/>
    <n v="9.6471999999999998"/>
    <n v="10.7577"/>
    <n v="7.0723000000000003"/>
    <n v="112.20610000000001"/>
    <n v="131.05279999999999"/>
    <n v="85.719800000000006"/>
    <n v="27.477199999999996"/>
    <n v="0.11511112032506841"/>
    <n v="0.16796502150952564"/>
    <n v="-5.2853901184457222E-2"/>
    <m/>
  </r>
  <r>
    <x v="2"/>
    <s v="BABY CREMA "/>
    <s v="VigaLife"/>
    <x v="12"/>
    <s v="BAGS"/>
    <s v="WITHOUT EXTRA PROTECTCARE INDICATION"/>
    <s v="40"/>
    <n v="0.1235"/>
    <n v="0"/>
    <n v="0"/>
    <n v="2.2799999999999998"/>
    <n v="0"/>
    <n v="0"/>
    <n v="0.1235"/>
    <n v="-1"/>
    <n v="-1"/>
    <n v="0"/>
    <m/>
  </r>
  <r>
    <x v="2"/>
    <s v="BABY CREMA "/>
    <s v="VigaLife"/>
    <x v="13"/>
    <s v="BAGS"/>
    <s v="PH BALANCED"/>
    <s v="56"/>
    <n v="0"/>
    <n v="0"/>
    <n v="7.1128"/>
    <n v="0"/>
    <n v="0"/>
    <n v="247.09899999999999"/>
    <n v="7.1128"/>
    <n v="0"/>
    <n v="0"/>
    <n v="0"/>
    <m/>
  </r>
  <r>
    <x v="2"/>
    <s v="BABY CREMA "/>
    <s v="VigaLife"/>
    <x v="14"/>
    <s v="BAGS"/>
    <s v="PH BALANCED"/>
    <s v="56"/>
    <n v="0.18310000000000001"/>
    <n v="0.1116"/>
    <n v="0.38700000000000001"/>
    <n v="5.8884999999999996"/>
    <n v="3.7909999999999999"/>
    <n v="14.3827"/>
    <n v="0.68169999999999997"/>
    <n v="-0.39049699617695249"/>
    <n v="-0.35620276810732782"/>
    <n v="-3.4294228069624677E-2"/>
    <m/>
  </r>
  <r>
    <x v="2"/>
    <s v="BABY CREMA "/>
    <s v="VigaLife"/>
    <x v="15"/>
    <s v="BAGS"/>
    <s v="WITHOUT EXTRA PROTECTCARE INDICATION"/>
    <s v="64"/>
    <n v="1.8938999999999999"/>
    <n v="0"/>
    <n v="0.22520000000000001"/>
    <n v="49.9726"/>
    <n v="0"/>
    <n v="6.9500999999999999"/>
    <n v="2.1191"/>
    <n v="-1"/>
    <n v="-1"/>
    <n v="0"/>
    <m/>
  </r>
  <r>
    <x v="2"/>
    <s v="BABY CREMA "/>
    <s v="VigaLife"/>
    <x v="16"/>
    <s v="BAGS"/>
    <s v="WITHOUT EXTRA PROTECTCARE INDICATION"/>
    <s v="64"/>
    <n v="1.3514999999999999"/>
    <n v="1.6999999999999999E-3"/>
    <n v="0"/>
    <n v="37.322600000000001"/>
    <n v="6.4000000000000001E-2"/>
    <n v="0"/>
    <n v="1.3532"/>
    <n v="-0.99874213836477987"/>
    <n v="-0.99828522128683428"/>
    <n v="-4.5691707794559555E-4"/>
    <m/>
  </r>
  <r>
    <x v="2"/>
    <s v="BABY CREMA "/>
    <s v="VigaLife"/>
    <x v="17"/>
    <s v="BAGS"/>
    <s v="PH BALANCED"/>
    <s v="64"/>
    <n v="5.8978000000000002"/>
    <n v="0.1087"/>
    <n v="0"/>
    <n v="169.58080000000001"/>
    <n v="3.3822999999999999"/>
    <n v="0"/>
    <n v="6.0065"/>
    <n v="-0.98156939875885929"/>
    <n v="-0.98005493546439226"/>
    <n v="-1.5144632944670278E-3"/>
    <m/>
  </r>
  <r>
    <x v="2"/>
    <s v="BABY CREMA "/>
    <s v="VigaLife"/>
    <x v="18"/>
    <s v="BAGS"/>
    <s v="ALCOHOL FREE"/>
    <s v="64"/>
    <n v="0.69669999999999999"/>
    <n v="28.392900000000001"/>
    <n v="2.1978"/>
    <n v="25.606300000000001"/>
    <n v="1226.3661999999999"/>
    <n v="96.438800000000001"/>
    <n v="31.287400000000002"/>
    <n v="39.753408927802496"/>
    <n v="46.89314348422068"/>
    <n v="-7.1397345564181833"/>
    <m/>
  </r>
  <r>
    <x v="2"/>
    <s v="BABY CREMA "/>
    <s v="VigaLife"/>
    <x v="19"/>
    <s v="BAGS"/>
    <s v="WITHOUT EXTRA PROTECTCARE INDICATION"/>
    <s v="72"/>
    <n v="117.6534"/>
    <n v="68.117699999999999"/>
    <n v="28.349900000000002"/>
    <n v="3055.9405999999999"/>
    <n v="1781.8513"/>
    <n v="711.07719999999995"/>
    <n v="214.12099999999998"/>
    <n v="-0.42103075644222782"/>
    <n v="-0.41692214174581793"/>
    <n v="-4.1086146964098846E-3"/>
    <m/>
  </r>
  <r>
    <x v="2"/>
    <s v="BABY CREMA "/>
    <s v="VigaLife"/>
    <x v="20"/>
    <s v="BAGS"/>
    <s v="WITHOUT EXTRA PROTECTCARE INDICATION"/>
    <s v="72"/>
    <n v="38.677799999999998"/>
    <n v="31.4983"/>
    <n v="9.7551000000000005"/>
    <n v="954.11220000000003"/>
    <n v="803.28520000000003"/>
    <n v="236.19829999999999"/>
    <n v="79.93119999999999"/>
    <n v="-0.18562327743563486"/>
    <n v="-0.15808098879775354"/>
    <n v="-2.7542288637881329E-2"/>
    <m/>
  </r>
  <r>
    <x v="2"/>
    <s v="BABY CREMA "/>
    <s v="VigaLife"/>
    <x v="21"/>
    <s v="BAGS"/>
    <s v="PH BALANCED"/>
    <s v="72"/>
    <n v="6.1199999999999997E-2"/>
    <n v="0"/>
    <n v="0"/>
    <n v="1.6046"/>
    <n v="0"/>
    <n v="0"/>
    <n v="6.1199999999999997E-2"/>
    <n v="-1"/>
    <n v="-1"/>
    <n v="0"/>
    <m/>
  </r>
  <r>
    <x v="2"/>
    <s v="BABY CREMA "/>
    <s v="VigaLife"/>
    <x v="22"/>
    <s v="BAGS"/>
    <s v="PH BALANCED"/>
    <s v="72"/>
    <n v="36.521799999999999"/>
    <n v="5.1192000000000002"/>
    <n v="1.1213"/>
    <n v="1199.5277000000001"/>
    <n v="135.36869999999999"/>
    <n v="30.554400000000001"/>
    <n v="42.762299999999996"/>
    <n v="-0.85983166218532492"/>
    <n v="-0.88714833346491295"/>
    <n v="2.7316671279588034E-2"/>
    <m/>
  </r>
  <r>
    <x v="2"/>
    <s v="BABY CREMA "/>
    <s v="VigaLife"/>
    <x v="23"/>
    <s v="BAGS"/>
    <s v="PH BALANCED"/>
    <s v="72"/>
    <n v="21.958300000000001"/>
    <n v="39.467100000000002"/>
    <n v="10.7844"/>
    <n v="726.31399999999996"/>
    <n v="1508.4713999999999"/>
    <n v="314.52640000000002"/>
    <n v="72.209800000000001"/>
    <n v="0.79736591630499631"/>
    <n v="1.0768860300090595"/>
    <n v="-0.27952011370406316"/>
    <m/>
  </r>
  <r>
    <x v="2"/>
    <s v="BABY CREMA "/>
    <s v="VigaLife"/>
    <x v="24"/>
    <s v="BAGS"/>
    <s v="PH BALANCED"/>
    <s v="72"/>
    <n v="27.983599999999999"/>
    <n v="162.41050000000001"/>
    <n v="103.16800000000001"/>
    <n v="928.81529999999998"/>
    <n v="5484.9444999999996"/>
    <n v="3446.0194999999999"/>
    <n v="293.56209999999999"/>
    <n v="4.8037743535499375"/>
    <n v="4.9053123909565226"/>
    <n v="-0.10153803740658507"/>
    <m/>
  </r>
  <r>
    <x v="3"/>
    <s v="FRESHMAKER "/>
    <s v="FULYA COSMETICS"/>
    <x v="25"/>
    <s v="BAGS"/>
    <s v="PH BALANCED"/>
    <s v="120"/>
    <n v="393.93759999999997"/>
    <n v="316.5532"/>
    <n v="120.4361"/>
    <n v="20334.628400000001"/>
    <n v="15456.115599999999"/>
    <n v="5660.8364000000001"/>
    <n v="830.92690000000005"/>
    <n v="-0.19643821762634484"/>
    <n v="-0.23991157861532408"/>
    <n v="4.3473360988979248E-2"/>
    <m/>
  </r>
  <r>
    <x v="2"/>
    <s v="BABY CREMA "/>
    <s v="VigaLife"/>
    <x v="26"/>
    <s v="BAGS"/>
    <s v="PH BALANCED"/>
    <s v="72"/>
    <n v="6.4486999999999997"/>
    <n v="1.6863999999999999"/>
    <n v="0"/>
    <n v="194.65190000000001"/>
    <n v="50.700299999999999"/>
    <n v="0"/>
    <n v="8.1350999999999996"/>
    <n v="-0.73848992820258352"/>
    <n v="-0.73953349543467084"/>
    <n v="1.0435672320873168E-3"/>
    <m/>
  </r>
  <r>
    <x v="2"/>
    <s v="BABY CREMA "/>
    <s v="VigaLife"/>
    <x v="27"/>
    <s v="BAGS"/>
    <s v="PH BALANCED"/>
    <s v="72"/>
    <n v="0"/>
    <n v="0"/>
    <n v="0"/>
    <n v="0"/>
    <n v="0"/>
    <n v="0"/>
    <n v="0"/>
    <n v="0"/>
    <n v="0"/>
    <n v="0"/>
    <m/>
  </r>
  <r>
    <x v="4"/>
    <s v="PAMPERS "/>
    <s v="PROCTER &amp; GAMBLE"/>
    <x v="28"/>
    <s v="BAGS"/>
    <s v="ALCOHOL FREE"/>
    <s v="48"/>
    <n v="264.06810000000002"/>
    <n v="329.44319999999999"/>
    <n v="205.9486"/>
    <n v="3958.0279"/>
    <n v="5113.9928"/>
    <n v="2876.5592000000001"/>
    <n v="799.45990000000006"/>
    <n v="0.2475690929726081"/>
    <n v="0.29205577353307688"/>
    <n v="-4.4486680560468783E-2"/>
    <m/>
  </r>
  <r>
    <x v="2"/>
    <s v="BABY CREMA "/>
    <s v="VigaLife"/>
    <x v="29"/>
    <s v="BAGS"/>
    <s v="WITHOUT EXTRA PROTECTCARE INDICATION"/>
    <s v="80"/>
    <n v="1.7698"/>
    <n v="0.36170000000000002"/>
    <n v="0.20810000000000001"/>
    <n v="50.220500000000001"/>
    <n v="12.068099999999999"/>
    <n v="5.4642999999999997"/>
    <n v="2.3395999999999999"/>
    <n v="-0.79562662447734211"/>
    <n v="-0.75969773299748111"/>
    <n v="-3.5928891479861003E-2"/>
    <m/>
  </r>
  <r>
    <x v="2"/>
    <s v="BABY CREMA "/>
    <s v="VigaLife"/>
    <x v="30"/>
    <s v="BAGS"/>
    <s v="WITHOUT EXTRA PROTECTCARE INDICATION"/>
    <s v="80"/>
    <n v="61.981900000000003"/>
    <n v="56.970199999999998"/>
    <n v="23.8948"/>
    <n v="1524.2099000000001"/>
    <n v="1404.4858999999999"/>
    <n v="554.68420000000003"/>
    <n v="142.84690000000001"/>
    <n v="-8.0857476134161818E-2"/>
    <n v="-7.8548236696271395E-2"/>
    <n v="-2.309239437890423E-3"/>
    <m/>
  </r>
  <r>
    <x v="5"/>
    <s v="LINDY "/>
    <s v="Intelligent Initiative"/>
    <x v="31"/>
    <s v="BAGS"/>
    <s v="PH BALANCED"/>
    <s v="120"/>
    <n v="78.227999999999994"/>
    <n v="99.030500000000004"/>
    <n v="56.674100000000003"/>
    <n v="4816.5708000000004"/>
    <n v="5822.6243999999997"/>
    <n v="2923.4182999999998"/>
    <n v="233.93260000000001"/>
    <n v="0.2659214092140923"/>
    <n v="0.20887341674703488"/>
    <n v="5.7047992467057412E-2"/>
    <m/>
  </r>
  <r>
    <x v="5"/>
    <s v="LINDY "/>
    <s v="Intelligent Initiative"/>
    <x v="32"/>
    <s v="BAGS"/>
    <s v="WITHOUT EXTRA PROTECTCARE INDICATION"/>
    <s v="64"/>
    <n v="11.11"/>
    <n v="8.9543999999999997"/>
    <n v="2.2328999999999999"/>
    <n v="523.16819999999996"/>
    <n v="387.32229999999998"/>
    <n v="84.428399999999996"/>
    <n v="22.2973"/>
    <n v="-0.19402340234023402"/>
    <n v="-0.25966008637375126"/>
    <n v="6.5636684033517245E-2"/>
    <m/>
  </r>
  <r>
    <x v="5"/>
    <s v="LINDY "/>
    <s v="Intelligent Initiative"/>
    <x v="33"/>
    <s v="BAGS"/>
    <s v="WITHOUT EXTRA PROTECTCARE INDICATION"/>
    <s v="64"/>
    <n v="79.953000000000003"/>
    <n v="73.757099999999994"/>
    <n v="40.362299999999998"/>
    <n v="3388.3481999999999"/>
    <n v="2840.8843000000002"/>
    <n v="1387.0689"/>
    <n v="194.07240000000002"/>
    <n v="-7.7494277888259466E-2"/>
    <n v="-0.16157250308572174"/>
    <n v="8.4078225197462275E-2"/>
    <m/>
  </r>
  <r>
    <x v="5"/>
    <s v="LINDY "/>
    <s v="Intelligent Initiative"/>
    <x v="34"/>
    <s v="BAGS"/>
    <s v="WITHOUT EXTRA PROTECTCARE INDICATION"/>
    <s v="64"/>
    <n v="12.195"/>
    <n v="8.5597999999999992"/>
    <n v="1.6516999999999999"/>
    <n v="553.03880000000004"/>
    <n v="369.83049999999997"/>
    <n v="64.100099999999998"/>
    <n v="22.406500000000001"/>
    <n v="-0.29808938089380904"/>
    <n v="-0.33127567179734957"/>
    <n v="3.3186290903540527E-2"/>
    <m/>
  </r>
  <r>
    <x v="5"/>
    <s v="LINDY "/>
    <s v="Intelligent Initiative"/>
    <x v="35"/>
    <s v="BAGS"/>
    <s v="WITHOUT EXTRA PROTECTCARE INDICATION"/>
    <s v="64"/>
    <n v="60.510800000000003"/>
    <n v="52.405999999999999"/>
    <n v="30.122800000000002"/>
    <n v="2540.1291999999999"/>
    <n v="2011.4869000000001"/>
    <n v="1066.0352"/>
    <n v="143.03960000000001"/>
    <n v="-0.13393972646205313"/>
    <n v="-0.20811630369037912"/>
    <n v="7.4176577228325991E-2"/>
    <m/>
  </r>
  <r>
    <x v="5"/>
    <s v="LINDY "/>
    <s v="Intelligent Initiative"/>
    <x v="36"/>
    <s v="BAGS"/>
    <s v="WITHOUT EXTRA PROTECTCARE INDICATION"/>
    <s v="64"/>
    <n v="47.8005"/>
    <n v="51.199100000000001"/>
    <n v="29.6906"/>
    <n v="1970.2177999999999"/>
    <n v="1924.2328"/>
    <n v="1027.8571999999999"/>
    <n v="128.6902"/>
    <n v="7.1099674689595341E-2"/>
    <n v="-2.3340059154881201E-2"/>
    <n v="9.4439733844476542E-2"/>
    <m/>
  </r>
  <r>
    <x v="5"/>
    <s v="LINDY "/>
    <s v="Intelligent Initiative"/>
    <x v="37"/>
    <s v="BAGS"/>
    <s v="PH BALANCED"/>
    <s v="64"/>
    <n v="0"/>
    <n v="3.2536"/>
    <n v="4.3144"/>
    <n v="0"/>
    <n v="139.34979999999999"/>
    <n v="169.84690000000001"/>
    <n v="7.5679999999999996"/>
    <n v="0"/>
    <n v="0"/>
    <n v="0"/>
    <m/>
  </r>
  <r>
    <x v="5"/>
    <s v="LINDY "/>
    <s v="Intelligent Initiative"/>
    <x v="38"/>
    <s v="BAGS"/>
    <s v="PH BALANCED"/>
    <s v="64"/>
    <n v="5.5922000000000001"/>
    <n v="5.3672000000000004"/>
    <n v="2.5727000000000002"/>
    <n v="261.04790000000003"/>
    <n v="232.43600000000001"/>
    <n v="93.995500000000007"/>
    <n v="13.5321"/>
    <n v="-4.0234612495976478E-2"/>
    <n v="-0.10960402286323705"/>
    <n v="6.9369410367260576E-2"/>
    <m/>
  </r>
  <r>
    <x v="5"/>
    <s v="LINDY "/>
    <s v="Intelligent Initiative"/>
    <x v="39"/>
    <s v="BAGS"/>
    <s v="PH BALANCED"/>
    <s v="64"/>
    <n v="53.490699999999997"/>
    <n v="44.783700000000003"/>
    <n v="26.440899999999999"/>
    <n v="2262.5698000000002"/>
    <n v="1667.4681"/>
    <n v="920.88139999999999"/>
    <n v="124.7153"/>
    <n v="-0.16277595918542839"/>
    <n v="-0.26302026129757416"/>
    <n v="0.10024430211214577"/>
    <m/>
  </r>
  <r>
    <x v="5"/>
    <s v="LINDY "/>
    <s v="Intelligent Initiative"/>
    <x v="40"/>
    <s v="BAGS"/>
    <s v="SENSITIVE"/>
    <s v="64"/>
    <n v="8.2710000000000008"/>
    <n v="9.9309999999999992"/>
    <n v="1.1805000000000001"/>
    <n v="392.0086"/>
    <n v="426.19690000000003"/>
    <n v="46.280799999999999"/>
    <n v="19.382499999999997"/>
    <n v="0.20070124531495565"/>
    <n v="8.7213137670959326E-2"/>
    <n v="0.11348810764399632"/>
    <m/>
  </r>
  <r>
    <x v="5"/>
    <s v="LINDY "/>
    <s v="Intelligent Initiative"/>
    <x v="41"/>
    <s v="BAGS"/>
    <s v="SENSITIVE"/>
    <s v="64"/>
    <n v="70.562299999999993"/>
    <n v="56.785600000000002"/>
    <n v="30.796600000000002"/>
    <n v="2842.3220000000001"/>
    <n v="2121.0371"/>
    <n v="1067.8224"/>
    <n v="158.14449999999999"/>
    <n v="-0.19524165170352997"/>
    <n v="-0.25376607576481486"/>
    <n v="5.8524424061284885E-2"/>
    <m/>
  </r>
  <r>
    <x v="5"/>
    <s v="LINDY "/>
    <s v="Intelligent Initiative"/>
    <x v="42"/>
    <s v="BAGS"/>
    <s v="PH BALANCED"/>
    <s v="64"/>
    <n v="34.495899999999999"/>
    <n v="35.333399999999997"/>
    <n v="28.078199999999999"/>
    <n v="1446.3839"/>
    <n v="1359.9783"/>
    <n v="967.9162"/>
    <n v="97.907499999999985"/>
    <n v="2.4278247559854898E-2"/>
    <n v="-5.9739049916139174E-2"/>
    <n v="8.4017297475994068E-2"/>
    <m/>
  </r>
  <r>
    <x v="5"/>
    <s v="LINDY "/>
    <s v="Intelligent Initiative"/>
    <x v="43"/>
    <s v="BAGS"/>
    <s v="ALCOHOL FREE"/>
    <s v="90"/>
    <n v="49.5715"/>
    <n v="57.943199999999997"/>
    <n v="41.595799999999997"/>
    <n v="2203.8969999999999"/>
    <n v="2377.6914999999999"/>
    <n v="1614.8326999999999"/>
    <n v="149.1105"/>
    <n v="0.16888131285113417"/>
    <n v="7.8857814135597074E-2"/>
    <n v="9.0023498715537095E-2"/>
    <m/>
  </r>
  <r>
    <x v="6"/>
    <s v="LUBA "/>
    <s v="BroadLeaf Group"/>
    <x v="44"/>
    <s v="BAGS"/>
    <s v="PH BALANCED"/>
    <s v="120"/>
    <n v="0"/>
    <n v="0"/>
    <n v="5.7117000000000004"/>
    <n v="0"/>
    <n v="0"/>
    <n v="338.46300000000002"/>
    <n v="5.7117000000000004"/>
    <n v="0"/>
    <n v="0"/>
    <n v="0"/>
    <m/>
  </r>
  <r>
    <x v="6"/>
    <s v="LUBA "/>
    <s v="BroadLeaf Group"/>
    <x v="45"/>
    <s v="BAGS"/>
    <s v="PH BALANCED"/>
    <s v="90"/>
    <n v="0"/>
    <n v="4.4634999999999998"/>
    <n v="0.1893"/>
    <n v="0"/>
    <n v="231.33420000000001"/>
    <n v="9.7352000000000007"/>
    <n v="4.6528"/>
    <n v="0"/>
    <n v="0"/>
    <n v="0"/>
    <m/>
  </r>
  <r>
    <x v="7"/>
    <s v="HUGGLO "/>
    <s v="ArborChemistry"/>
    <x v="46"/>
    <s v="BAGS"/>
    <s v="PH BALANCED"/>
    <s v="120"/>
    <n v="0.70520000000000005"/>
    <n v="0"/>
    <n v="0"/>
    <n v="47.325299999999999"/>
    <n v="0"/>
    <n v="0"/>
    <n v="0.70520000000000005"/>
    <n v="-1"/>
    <n v="-1"/>
    <n v="0"/>
    <m/>
  </r>
  <r>
    <x v="8"/>
    <s v="PAPILION "/>
    <s v="ArkPapers"/>
    <x v="47"/>
    <s v="BAGS"/>
    <s v="PH BALANCED"/>
    <s v="100"/>
    <n v="0.76280000000000003"/>
    <n v="0.23669999999999999"/>
    <n v="0.1135"/>
    <n v="43.074599999999997"/>
    <n v="13.9861"/>
    <n v="6.5488999999999997"/>
    <n v="1.113"/>
    <n v="-0.68969585736759309"/>
    <n v="-0.67530516824300169"/>
    <n v="-1.4390689124591405E-2"/>
    <m/>
  </r>
  <r>
    <x v="8"/>
    <s v="PAPILION "/>
    <s v="ArkPapers"/>
    <x v="48"/>
    <s v="BAGS"/>
    <s v="SENSITIVE"/>
    <s v="100"/>
    <n v="14.3467"/>
    <n v="14.9893"/>
    <n v="7.9457000000000004"/>
    <n v="749.43960000000004"/>
    <n v="788.71510000000001"/>
    <n v="388.85250000000002"/>
    <n v="37.281700000000001"/>
    <n v="4.479078812549226E-2"/>
    <n v="5.2406491463754999E-2"/>
    <n v="-7.6157033382627387E-3"/>
    <m/>
  </r>
  <r>
    <x v="8"/>
    <s v="PAPILION "/>
    <s v="ArkPapers"/>
    <x v="49"/>
    <s v="BAGS"/>
    <s v="WITHOUT EXTRA PROTECTCARE INDICATION"/>
    <s v="100"/>
    <n v="9.9741999999999997"/>
    <n v="17.767600000000002"/>
    <n v="9.7081"/>
    <n v="530.94489999999996"/>
    <n v="921.25450000000001"/>
    <n v="442.90179999999998"/>
    <n v="37.4499"/>
    <n v="0.78135589821740115"/>
    <n v="0.73512260876787794"/>
    <n v="4.6233289449523207E-2"/>
    <m/>
  </r>
  <r>
    <x v="8"/>
    <s v="PAPILION "/>
    <s v="ArkPapers"/>
    <x v="50"/>
    <s v="BAGS"/>
    <s v="WITHOUT EXTRA PROTECTCARE INDICATION"/>
    <s v="100"/>
    <n v="15.1808"/>
    <n v="9.7044999999999995"/>
    <n v="2.6509999999999998"/>
    <n v="814.55730000000005"/>
    <n v="531.53909999999996"/>
    <n v="144.98150000000001"/>
    <n v="27.536300000000001"/>
    <n v="-0.36073856450252956"/>
    <n v="-0.34745032669893211"/>
    <n v="-1.3288237803597447E-2"/>
    <m/>
  </r>
  <r>
    <x v="8"/>
    <s v="PAPILION "/>
    <s v="ArkPapers"/>
    <x v="51"/>
    <s v="BAGS"/>
    <s v="PH BALANCED"/>
    <s v="100"/>
    <n v="18.2471"/>
    <n v="19.903099999999998"/>
    <n v="8.7614000000000001"/>
    <n v="989.38980000000004"/>
    <n v="1044.1582000000001"/>
    <n v="387.44209999999998"/>
    <n v="46.9116"/>
    <n v="9.0754147234354987E-2"/>
    <n v="5.5355735423995717E-2"/>
    <n v="3.539841181035927E-2"/>
    <m/>
  </r>
  <r>
    <x v="8"/>
    <s v="PAPILION "/>
    <s v="ArkPapers"/>
    <x v="52"/>
    <s v="BAGS"/>
    <s v="PH BALANCED"/>
    <s v="100"/>
    <n v="13.7898"/>
    <n v="10.6778"/>
    <n v="5.2233000000000001"/>
    <n v="726.86360000000002"/>
    <n v="563.28449999999998"/>
    <n v="268.45999999999998"/>
    <n v="29.690899999999999"/>
    <n v="-0.22567404893471987"/>
    <n v="-0.22504786317542938"/>
    <n v="-6.2618575929049292E-4"/>
    <m/>
  </r>
  <r>
    <x v="8"/>
    <s v="PAPILION "/>
    <s v="ArkPapers"/>
    <x v="53"/>
    <s v="BAGS"/>
    <s v="WITHOUT EXTRA PROTECTCARE INDICATION"/>
    <s v="100"/>
    <n v="0"/>
    <n v="0"/>
    <n v="0"/>
    <n v="0"/>
    <n v="0"/>
    <n v="0"/>
    <n v="0"/>
    <n v="0"/>
    <n v="0"/>
    <n v="0"/>
    <m/>
  </r>
  <r>
    <x v="8"/>
    <s v="PAPILION "/>
    <s v="ArkPapers"/>
    <x v="54"/>
    <s v="BAGS"/>
    <s v="PH BALANCED"/>
    <s v="120"/>
    <n v="29.590800000000002"/>
    <n v="20.845300000000002"/>
    <n v="11.449400000000001"/>
    <n v="1741.4848"/>
    <n v="1127.5655999999999"/>
    <n v="585.96109999999999"/>
    <n v="61.885500000000008"/>
    <n v="-0.29554794057612499"/>
    <n v="-0.35252630399070956"/>
    <n v="5.6978363414584565E-2"/>
    <m/>
  </r>
  <r>
    <x v="8"/>
    <s v="PAPILION "/>
    <s v="ArkPapers"/>
    <x v="55"/>
    <s v="BAGS"/>
    <s v="SENSITIVE"/>
    <s v="72"/>
    <n v="0.72840000000000005"/>
    <n v="0"/>
    <n v="0"/>
    <n v="51.0182"/>
    <n v="0"/>
    <n v="0"/>
    <n v="0.72840000000000005"/>
    <n v="-1"/>
    <n v="-1"/>
    <n v="0"/>
    <m/>
  </r>
  <r>
    <x v="8"/>
    <s v="PAPILION "/>
    <s v="ArkPapers"/>
    <x v="56"/>
    <s v="BAGS"/>
    <s v="ALCOHOL FREE"/>
    <s v="90"/>
    <n v="2.0455000000000001"/>
    <n v="0.30070000000000002"/>
    <n v="9.6000000000000002E-2"/>
    <n v="81.869600000000005"/>
    <n v="11.870100000000001"/>
    <n v="3.7711999999999999"/>
    <n v="2.4422000000000001"/>
    <n v="-0.85299437790271326"/>
    <n v="-0.85501211682969025"/>
    <n v="2.0177389269769863E-3"/>
    <m/>
  </r>
  <r>
    <x v="9"/>
    <s v="HONEY BEBISH "/>
    <s v="Arkana PaperCraft"/>
    <x v="57"/>
    <s v="BAGS"/>
    <s v="WITHOUT EXTRA PROTECTCARE INDICATION"/>
    <s v="102"/>
    <n v="0"/>
    <n v="0"/>
    <n v="0"/>
    <n v="0"/>
    <n v="0"/>
    <n v="0"/>
    <n v="0"/>
    <n v="0"/>
    <n v="0"/>
    <n v="0"/>
    <m/>
  </r>
  <r>
    <x v="9"/>
    <s v="PINE "/>
    <s v="Arkana PaperCraft"/>
    <x v="58"/>
    <s v="BAGS"/>
    <s v="WITHOUT EXTRA PROTECTCARE INDICATION"/>
    <s v="120"/>
    <n v="1.0717000000000001"/>
    <n v="1.6845000000000001"/>
    <n v="0.2092"/>
    <n v="53.428199999999997"/>
    <n v="83.401399999999995"/>
    <n v="9.5612999999999992"/>
    <n v="2.9654000000000003"/>
    <n v="0.57180181020808063"/>
    <n v="0.5609996219225053"/>
    <n v="1.0802188285575332E-2"/>
    <m/>
  </r>
  <r>
    <x v="9"/>
    <s v="PINE "/>
    <s v="Arkana PaperCraft"/>
    <x v="59"/>
    <s v="BAGS"/>
    <s v="WITHOUT EXTRA PROTECTCARE INDICATION"/>
    <s v="72"/>
    <n v="0.46760000000000002"/>
    <n v="0.37340000000000001"/>
    <n v="0.47289999999999999"/>
    <n v="17.929200000000002"/>
    <n v="13.441700000000001"/>
    <n v="18.149699999999999"/>
    <n v="1.3138999999999998"/>
    <n v="-0.20145423438836613"/>
    <n v="-0.25029002967226649"/>
    <n v="4.8835795283900363E-2"/>
    <m/>
  </r>
  <r>
    <x v="10"/>
    <s v="TROMPY "/>
    <s v="Fragrantium S.A."/>
    <x v="60"/>
    <s v="BAGS"/>
    <s v="WITHOUT EXTRA PROTECTCARE INDICATION"/>
    <s v="20"/>
    <n v="4.4499999999999998E-2"/>
    <n v="6.2E-2"/>
    <n v="0"/>
    <n v="0.36759999999999998"/>
    <n v="0.48380000000000001"/>
    <n v="0"/>
    <n v="0.1065"/>
    <n v="0.39325842696629221"/>
    <n v="0.31610446137105558"/>
    <n v="7.7153965595236629E-2"/>
    <m/>
  </r>
  <r>
    <x v="11"/>
    <s v="HAPPY FRESH "/>
    <s v="ArsenicChem"/>
    <x v="61"/>
    <s v="BAGS"/>
    <s v="PH BALANCED"/>
    <s v="72"/>
    <n v="0"/>
    <n v="0"/>
    <n v="0"/>
    <n v="0"/>
    <n v="0"/>
    <n v="0"/>
    <n v="0"/>
    <n v="0"/>
    <n v="0"/>
    <n v="0"/>
    <m/>
  </r>
  <r>
    <x v="11"/>
    <s v="HAPPY FRESH "/>
    <s v="ArsenicChem"/>
    <x v="62"/>
    <s v="BAGS"/>
    <s v="WITHOUT EXTRA PROTECTCARE INDICATION"/>
    <s v="72"/>
    <n v="3.3401000000000001"/>
    <n v="5.1974"/>
    <n v="3.7094999999999998"/>
    <n v="168.65979999999999"/>
    <n v="278.62639999999999"/>
    <n v="222.0746"/>
    <n v="12.247"/>
    <n v="0.55606119577258162"/>
    <n v="0.65200243330064434"/>
    <n v="-9.5941237528062717E-2"/>
    <m/>
  </r>
  <r>
    <x v="11"/>
    <s v="ULTRA COMPACT "/>
    <s v="ArsenicChem"/>
    <x v="63"/>
    <s v="BAGS"/>
    <s v="ALCOHOL FREE"/>
    <s v="120"/>
    <n v="1.2582"/>
    <n v="4.4390999999999998"/>
    <n v="0.70909999999999995"/>
    <n v="67.526600000000002"/>
    <n v="226.15649999999999"/>
    <n v="33.759099999999997"/>
    <n v="6.4064000000000005"/>
    <n v="2.528135431568908"/>
    <n v="2.3491468547209542"/>
    <n v="0.17898857684795377"/>
    <m/>
  </r>
  <r>
    <x v="11"/>
    <s v="ULTRA COMPACT "/>
    <s v="ArsenicChem"/>
    <x v="64"/>
    <s v="BAGS"/>
    <s v="ALCOHOL FREE"/>
    <s v="120"/>
    <n v="4.5986000000000002"/>
    <n v="6.1303000000000001"/>
    <n v="2.8555999999999999"/>
    <n v="228.69929999999999"/>
    <n v="310.51369999999997"/>
    <n v="123.6022"/>
    <n v="13.584499999999998"/>
    <n v="0.33307963293176179"/>
    <n v="0.35773786802145868"/>
    <n v="-2.4658235089696889E-2"/>
    <m/>
  </r>
  <r>
    <x v="11"/>
    <s v="ULTRA COMPACT "/>
    <s v="ArsenicChem"/>
    <x v="65"/>
    <s v="BAGS"/>
    <s v="ALCOHOL FREE"/>
    <s v="72"/>
    <n v="0.94640000000000002"/>
    <n v="1.6005"/>
    <n v="1.0179"/>
    <n v="54.868499999999997"/>
    <n v="87.027500000000003"/>
    <n v="38.080399999999997"/>
    <n v="3.5648"/>
    <n v="0.69114539306847"/>
    <n v="0.58611042765885724"/>
    <n v="0.10503496540961277"/>
    <m/>
  </r>
  <r>
    <x v="11"/>
    <s v="ULTRA COMPACT "/>
    <s v="ArsenicChem"/>
    <x v="66"/>
    <s v="BAGS"/>
    <s v="PH BALANCED"/>
    <s v="72"/>
    <n v="1.8199000000000001"/>
    <n v="0.76910000000000001"/>
    <n v="0.73480000000000001"/>
    <n v="83.522300000000001"/>
    <n v="35.127499999999998"/>
    <n v="37.258200000000002"/>
    <n v="3.3237999999999999"/>
    <n v="-0.57739436232760044"/>
    <n v="-0.57942369882055456"/>
    <n v="2.0293364929541147E-3"/>
    <m/>
  </r>
  <r>
    <x v="12"/>
    <s v="KANZ "/>
    <s v=" Creativa Worldwide"/>
    <x v="67"/>
    <s v="BAGS"/>
    <s v="ALCOHOL FREE"/>
    <s v="120"/>
    <n v="0"/>
    <n v="10.5616"/>
    <n v="42.6479"/>
    <n v="0"/>
    <n v="483.39569999999998"/>
    <n v="1689.356"/>
    <n v="53.209499999999998"/>
    <n v="0"/>
    <n v="0"/>
    <n v="0"/>
    <m/>
  </r>
  <r>
    <x v="12"/>
    <s v="KANZ "/>
    <s v=" Creativa Worldwide"/>
    <x v="68"/>
    <s v="BAGS"/>
    <s v="ALCOHOL FREE"/>
    <s v="50"/>
    <n v="0"/>
    <n v="2.0855999999999999"/>
    <n v="2.5316000000000001"/>
    <n v="0"/>
    <n v="61.262700000000002"/>
    <n v="71.165300000000002"/>
    <n v="4.6172000000000004"/>
    <n v="0"/>
    <n v="0"/>
    <n v="0"/>
    <m/>
  </r>
  <r>
    <x v="12"/>
    <s v="KANZ "/>
    <s v=" Creativa Worldwide"/>
    <x v="69"/>
    <s v="BAGS"/>
    <s v="ALCOHOL FREE"/>
    <s v="72"/>
    <n v="0"/>
    <n v="0.54479999999999995"/>
    <n v="7.6315999999999997"/>
    <n v="0"/>
    <n v="20.880700000000001"/>
    <n v="330.70479999999998"/>
    <n v="8.1763999999999992"/>
    <n v="0"/>
    <n v="0"/>
    <n v="0"/>
    <m/>
  </r>
  <r>
    <x v="13"/>
    <s v="CHICCO "/>
    <s v="CultureSana"/>
    <x v="70"/>
    <s v="BAGS"/>
    <s v="SENSITIVE"/>
    <s v="60"/>
    <n v="0"/>
    <n v="1.5012000000000001"/>
    <n v="0.18310000000000001"/>
    <n v="0"/>
    <n v="36.194499999999998"/>
    <n v="4.9927999999999999"/>
    <n v="1.6843000000000001"/>
    <n v="0"/>
    <n v="0"/>
    <n v="0"/>
    <m/>
  </r>
  <r>
    <x v="13"/>
    <s v="CHICCO "/>
    <s v="CultureSana"/>
    <x v="71"/>
    <s v="BAGS"/>
    <s v="ALCOHOL FREE"/>
    <s v="72"/>
    <n v="3.1665000000000001"/>
    <n v="0.6875"/>
    <n v="0.27989999999999998"/>
    <n v="65.203199999999995"/>
    <n v="14.1759"/>
    <n v="5.1737000000000002"/>
    <n v="4.1338999999999997"/>
    <n v="-0.78288330964787622"/>
    <n v="-0.78258889134275622"/>
    <n v="-2.9441830512000333E-4"/>
    <m/>
  </r>
  <r>
    <x v="14"/>
    <s v="UNI "/>
    <s v="Ataman Industries"/>
    <x v="72"/>
    <s v="BAGS"/>
    <s v="PH BALANCED"/>
    <s v="72"/>
    <n v="0"/>
    <n v="0"/>
    <n v="5.57E-2"/>
    <n v="0"/>
    <n v="0"/>
    <n v="1.7425999999999999"/>
    <n v="5.57E-2"/>
    <n v="0"/>
    <n v="0"/>
    <n v="0"/>
    <m/>
  </r>
  <r>
    <x v="15"/>
    <s v="MOLFIX "/>
    <s v="HAYAT KIMYA"/>
    <x v="73"/>
    <s v="BAGS"/>
    <s v="PH BALANCED"/>
    <s v="60"/>
    <n v="296.26589999999999"/>
    <n v="290.55259999999998"/>
    <n v="128.1713"/>
    <n v="8749.3634000000002"/>
    <n v="8593.8201000000008"/>
    <n v="3618.6093999999998"/>
    <n v="714.98979999999995"/>
    <n v="-1.92843658348801E-2"/>
    <n v="-1.7777670544579204E-2"/>
    <n v="-1.5066952903008968E-3"/>
    <m/>
  </r>
  <r>
    <x v="16"/>
    <s v="EVENT "/>
    <s v="AxisOn Group"/>
    <x v="74"/>
    <s v="BAGS"/>
    <s v="PH BALANCED"/>
    <s v="140"/>
    <n v="2.7799999999999998E-2"/>
    <n v="4.5999999999999999E-3"/>
    <n v="0"/>
    <n v="1.2"/>
    <n v="0.2"/>
    <n v="0"/>
    <n v="3.2399999999999998E-2"/>
    <n v="-0.83453237410071945"/>
    <n v="-0.83333333333333337"/>
    <n v="-1.1990407673860837E-3"/>
    <m/>
  </r>
  <r>
    <x v="16"/>
    <s v="EVENT "/>
    <s v="AxisOn Group"/>
    <x v="75"/>
    <s v="BAGS"/>
    <s v="PH BALANCED"/>
    <s v="20"/>
    <n v="27.777100000000001"/>
    <n v="19.717700000000001"/>
    <n v="14.4848"/>
    <n v="429.91730000000001"/>
    <n v="309.96710000000002"/>
    <n v="229.3313"/>
    <n v="61.979599999999998"/>
    <n v="-0.29014547954970099"/>
    <n v="-0.27900761378990796"/>
    <n v="-1.1137865759793031E-2"/>
    <m/>
  </r>
  <r>
    <x v="16"/>
    <s v="EVENT "/>
    <s v="AxisOn Group"/>
    <x v="76"/>
    <s v="BAGS"/>
    <s v="SENSITIVE"/>
    <s v="20"/>
    <n v="40.515599999999999"/>
    <n v="34.999099999999999"/>
    <n v="5.7746000000000004"/>
    <n v="630.63189999999997"/>
    <n v="558.36739999999998"/>
    <n v="90.998999999999995"/>
    <n v="81.289300000000011"/>
    <n v="-0.13615743071804443"/>
    <n v="-0.11459061934545335"/>
    <n v="-2.1566811372591074E-2"/>
    <m/>
  </r>
  <r>
    <x v="16"/>
    <s v="EVENT "/>
    <s v="AxisOn Group"/>
    <x v="77"/>
    <s v="BAGS"/>
    <s v="PH BALANCED"/>
    <s v="25"/>
    <n v="61.397500000000001"/>
    <n v="45.295999999999999"/>
    <n v="19.337599999999998"/>
    <n v="1027.2618"/>
    <n v="758.06629999999996"/>
    <n v="328.18349999999998"/>
    <n v="126.0311"/>
    <n v="-0.26225009161610818"/>
    <n v="-0.26205150430007235"/>
    <n v="-1.9858731603583646E-4"/>
    <m/>
  </r>
  <r>
    <x v="16"/>
    <s v="EVENT "/>
    <s v="AxisOn Group"/>
    <x v="78"/>
    <s v="BAGS"/>
    <s v="PH BALANCED"/>
    <s v="25"/>
    <n v="1.03E-2"/>
    <n v="1.6999999999999999E-3"/>
    <n v="0"/>
    <n v="0.21429999999999999"/>
    <n v="3.5700000000000003E-2"/>
    <n v="0"/>
    <n v="1.2E-2"/>
    <n v="-0.83495145631067957"/>
    <n v="-0.83341110592627154"/>
    <n v="-1.5403503844080291E-3"/>
    <m/>
  </r>
  <r>
    <x v="16"/>
    <s v="EVENT "/>
    <s v="AxisOn Group"/>
    <x v="79"/>
    <s v="BAGS"/>
    <s v="HYPOALLERGENIC"/>
    <s v="30"/>
    <n v="0"/>
    <n v="0"/>
    <n v="8.3928999999999991"/>
    <n v="0"/>
    <n v="0"/>
    <n v="185.37119999999999"/>
    <n v="8.3928999999999991"/>
    <n v="0"/>
    <n v="0"/>
    <n v="0"/>
    <m/>
  </r>
  <r>
    <x v="16"/>
    <s v="EVENT "/>
    <s v="AxisOn Group"/>
    <x v="80"/>
    <s v="BAGS"/>
    <s v="HYPOALLERGENIC"/>
    <s v="64"/>
    <n v="11.2281"/>
    <n v="7.5716999999999999"/>
    <n v="1.9255"/>
    <n v="325.11810000000003"/>
    <n v="236.1233"/>
    <n v="61.869799999999998"/>
    <n v="20.725299999999997"/>
    <n v="-0.32564725999946559"/>
    <n v="-0.27373068432671088"/>
    <n v="-5.1916575672754706E-2"/>
    <m/>
  </r>
  <r>
    <x v="16"/>
    <s v="EVENT "/>
    <s v="AxisOn Group"/>
    <x v="81"/>
    <s v="BAGS"/>
    <s v="HYPOALLERGENIC"/>
    <s v="72"/>
    <n v="56.268599999999999"/>
    <n v="22.377800000000001"/>
    <n v="12.435499999999999"/>
    <n v="1799.2518"/>
    <n v="721.99059999999997"/>
    <n v="385.45190000000002"/>
    <n v="91.081900000000005"/>
    <n v="-0.60230394927188524"/>
    <n v="-0.59872731543189228"/>
    <n v="-3.5766338399929598E-3"/>
    <m/>
  </r>
  <r>
    <x v="16"/>
    <s v="EVENT "/>
    <s v="AxisOn Group"/>
    <x v="82"/>
    <s v="BAGS"/>
    <s v="WITHOUT EXTRA PROTECTCARE INDICATION"/>
    <s v="72"/>
    <n v="0.64159999999999995"/>
    <n v="0.34470000000000001"/>
    <n v="0"/>
    <n v="14.463900000000001"/>
    <n v="7.3648999999999996"/>
    <n v="0"/>
    <n v="0.98629999999999995"/>
    <n v="-0.46274937655860343"/>
    <n v="-0.49080814994572702"/>
    <n v="2.8058773387123592E-2"/>
    <m/>
  </r>
  <r>
    <x v="16"/>
    <s v="EVENT "/>
    <s v="AxisOn Group"/>
    <x v="83"/>
    <s v="BAGS"/>
    <s v="SENSITIVE"/>
    <s v="72"/>
    <n v="64.480099999999993"/>
    <n v="81.182500000000005"/>
    <n v="15.496600000000001"/>
    <n v="2159.5493999999999"/>
    <n v="2486.1275000000001"/>
    <n v="493.73469999999998"/>
    <n v="161.1592"/>
    <n v="0.25903185634017339"/>
    <n v="0.15122511205346828"/>
    <n v="0.10780674428670511"/>
    <m/>
  </r>
  <r>
    <x v="17"/>
    <s v="TEX "/>
    <s v="PureAim Cleaners"/>
    <x v="84"/>
    <s v="BAGS"/>
    <s v="PH BALANCED"/>
    <s v="100"/>
    <n v="0"/>
    <n v="0"/>
    <n v="0.24490000000000001"/>
    <n v="0"/>
    <n v="0"/>
    <n v="9.7979000000000003"/>
    <n v="0.24490000000000001"/>
    <n v="0"/>
    <n v="0"/>
    <n v="0"/>
    <m/>
  </r>
  <r>
    <x v="17"/>
    <s v="TEX "/>
    <s v="PureAim Cleaners"/>
    <x v="85"/>
    <s v="BAGS"/>
    <s v="PH BALANCED"/>
    <s v="100"/>
    <n v="0.22359999999999999"/>
    <n v="1.0136000000000001"/>
    <n v="0.81230000000000002"/>
    <n v="12.2155"/>
    <n v="49.151600000000002"/>
    <n v="34.919499999999999"/>
    <n v="2.0495000000000001"/>
    <n v="3.5330948121645798"/>
    <n v="3.0237075846260901"/>
    <n v="0.50938722753848964"/>
    <m/>
  </r>
  <r>
    <x v="18"/>
    <s v="NIVEA "/>
    <s v="AlpineMeadow"/>
    <x v="86"/>
    <s v="BAGS"/>
    <s v="WITHOUT EXTRA PROTECTCARE INDICATION"/>
    <s v="20"/>
    <n v="15.0191"/>
    <n v="17.616800000000001"/>
    <n v="13.700200000000001"/>
    <n v="121.4559"/>
    <n v="162.24"/>
    <n v="126.0534"/>
    <n v="46.336100000000002"/>
    <n v="0.17295976456645215"/>
    <n v="0.33579348553672578"/>
    <n v="-0.16283372097027363"/>
    <m/>
  </r>
  <r>
    <x v="18"/>
    <s v="NIVEA "/>
    <s v="AlpineMeadow"/>
    <x v="87"/>
    <s v="BAGS"/>
    <s v="WITHOUT EXTRA PROTECTCARE INDICATION"/>
    <s v="60"/>
    <n v="19.776399999999999"/>
    <n v="13.798299999999999"/>
    <n v="7.5656999999999996"/>
    <n v="281.97280000000001"/>
    <n v="222.7071"/>
    <n v="118.9547"/>
    <n v="41.1404"/>
    <n v="-0.30228454117028375"/>
    <n v="-0.2101823296431429"/>
    <n v="-9.2102211527140848E-2"/>
    <m/>
  </r>
  <r>
    <x v="18"/>
    <s v="NIVEA "/>
    <s v="AlpineMeadow"/>
    <x v="88"/>
    <s v="BAGS"/>
    <s v="WITHOUT EXTRA PROTECTCARE INDICATION"/>
    <s v="63"/>
    <n v="41.314100000000003"/>
    <n v="32.422600000000003"/>
    <n v="18.6829"/>
    <n v="549.64080000000001"/>
    <n v="416.84789999999998"/>
    <n v="241.38910000000001"/>
    <n v="92.419600000000017"/>
    <n v="-0.21521708085133162"/>
    <n v="-0.24159942275027624"/>
    <n v="2.6382341898944617E-2"/>
    <m/>
  </r>
  <r>
    <x v="18"/>
    <s v="NIVEA "/>
    <s v="AlpineMeadow"/>
    <x v="89"/>
    <s v="BAGS"/>
    <s v="ALCOHOL FREE"/>
    <s v="63"/>
    <n v="10.5054"/>
    <n v="0.496"/>
    <n v="0"/>
    <n v="168.06010000000001"/>
    <n v="9.3780000000000001"/>
    <n v="0"/>
    <n v="11.0014"/>
    <n v="-0.95278618615188371"/>
    <n v="-0.94419853373882312"/>
    <n v="-8.5876524130605869E-3"/>
    <m/>
  </r>
  <r>
    <x v="18"/>
    <s v="NIVEA "/>
    <s v="AlpineMeadow"/>
    <x v="90"/>
    <s v="BAGS"/>
    <s v="WITHOUT EXTRA PROTECTCARE INDICATION"/>
    <s v="63"/>
    <n v="26.694099999999999"/>
    <n v="16.9801"/>
    <n v="8.3484999999999996"/>
    <n v="362.30340000000001"/>
    <n v="234.6001"/>
    <n v="111.9991"/>
    <n v="52.0227"/>
    <n v="-0.36390063721946042"/>
    <n v="-0.3524761291227187"/>
    <n v="-1.1424508096741726E-2"/>
    <m/>
  </r>
  <r>
    <x v="19"/>
    <s v="SMILE "/>
    <s v="BIOSPHERE CORP."/>
    <x v="91"/>
    <s v="BAGS"/>
    <s v="PH BALANCED"/>
    <s v="60"/>
    <n v="0.52039999999999997"/>
    <n v="1.6072"/>
    <n v="0.16420000000000001"/>
    <n v="10.5198"/>
    <n v="34.4998"/>
    <n v="3.1461000000000001"/>
    <n v="2.2918000000000003"/>
    <n v="2.0883935434281322"/>
    <n v="2.2795110173197211"/>
    <n v="-0.19111747389158884"/>
    <m/>
  </r>
  <r>
    <x v="20"/>
    <s v="SOFTLINE "/>
    <s v="BurdenCo"/>
    <x v="92"/>
    <s v="BAGS"/>
    <s v="PH BALANCED"/>
    <s v="120"/>
    <n v="0"/>
    <n v="0"/>
    <n v="0"/>
    <n v="0"/>
    <n v="0"/>
    <n v="0"/>
    <n v="0"/>
    <n v="0"/>
    <n v="0"/>
    <n v="0"/>
    <m/>
  </r>
  <r>
    <x v="21"/>
    <s v="BABY CARE "/>
    <s v="TradeKing Cengiz"/>
    <x v="93"/>
    <s v="BAGS"/>
    <s v="PH BALANCED"/>
    <s v="72"/>
    <n v="0"/>
    <n v="3.7900000000000003E-2"/>
    <n v="6.93E-2"/>
    <n v="0"/>
    <n v="2.3294000000000001"/>
    <n v="4.2670000000000003"/>
    <n v="0.1072"/>
    <n v="0"/>
    <n v="0"/>
    <n v="0"/>
    <m/>
  </r>
  <r>
    <x v="22"/>
    <s v="ClearSight "/>
    <s v="ClearSight"/>
    <x v="94"/>
    <s v="BAGS"/>
    <s v="PH BALANCED"/>
    <s v="25"/>
    <n v="0"/>
    <n v="8.6E-3"/>
    <n v="13.3878"/>
    <n v="0"/>
    <n v="0.19639999999999999"/>
    <n v="341.02409999999998"/>
    <n v="13.3964"/>
    <n v="0"/>
    <n v="0"/>
    <n v="0"/>
    <m/>
  </r>
  <r>
    <x v="22"/>
    <s v="ClearSight "/>
    <s v="ClearSight"/>
    <x v="95"/>
    <s v="BAGS"/>
    <s v="PH BALANCED"/>
    <s v="25"/>
    <n v="0"/>
    <n v="4.8898999999999999"/>
    <n v="10.664400000000001"/>
    <n v="0"/>
    <n v="145.9169"/>
    <n v="284.60649999999998"/>
    <n v="15.554300000000001"/>
    <n v="0"/>
    <n v="0"/>
    <n v="0"/>
    <m/>
  </r>
  <r>
    <x v="22"/>
    <s v="ClearSight "/>
    <s v="ClearSight"/>
    <x v="96"/>
    <s v="BAGS"/>
    <s v="PH BALANCED"/>
    <s v="25"/>
    <n v="0"/>
    <n v="5.8544999999999998"/>
    <n v="9.0564"/>
    <n v="0"/>
    <n v="166.38579999999999"/>
    <n v="238.54349999999999"/>
    <n v="14.9109"/>
    <n v="0"/>
    <n v="0"/>
    <n v="0"/>
    <m/>
  </r>
  <r>
    <x v="22"/>
    <s v="ClearSight "/>
    <s v="ClearSight"/>
    <x v="97"/>
    <s v="BAGS"/>
    <s v="PH BALANCED"/>
    <s v="66"/>
    <n v="0"/>
    <n v="0"/>
    <n v="0.9879"/>
    <n v="0"/>
    <n v="0"/>
    <n v="34.929000000000002"/>
    <n v="0.9879"/>
    <n v="0"/>
    <n v="0"/>
    <n v="0"/>
    <m/>
  </r>
  <r>
    <x v="22"/>
    <s v="ClearSight "/>
    <s v="ClearSight"/>
    <x v="98"/>
    <s v="BAGS"/>
    <s v="PH BALANCED"/>
    <s v="80"/>
    <n v="15.267200000000001"/>
    <n v="16.318300000000001"/>
    <n v="16.784099999999999"/>
    <n v="431.15870000000001"/>
    <n v="473.67329999999998"/>
    <n v="505.80540000000002"/>
    <n v="48.369600000000005"/>
    <n v="6.8846939844896246E-2"/>
    <n v="9.8605455485416327E-2"/>
    <n v="-2.9758515640520081E-2"/>
    <m/>
  </r>
  <r>
    <x v="22"/>
    <s v="ClearSight "/>
    <s v="ClearSight"/>
    <x v="99"/>
    <s v="BAGS"/>
    <s v="PH BALANCED"/>
    <s v="80"/>
    <n v="9.5295000000000005"/>
    <n v="13.395300000000001"/>
    <n v="18.126999999999999"/>
    <n v="274.45499999999998"/>
    <n v="396.72109999999998"/>
    <n v="559.59109999999998"/>
    <n v="41.0518"/>
    <n v="0.4056666141980167"/>
    <n v="0.44548687398662806"/>
    <n v="-3.9820259788611367E-2"/>
    <m/>
  </r>
  <r>
    <x v="22"/>
    <s v="ClearSight "/>
    <s v="ClearSight"/>
    <x v="100"/>
    <s v="BAGS"/>
    <s v="PH BALANCED"/>
    <s v="80"/>
    <n v="11.2293"/>
    <n v="14.7631"/>
    <n v="16.131900000000002"/>
    <n v="318.93810000000002"/>
    <n v="440.8152"/>
    <n v="474.58569999999997"/>
    <n v="42.124300000000005"/>
    <n v="0.31469459360779384"/>
    <n v="0.38213402537984636"/>
    <n v="-6.7439431772052527E-2"/>
    <m/>
  </r>
  <r>
    <x v="23"/>
    <s v="OKIDOKI "/>
    <s v="CodeInt B.V."/>
    <x v="101"/>
    <s v="BAGS"/>
    <s v="WITHOUT EXTRA PROTECTCARE INDICATION"/>
    <s v="60"/>
    <n v="1.03E-2"/>
    <n v="0"/>
    <n v="0"/>
    <n v="0.3876"/>
    <n v="0"/>
    <n v="0"/>
    <n v="1.03E-2"/>
    <n v="-1"/>
    <n v="-1"/>
    <n v="0"/>
    <m/>
  </r>
  <r>
    <x v="24"/>
    <s v="BABY WISH "/>
    <s v="ChillClean"/>
    <x v="102"/>
    <s v="BAGS"/>
    <s v="WITHOUT EXTRA PROTECTCARE INDICATION"/>
    <s v="120"/>
    <n v="0"/>
    <n v="1.8077000000000001"/>
    <n v="54.250700000000002"/>
    <n v="0"/>
    <n v="127.6024"/>
    <n v="2956.24"/>
    <n v="56.058399999999999"/>
    <n v="0"/>
    <n v="0"/>
    <n v="0"/>
    <m/>
  </r>
  <r>
    <x v="25"/>
    <s v="COSMI"/>
    <s v="N.A"/>
    <x v="103"/>
    <s v="BAGS"/>
    <s v="WITHOUT EXTRA PROTECTCARE INDICATION"/>
    <s v="20"/>
    <n v="0"/>
    <n v="0.1202"/>
    <n v="0"/>
    <n v="0"/>
    <n v="2.4085999999999999"/>
    <n v="0"/>
    <n v="0.1202"/>
    <n v="0"/>
    <n v="0"/>
    <n v="0"/>
    <m/>
  </r>
  <r>
    <x v="26"/>
    <s v="AQUELLA "/>
    <s v=" CottonUnion"/>
    <x v="104"/>
    <s v="BAGS"/>
    <s v="PH BALANCED"/>
    <s v="120"/>
    <n v="28.356999999999999"/>
    <n v="20.580200000000001"/>
    <n v="0.78890000000000005"/>
    <n v="1646.7402"/>
    <n v="1088.8000999999999"/>
    <n v="38.968699999999998"/>
    <n v="49.726100000000002"/>
    <n v="-0.27424621786507736"/>
    <n v="-0.33881489016907468"/>
    <n v="6.4568672303997321E-2"/>
    <m/>
  </r>
  <r>
    <x v="26"/>
    <s v="AQUELLA "/>
    <s v=" CottonUnion"/>
    <x v="105"/>
    <s v="BAGS"/>
    <s v="ALCOHOL FREE"/>
    <s v="120"/>
    <n v="12.003299999999999"/>
    <n v="12.0252"/>
    <n v="1.8045"/>
    <n v="643.41989999999998"/>
    <n v="689.18370000000004"/>
    <n v="98.837400000000002"/>
    <n v="25.833000000000002"/>
    <n v="1.8244982629777207E-3"/>
    <n v="7.1125869746956949E-2"/>
    <n v="-6.9301371483979232E-2"/>
    <m/>
  </r>
  <r>
    <x v="26"/>
    <s v="AQUELLA "/>
    <s v=" CottonUnion"/>
    <x v="106"/>
    <s v="BAGS"/>
    <s v="ALCOHOL FREE"/>
    <s v="120"/>
    <n v="0.11600000000000001"/>
    <n v="0"/>
    <n v="0"/>
    <n v="6.96"/>
    <n v="0"/>
    <n v="0"/>
    <n v="0.11600000000000001"/>
    <n v="-1"/>
    <n v="-1"/>
    <n v="0"/>
    <m/>
  </r>
  <r>
    <x v="26"/>
    <s v="AQUELLA "/>
    <s v=" CottonUnion"/>
    <x v="107"/>
    <s v="BAGS"/>
    <s v="PH BALANCED"/>
    <s v="60"/>
    <n v="4.6429999999999998"/>
    <n v="2.3708"/>
    <n v="3.8805999999999998"/>
    <n v="208.76240000000001"/>
    <n v="99.124899999999997"/>
    <n v="163.75460000000001"/>
    <n v="10.894399999999999"/>
    <n v="-0.48938186517337923"/>
    <n v="-0.52517838461332123"/>
    <n v="3.5796519439941998E-2"/>
    <m/>
  </r>
  <r>
    <x v="26"/>
    <s v="AQUELLA "/>
    <s v=" CottonUnion"/>
    <x v="108"/>
    <s v="BAGS"/>
    <s v="ALCOHOL FREE"/>
    <s v="72"/>
    <n v="8.5853000000000002"/>
    <n v="4.2140000000000004"/>
    <n v="0.26250000000000001"/>
    <n v="402.53930000000003"/>
    <n v="207.43709999999999"/>
    <n v="13.0296"/>
    <n v="13.0618"/>
    <n v="-0.50916100776909368"/>
    <n v="-0.4846786388310409"/>
    <n v="-2.4482368938052779E-2"/>
    <m/>
  </r>
  <r>
    <x v="26"/>
    <s v="AQUELLA "/>
    <s v=" CottonUnion"/>
    <x v="109"/>
    <s v="BAGS"/>
    <s v="PH BALANCED"/>
    <s v="72"/>
    <n v="0.83140000000000003"/>
    <n v="1.5299999999999999E-2"/>
    <n v="0"/>
    <n v="39.196399999999997"/>
    <n v="0.64800000000000002"/>
    <n v="0"/>
    <n v="0.84670000000000001"/>
    <n v="-0.98159730574933846"/>
    <n v="-0.98346786949821918"/>
    <n v="1.870563748880727E-3"/>
    <m/>
  </r>
  <r>
    <x v="26"/>
    <s v="AQUELLA "/>
    <s v=" CottonUnion"/>
    <x v="110"/>
    <s v="BAGS"/>
    <s v="PH BALANCED"/>
    <s v="90"/>
    <n v="2.9493999999999998"/>
    <n v="0.27079999999999999"/>
    <n v="0"/>
    <n v="169.64840000000001"/>
    <n v="12.904400000000001"/>
    <n v="0"/>
    <n v="3.2201999999999997"/>
    <n v="-0.90818471553536317"/>
    <n v="-0.92393444323671781"/>
    <n v="1.5749727701354632E-2"/>
    <m/>
  </r>
  <r>
    <x v="26"/>
    <s v="AURA "/>
    <s v=" CottonUnion"/>
    <x v="111"/>
    <s v="BAGS"/>
    <s v="HYPOALLERGENIC"/>
    <s v="100"/>
    <n v="4.0140000000000002"/>
    <n v="0"/>
    <n v="0"/>
    <n v="230.286"/>
    <n v="0"/>
    <n v="0"/>
    <n v="4.0140000000000002"/>
    <n v="-1"/>
    <n v="-1"/>
    <n v="0"/>
    <m/>
  </r>
  <r>
    <x v="26"/>
    <s v="AURA "/>
    <s v=" CottonUnion"/>
    <x v="112"/>
    <s v="BAGS"/>
    <s v="WITHOUT EXTRA PROTECTCARE INDICATION"/>
    <s v="63"/>
    <n v="4.0500000000000001E-2"/>
    <n v="0"/>
    <n v="0"/>
    <n v="2.8330000000000002"/>
    <n v="0"/>
    <n v="0"/>
    <n v="4.0500000000000001E-2"/>
    <n v="-1"/>
    <n v="-1"/>
    <n v="0"/>
    <m/>
  </r>
  <r>
    <x v="26"/>
    <s v="COTTON BABY "/>
    <s v=" CottonUnion"/>
    <x v="113"/>
    <s v="BAGS"/>
    <s v="ALCOHOL FREE"/>
    <s v="120"/>
    <n v="0.76770000000000005"/>
    <n v="0"/>
    <n v="0"/>
    <n v="46.441400000000002"/>
    <n v="0"/>
    <n v="0"/>
    <n v="0.76770000000000005"/>
    <n v="-1"/>
    <n v="-1"/>
    <n v="0"/>
    <m/>
  </r>
  <r>
    <x v="26"/>
    <s v="COTTON BABY "/>
    <s v=" CottonUnion"/>
    <x v="114"/>
    <s v="BAGS"/>
    <s v="PH BALANCED"/>
    <s v="90"/>
    <n v="0.86809999999999998"/>
    <n v="0"/>
    <n v="0"/>
    <n v="43.337600000000002"/>
    <n v="0"/>
    <n v="0"/>
    <n v="0.86809999999999998"/>
    <n v="-1"/>
    <n v="-1"/>
    <n v="0"/>
    <m/>
  </r>
  <r>
    <x v="26"/>
    <s v="MIMI "/>
    <s v=" CottonUnion"/>
    <x v="115"/>
    <s v="BAGS"/>
    <s v="PH BALANCED"/>
    <s v="15"/>
    <n v="9.5548999999999999"/>
    <n v="16.797000000000001"/>
    <n v="14.8012"/>
    <n v="338.9522"/>
    <n v="643.8528"/>
    <n v="454.05590000000001"/>
    <n v="41.153100000000002"/>
    <n v="0.75794618468011188"/>
    <n v="0.89953863701135439"/>
    <n v="-0.14159245233124251"/>
    <m/>
  </r>
  <r>
    <x v="26"/>
    <s v="MY COMFORT "/>
    <s v=" CottonUnion"/>
    <x v="116"/>
    <s v="BAGS"/>
    <s v="PH BALANCED"/>
    <s v="120"/>
    <n v="21.0763"/>
    <n v="7.9172000000000002"/>
    <n v="0.35720000000000002"/>
    <n v="1178.5386000000001"/>
    <n v="421.82799999999997"/>
    <n v="19.481100000000001"/>
    <n v="29.3507"/>
    <n v="-0.62435531853313908"/>
    <n v="-0.64207536350527683"/>
    <n v="1.772004497213775E-2"/>
    <m/>
  </r>
  <r>
    <x v="26"/>
    <s v="MY COMFORT "/>
    <s v=" CottonUnion"/>
    <x v="117"/>
    <s v="BAGS"/>
    <s v="ALCOHOL FREE"/>
    <s v="120"/>
    <n v="59.8855"/>
    <n v="18.673500000000001"/>
    <n v="4.4382000000000001"/>
    <n v="3588.4739"/>
    <n v="1054.2443000000001"/>
    <n v="241.28020000000001"/>
    <n v="82.997199999999992"/>
    <n v="-0.68817994339197308"/>
    <n v="-0.70621374729798081"/>
    <n v="1.8033803906007728E-2"/>
    <m/>
  </r>
  <r>
    <x v="26"/>
    <s v="NICE BABY "/>
    <s v=" CottonUnion"/>
    <x v="118"/>
    <s v="BAGS"/>
    <s v="PH BALANCED"/>
    <s v="120"/>
    <n v="37.596899999999998"/>
    <n v="28.031099999999999"/>
    <n v="1.2394000000000001"/>
    <n v="2231.0284000000001"/>
    <n v="1606.1090999999999"/>
    <n v="64.665899999999993"/>
    <n v="66.867400000000004"/>
    <n v="-0.25443055145504018"/>
    <n v="-0.28010369567684579"/>
    <n v="2.5673144221805611E-2"/>
    <m/>
  </r>
  <r>
    <x v="26"/>
    <s v="WINEX "/>
    <s v=" CottonUnion"/>
    <x v="119"/>
    <s v="BAGS"/>
    <s v="PH BALANCED"/>
    <s v="72"/>
    <n v="4.1798000000000002"/>
    <n v="0"/>
    <n v="0"/>
    <n v="212.80930000000001"/>
    <n v="0"/>
    <n v="0"/>
    <n v="4.1798000000000002"/>
    <n v="-1"/>
    <n v="-1"/>
    <n v="0"/>
    <m/>
  </r>
  <r>
    <x v="26"/>
    <s v="WINEX "/>
    <s v=" CottonUnion"/>
    <x v="120"/>
    <s v="BAGS"/>
    <s v="PH BALANCED"/>
    <s v="72"/>
    <n v="16.9573"/>
    <n v="8.0383999999999993"/>
    <n v="4.7045000000000003"/>
    <n v="973.13670000000002"/>
    <n v="460.75880000000001"/>
    <n v="246.6643"/>
    <n v="29.700199999999999"/>
    <n v="-0.52596226993684136"/>
    <n v="-0.52652201895170525"/>
    <n v="5.5974901486388617E-4"/>
    <m/>
  </r>
  <r>
    <x v="27"/>
    <s v="FOMEX "/>
    <s v="EastChem"/>
    <x v="121"/>
    <s v="BAGS"/>
    <s v="PH BALANCED"/>
    <s v="72"/>
    <n v="0"/>
    <n v="0"/>
    <n v="0"/>
    <n v="0"/>
    <n v="0"/>
    <n v="0"/>
    <n v="0"/>
    <n v="0"/>
    <n v="0"/>
    <n v="0"/>
    <m/>
  </r>
  <r>
    <x v="28"/>
    <s v="PADDLERS "/>
    <s v="ENKA HIJYUEN"/>
    <x v="122"/>
    <s v="BAGS"/>
    <s v="ALCOHOL FREE"/>
    <s v="120"/>
    <n v="8.9794"/>
    <n v="0"/>
    <n v="0"/>
    <n v="618.46879999999999"/>
    <n v="0"/>
    <n v="0"/>
    <n v="8.9794"/>
    <n v="-1"/>
    <n v="-1"/>
    <n v="0"/>
    <m/>
  </r>
  <r>
    <x v="28"/>
    <s v="PADDLERS "/>
    <s v="ENKA HIJYUEN"/>
    <x v="123"/>
    <s v="BAGS"/>
    <s v="ALCOHOL FREE"/>
    <s v="80"/>
    <n v="0"/>
    <n v="0"/>
    <n v="0"/>
    <n v="0"/>
    <n v="0"/>
    <n v="0"/>
    <n v="0"/>
    <n v="0"/>
    <n v="0"/>
    <n v="0"/>
    <m/>
  </r>
  <r>
    <x v="29"/>
    <s v="PURE "/>
    <s v=" ErusHealth Products"/>
    <x v="124"/>
    <s v="BAGS"/>
    <s v="PH BALANCED"/>
    <s v="120"/>
    <n v="0"/>
    <n v="9.4999999999999998E-3"/>
    <n v="0"/>
    <n v="0"/>
    <n v="0.51649999999999996"/>
    <n v="0"/>
    <n v="9.4999999999999998E-3"/>
    <n v="0"/>
    <n v="0"/>
    <n v="0"/>
    <m/>
  </r>
  <r>
    <x v="29"/>
    <s v="SLEEPY "/>
    <s v=" ErusHealth Products"/>
    <x v="125"/>
    <s v="BAGS"/>
    <s v="SENSITIVE"/>
    <s v="110"/>
    <n v="0.34189999999999998"/>
    <n v="0"/>
    <n v="0"/>
    <n v="17.095199999999998"/>
    <n v="0"/>
    <n v="0"/>
    <n v="0.34189999999999998"/>
    <n v="-1"/>
    <n v="-1"/>
    <n v="0"/>
    <m/>
  </r>
  <r>
    <x v="29"/>
    <s v="SLEEPY "/>
    <s v=" ErusHealth Products"/>
    <x v="126"/>
    <s v="BAGS"/>
    <s v="ALCOHOL FREE"/>
    <s v="120"/>
    <n v="0"/>
    <n v="36.513300000000001"/>
    <n v="9.9184000000000001"/>
    <n v="0"/>
    <n v="2225.7903999999999"/>
    <n v="665.84569999999997"/>
    <n v="46.431699999999999"/>
    <n v="0"/>
    <n v="0"/>
    <n v="0"/>
    <m/>
  </r>
  <r>
    <x v="29"/>
    <s v="SLEEPY "/>
    <s v=" ErusHealth Products"/>
    <x v="127"/>
    <s v="BAGS"/>
    <s v="ALCOHOL FREE"/>
    <s v="120"/>
    <n v="0"/>
    <n v="28.314"/>
    <n v="9.1574000000000009"/>
    <n v="0"/>
    <n v="1712.6693"/>
    <n v="592.38390000000004"/>
    <n v="37.471400000000003"/>
    <n v="0"/>
    <n v="0"/>
    <n v="0"/>
    <m/>
  </r>
  <r>
    <x v="29"/>
    <s v="SLEEPY "/>
    <s v=" ErusHealth Products"/>
    <x v="128"/>
    <s v="BAGS"/>
    <s v="ALCOHOL FREE"/>
    <s v="120"/>
    <n v="0"/>
    <n v="24.999500000000001"/>
    <n v="5.0659999999999998"/>
    <n v="0"/>
    <n v="1534.4268"/>
    <n v="349.95659999999998"/>
    <n v="30.0655"/>
    <n v="0"/>
    <n v="0"/>
    <n v="0"/>
    <m/>
  </r>
  <r>
    <x v="29"/>
    <s v="SLEEPY "/>
    <s v=" ErusHealth Products"/>
    <x v="129"/>
    <s v="BAGS"/>
    <s v="PH BALANCED"/>
    <s v="120"/>
    <n v="25.1"/>
    <n v="61.22"/>
    <n v="8.9021000000000008"/>
    <n v="1136.2986000000001"/>
    <n v="3402.5661"/>
    <n v="613.3809"/>
    <n v="95.222099999999998"/>
    <n v="1.439043824701195"/>
    <n v="1.9944295451917302"/>
    <n v="-0.55538572049053525"/>
    <m/>
  </r>
  <r>
    <x v="29"/>
    <s v="SLEEPY "/>
    <s v=" ErusHealth Products"/>
    <x v="130"/>
    <s v="BAGS"/>
    <s v="ALCOHOL FREE"/>
    <s v="120"/>
    <n v="0"/>
    <n v="18.822399999999998"/>
    <n v="7.1738"/>
    <n v="0"/>
    <n v="1176.8929000000001"/>
    <n v="487.85019999999997"/>
    <n v="25.996199999999998"/>
    <n v="0"/>
    <n v="0"/>
    <n v="0"/>
    <m/>
  </r>
  <r>
    <x v="29"/>
    <s v="SLEEPY "/>
    <s v=" ErusHealth Products"/>
    <x v="131"/>
    <s v="BAGS"/>
    <s v="PH BALANCED"/>
    <s v="15"/>
    <n v="1.24"/>
    <n v="2.9891000000000001"/>
    <n v="0.81240000000000001"/>
    <n v="69.486800000000002"/>
    <n v="154.24979999999999"/>
    <n v="41.637500000000003"/>
    <n v="5.0415000000000001"/>
    <n v="1.4105645161290323"/>
    <n v="1.2198431932395792"/>
    <n v="0.19072132288945309"/>
    <m/>
  </r>
  <r>
    <x v="29"/>
    <s v="SLEEPY "/>
    <s v=" ErusHealth Products"/>
    <x v="132"/>
    <s v="BAGS"/>
    <s v="PH BALANCED"/>
    <s v="70"/>
    <n v="1.1599999999999999"/>
    <n v="1.8923000000000001"/>
    <n v="0"/>
    <n v="44.862200000000001"/>
    <n v="87.694800000000001"/>
    <n v="0"/>
    <n v="3.0522999999999998"/>
    <n v="0.63129310344827605"/>
    <n v="0.95475924051874406"/>
    <n v="-0.32346613707046801"/>
    <m/>
  </r>
  <r>
    <x v="29"/>
    <s v="SLEEPY "/>
    <s v=" ErusHealth Products"/>
    <x v="133"/>
    <s v="BAGS"/>
    <s v="WITHOUT EXTRA PROTECTCARE INDICATION"/>
    <s v="90"/>
    <n v="0"/>
    <n v="14.477"/>
    <n v="3.1046999999999998"/>
    <n v="0"/>
    <n v="762.29949999999997"/>
    <n v="149.91970000000001"/>
    <n v="17.581700000000001"/>
    <n v="0"/>
    <n v="0"/>
    <n v="0"/>
    <m/>
  </r>
  <r>
    <x v="29"/>
    <s v="YESS BABY "/>
    <s v="ERUSLU"/>
    <x v="134"/>
    <s v="BAGS"/>
    <s v="ALCOHOL FREE"/>
    <s v="120"/>
    <n v="0.25940000000000002"/>
    <n v="47.287300000000002"/>
    <n v="13.3363"/>
    <n v="15.5664"/>
    <n v="2338.1842000000001"/>
    <n v="671.9117"/>
    <n v="60.883000000000003"/>
    <n v="181.29491133384732"/>
    <n v="149.20712560386474"/>
    <n v="32.087785729982585"/>
    <m/>
  </r>
  <r>
    <x v="29"/>
    <s v="YESS BABY "/>
    <s v="ERUSLU"/>
    <x v="135"/>
    <s v="BAGS"/>
    <s v="ALCOHOL FREE"/>
    <s v="15"/>
    <n v="0"/>
    <n v="5.6702000000000004"/>
    <n v="10.135199999999999"/>
    <n v="0"/>
    <n v="206.95869999999999"/>
    <n v="365.12360000000001"/>
    <n v="15.805399999999999"/>
    <n v="0"/>
    <n v="0"/>
    <n v="0"/>
    <m/>
  </r>
  <r>
    <x v="30"/>
    <s v="ELAN "/>
    <s v="Esburg Health"/>
    <x v="136"/>
    <s v="BAGS"/>
    <s v="SENSITIVE"/>
    <s v="120"/>
    <n v="0"/>
    <n v="82.250100000000003"/>
    <n v="55.842500000000001"/>
    <n v="0"/>
    <n v="5284.8972000000003"/>
    <n v="3137.2123999999999"/>
    <n v="138.0926"/>
    <n v="0"/>
    <n v="0"/>
    <n v="0"/>
    <m/>
  </r>
  <r>
    <x v="30"/>
    <s v="ELAN "/>
    <s v="Esburg Health"/>
    <x v="137"/>
    <s v="BAGS"/>
    <s v="SENSITIVE"/>
    <s v="120"/>
    <n v="0"/>
    <n v="88.414900000000003"/>
    <n v="45.6905"/>
    <n v="0"/>
    <n v="5662.4585999999999"/>
    <n v="2576.6464000000001"/>
    <n v="134.1054"/>
    <n v="0"/>
    <n v="0"/>
    <n v="0"/>
    <m/>
  </r>
  <r>
    <x v="31"/>
    <s v="SETABLU "/>
    <s v="SCProducts"/>
    <x v="138"/>
    <s v="BAGS"/>
    <s v="PH BALANCED"/>
    <s v="72"/>
    <n v="0.24010000000000001"/>
    <n v="0"/>
    <n v="0"/>
    <n v="10.8056"/>
    <n v="0"/>
    <n v="0"/>
    <n v="0.24010000000000001"/>
    <n v="-1"/>
    <n v="-1"/>
    <n v="0"/>
    <m/>
  </r>
  <r>
    <x v="32"/>
    <s v="LIBERO "/>
    <s v="ESSITY"/>
    <x v="139"/>
    <s v="BAGS"/>
    <s v="ALCOHOL FREE"/>
    <s v="20"/>
    <n v="8.8999999999999999E-3"/>
    <n v="1.9E-3"/>
    <n v="0"/>
    <n v="0.1"/>
    <n v="0.02"/>
    <n v="0"/>
    <n v="1.0800000000000001E-2"/>
    <n v="-0.7865168539325843"/>
    <n v="-0.79999999999999993"/>
    <n v="1.348314606741563E-2"/>
    <m/>
  </r>
  <r>
    <x v="32"/>
    <s v="LIBERO "/>
    <s v="ESSITY"/>
    <x v="140"/>
    <s v="BAGS"/>
    <s v="ALCOHOL FREE"/>
    <s v="20"/>
    <n v="3.6436000000000002"/>
    <n v="0.20610000000000001"/>
    <n v="0.1404"/>
    <n v="40.526699999999998"/>
    <n v="2.1286999999999998"/>
    <n v="1.4401999999999999"/>
    <n v="3.9901000000000004"/>
    <n v="-0.94343506422219781"/>
    <n v="-0.94747413433612893"/>
    <n v="4.0390701139311203E-3"/>
    <m/>
  </r>
  <r>
    <x v="32"/>
    <s v="LIBERO "/>
    <s v="ESSITY"/>
    <x v="141"/>
    <s v="BAGS"/>
    <s v="ALCOHOL FREE"/>
    <s v="64"/>
    <n v="4.9200000000000001E-2"/>
    <n v="1.14E-2"/>
    <n v="0"/>
    <n v="3.4851000000000001"/>
    <n v="0.25600000000000001"/>
    <n v="0"/>
    <n v="6.0600000000000001E-2"/>
    <n v="-0.76829268292682928"/>
    <n v="-0.92654443201055914"/>
    <n v="0.15825174908372985"/>
    <m/>
  </r>
  <r>
    <x v="32"/>
    <s v="LIBERO "/>
    <s v="ESSITY"/>
    <x v="142"/>
    <s v="BAGS"/>
    <s v="ALCOHOL FREE"/>
    <s v="64"/>
    <n v="4.9882"/>
    <n v="0.97860000000000003"/>
    <n v="0"/>
    <n v="116.9594"/>
    <n v="26.678799999999999"/>
    <n v="0"/>
    <n v="5.9668000000000001"/>
    <n v="-0.80381700813920853"/>
    <n v="-0.77189691465585497"/>
    <n v="-3.1920093483353562E-2"/>
    <m/>
  </r>
  <r>
    <x v="33"/>
    <s v="EVY BABY "/>
    <s v="EveCraft"/>
    <x v="143"/>
    <s v="BAGS"/>
    <s v="ALCOHOL FREE"/>
    <s v="50"/>
    <n v="0"/>
    <n v="0"/>
    <n v="0.16420000000000001"/>
    <n v="0"/>
    <n v="0"/>
    <n v="5.0327000000000002"/>
    <n v="0.16420000000000001"/>
    <n v="0"/>
    <n v="0"/>
    <n v="0"/>
    <m/>
  </r>
  <r>
    <x v="33"/>
    <s v="EVY BABY "/>
    <s v="EveCraft"/>
    <x v="144"/>
    <s v="BAGS"/>
    <s v="ALCOHOL FREE"/>
    <s v="56"/>
    <n v="2.3513000000000002"/>
    <n v="13.7189"/>
    <n v="5.1338999999999997"/>
    <n v="93.938999999999993"/>
    <n v="476.75330000000002"/>
    <n v="161.36660000000001"/>
    <n v="21.2041"/>
    <n v="4.8346021349891544"/>
    <n v="4.0751370570263683"/>
    <n v="0.75946507796278606"/>
    <m/>
  </r>
  <r>
    <x v="33"/>
    <s v="EVY BABY "/>
    <s v="EveCraft"/>
    <x v="145"/>
    <s v="BAGS"/>
    <s v="ALCOHOL FREE"/>
    <s v="60"/>
    <n v="7.0484"/>
    <n v="24.545400000000001"/>
    <n v="7.2644000000000002"/>
    <n v="315.70249999999999"/>
    <n v="945.68759999999997"/>
    <n v="273.77960000000002"/>
    <n v="38.858200000000004"/>
    <n v="2.4824073548606775"/>
    <n v="1.9955024112891093"/>
    <n v="0.48690494357156822"/>
    <m/>
  </r>
  <r>
    <x v="33"/>
    <s v="EVY BABY "/>
    <s v="EveCraft"/>
    <x v="146"/>
    <s v="BAGS"/>
    <s v="ALCOHOL FREE"/>
    <s v="60"/>
    <n v="6.2529000000000003"/>
    <n v="0"/>
    <n v="0"/>
    <n v="300.22300000000001"/>
    <n v="0"/>
    <n v="0"/>
    <n v="6.2529000000000003"/>
    <n v="-1"/>
    <n v="-1"/>
    <n v="0"/>
    <m/>
  </r>
  <r>
    <x v="34"/>
    <s v="FEMOLE "/>
    <s v="FEM COSMETIC"/>
    <x v="147"/>
    <s v="BAGS"/>
    <s v="PH BALANCED"/>
    <s v="72"/>
    <n v="1.6668000000000001"/>
    <n v="3.7600000000000001E-2"/>
    <n v="0"/>
    <n v="75.837299999999999"/>
    <n v="1.6555"/>
    <n v="0"/>
    <n v="1.7044000000000001"/>
    <n v="-0.97744180465562747"/>
    <n v="-0.97817037262666251"/>
    <n v="7.2856797103504345E-4"/>
    <m/>
  </r>
  <r>
    <x v="34"/>
    <s v="FEMOLE "/>
    <s v="FEM COSMETIC"/>
    <x v="148"/>
    <s v="BAGS"/>
    <s v="PH BALANCED"/>
    <s v="72"/>
    <n v="7.5975000000000001"/>
    <n v="0.1353"/>
    <n v="3.0000000000000001E-3"/>
    <n v="283.12259999999998"/>
    <n v="3.3016999999999999"/>
    <n v="7.1999999999999995E-2"/>
    <n v="7.7358000000000002"/>
    <n v="-0.98219151036525176"/>
    <n v="-0.98833826759149579"/>
    <n v="6.1467572262440262E-3"/>
    <m/>
  </r>
  <r>
    <x v="3"/>
    <s v="BERFINY "/>
    <s v="FULYA COSMETICS"/>
    <x v="149"/>
    <s v="BAGS"/>
    <s v="ALCOHOL FREE"/>
    <s v="72"/>
    <n v="2.5741999999999998"/>
    <n v="0.57930000000000004"/>
    <n v="9.0300000000000005E-2"/>
    <n v="138.52269999999999"/>
    <n v="28.2058"/>
    <n v="3.9451999999999998"/>
    <n v="3.2437999999999998"/>
    <n v="-0.77495921062854478"/>
    <n v="-0.79638138731052743"/>
    <n v="2.1422176681982652E-2"/>
    <m/>
  </r>
  <r>
    <x v="3"/>
    <s v="BERFINY "/>
    <s v="FULYA COSMETICS"/>
    <x v="150"/>
    <s v="BAGS"/>
    <s v="WITHOUT EXTRA PROTECTCARE INDICATION"/>
    <s v="72"/>
    <n v="0"/>
    <n v="3.2000000000000002E-3"/>
    <n v="0"/>
    <n v="0"/>
    <n v="0.14879999999999999"/>
    <n v="0"/>
    <n v="3.2000000000000002E-3"/>
    <n v="0"/>
    <n v="0"/>
    <n v="0"/>
    <m/>
  </r>
  <r>
    <x v="3"/>
    <s v="FRESH RUNY "/>
    <s v="FULYA COSMETICS"/>
    <x v="151"/>
    <s v="BAGS"/>
    <s v="PH BALANCED"/>
    <s v="120"/>
    <n v="29.782299999999999"/>
    <n v="8.0821000000000005"/>
    <n v="2.2058"/>
    <n v="1812.3146999999999"/>
    <n v="442.9864"/>
    <n v="129.73259999999999"/>
    <n v="40.0702"/>
    <n v="-0.72862740621107169"/>
    <n v="-0.75556872103945305"/>
    <n v="2.6941314828381357E-2"/>
    <m/>
  </r>
  <r>
    <x v="3"/>
    <s v="FRESH RUNY "/>
    <s v="FULYA COSMETICS"/>
    <x v="152"/>
    <s v="BAGS"/>
    <s v="WITHOUT EXTRA PROTECTCARE INDICATION"/>
    <s v="64"/>
    <n v="0.4194"/>
    <n v="0.27539999999999998"/>
    <n v="7.5600000000000001E-2"/>
    <n v="22.036999999999999"/>
    <n v="13.908200000000001"/>
    <n v="3.7229000000000001"/>
    <n v="0.77039999999999997"/>
    <n v="-0.3433476394849786"/>
    <n v="-0.36887053591686703"/>
    <n v="2.5522896431888431E-2"/>
    <m/>
  </r>
  <r>
    <x v="3"/>
    <s v="FRESH RUNY "/>
    <s v="FULYA COSMETICS"/>
    <x v="153"/>
    <s v="BAGS"/>
    <s v="WITHOUT EXTRA PROTECTCARE INDICATION"/>
    <s v="64"/>
    <n v="0"/>
    <n v="0"/>
    <n v="0"/>
    <n v="0"/>
    <n v="0"/>
    <n v="0"/>
    <n v="0"/>
    <n v="0"/>
    <n v="0"/>
    <n v="0"/>
    <m/>
  </r>
  <r>
    <x v="3"/>
    <s v="FRESHMAKER "/>
    <s v="FULYA COSMETICS"/>
    <x v="154"/>
    <s v="BAGS"/>
    <s v="PH BALANCED"/>
    <s v="100"/>
    <n v="0"/>
    <n v="0"/>
    <n v="0"/>
    <n v="0"/>
    <n v="0"/>
    <n v="0"/>
    <n v="0"/>
    <n v="0"/>
    <n v="0"/>
    <n v="0"/>
    <m/>
  </r>
  <r>
    <x v="16"/>
    <s v="EVENT "/>
    <s v="AxisOn Group"/>
    <x v="155"/>
    <s v="BAGS"/>
    <s v="PH BALANCED"/>
    <s v="140"/>
    <n v="209.29769999999999"/>
    <n v="236.50559999999999"/>
    <n v="198.2927"/>
    <n v="7336.5478999999996"/>
    <n v="8103.1085000000003"/>
    <n v="7048.5825999999997"/>
    <n v="644.096"/>
    <n v="0.12999617291542143"/>
    <n v="0.10448518982613073"/>
    <n v="2.5510983089290701E-2"/>
    <m/>
  </r>
  <r>
    <x v="3"/>
    <s v="FRESHMAKER "/>
    <s v="FULYA COSMETICS"/>
    <x v="156"/>
    <s v="BAGS"/>
    <s v="PH BALANCED"/>
    <s v="72"/>
    <n v="11.008699999999999"/>
    <n v="0"/>
    <n v="0"/>
    <n v="653.37990000000002"/>
    <n v="0"/>
    <n v="0"/>
    <n v="11.008699999999999"/>
    <n v="-1"/>
    <n v="-1"/>
    <n v="0"/>
    <m/>
  </r>
  <r>
    <x v="3"/>
    <s v="FRESHMAKER "/>
    <s v="FULYA COSMETICS"/>
    <x v="157"/>
    <s v="BAGS"/>
    <s v="PH BALANCED"/>
    <s v="72"/>
    <n v="6.3380999999999998"/>
    <n v="2.2010000000000001"/>
    <n v="4.9340999999999999"/>
    <n v="360.70839999999998"/>
    <n v="122.7465"/>
    <n v="260.16239999999999"/>
    <n v="13.473199999999999"/>
    <n v="-0.65273504678058103"/>
    <n v="-0.65970712076569327"/>
    <n v="6.9720739851122371E-3"/>
    <m/>
  </r>
  <r>
    <x v="3"/>
    <s v="FRESHMAKER "/>
    <s v="FULYA COSMETICS"/>
    <x v="158"/>
    <s v="BAGS"/>
    <s v="PH BALANCED"/>
    <s v="72"/>
    <n v="17.2865"/>
    <n v="3.1953"/>
    <n v="0"/>
    <n v="1104.6166000000001"/>
    <n v="157.0744"/>
    <n v="0"/>
    <n v="20.4818"/>
    <n v="-0.8151563358690308"/>
    <n v="-0.85780188347703634"/>
    <n v="4.2645547608005541E-2"/>
    <m/>
  </r>
  <r>
    <x v="3"/>
    <s v="FRESHMAKER "/>
    <s v="FULYA COSMETICS"/>
    <x v="159"/>
    <s v="BAGS"/>
    <s v="WITHOUT EXTRA PROTECTCARE INDICATION"/>
    <s v="72"/>
    <n v="8.3360000000000003"/>
    <n v="4.1882999999999999"/>
    <n v="0.16869999999999999"/>
    <n v="355.34039999999999"/>
    <n v="181.6489"/>
    <n v="7.0335999999999999"/>
    <n v="12.693"/>
    <n v="-0.49756477927063342"/>
    <n v="-0.48880313074449178"/>
    <n v="-8.761648526141641E-3"/>
    <m/>
  </r>
  <r>
    <x v="3"/>
    <s v="FRESHMAKER "/>
    <s v="FULYA COSMETICS"/>
    <x v="160"/>
    <s v="BAGS"/>
    <s v="ALCOHOL FREE"/>
    <s v="72"/>
    <n v="10.51"/>
    <n v="23.858699999999999"/>
    <n v="12.9741"/>
    <n v="602.08569999999997"/>
    <n v="1188.0914"/>
    <n v="658.29200000000003"/>
    <n v="47.342799999999997"/>
    <n v="1.2700951474785918"/>
    <n v="0.97329283854441329"/>
    <n v="0.29680230893417847"/>
    <m/>
  </r>
  <r>
    <x v="3"/>
    <s v="FRESHMAKER "/>
    <s v="FULYA COSMETICS"/>
    <x v="161"/>
    <s v="BAGS"/>
    <s v="PH BALANCED"/>
    <s v="72"/>
    <n v="0.1246"/>
    <n v="0"/>
    <n v="4.1500000000000002E-2"/>
    <n v="7.4763999999999999"/>
    <n v="0"/>
    <n v="3.0169000000000001"/>
    <n v="0.1661"/>
    <n v="-1"/>
    <n v="-1"/>
    <n v="0"/>
    <m/>
  </r>
  <r>
    <x v="3"/>
    <s v="FRESHMAKER "/>
    <s v="FULYA COSMETICS"/>
    <x v="162"/>
    <s v="BAGS"/>
    <s v="PH BALANCED"/>
    <s v="90"/>
    <n v="0"/>
    <n v="1.9545999999999999"/>
    <n v="2.1882000000000001"/>
    <n v="0"/>
    <n v="80.589100000000002"/>
    <n v="78.875"/>
    <n v="4.1428000000000003"/>
    <n v="0"/>
    <n v="0"/>
    <n v="0"/>
    <m/>
  </r>
  <r>
    <x v="3"/>
    <s v="FRESHMAKER "/>
    <s v="FULYA COSMETICS"/>
    <x v="163"/>
    <s v="BAGS"/>
    <s v="SENSITIVE"/>
    <s v="90"/>
    <n v="4.02E-2"/>
    <n v="0"/>
    <n v="5.1000000000000004E-3"/>
    <n v="1.9040999999999999"/>
    <n v="0"/>
    <n v="0.1958"/>
    <n v="4.53E-2"/>
    <n v="-1"/>
    <n v="-1"/>
    <n v="0"/>
    <m/>
  </r>
  <r>
    <x v="3"/>
    <s v="HAPPY "/>
    <s v="FULYA COSMETICS"/>
    <x v="164"/>
    <s v="BAGS"/>
    <s v="PH BALANCED"/>
    <s v="100"/>
    <n v="0"/>
    <n v="6.88E-2"/>
    <n v="1.5603"/>
    <n v="0"/>
    <n v="2.9011"/>
    <n v="56.070300000000003"/>
    <n v="1.6291"/>
    <n v="0"/>
    <n v="0"/>
    <n v="0"/>
    <m/>
  </r>
  <r>
    <x v="35"/>
    <s v="PETINO "/>
    <s v="HARPER HYGIENICS"/>
    <x v="165"/>
    <s v="BAGS"/>
    <s v="WITHOUT EXTRA PROTECTCARE INDICATION"/>
    <s v="72"/>
    <n v="230.74209999999999"/>
    <n v="277.85789999999997"/>
    <n v="133.2149"/>
    <n v="11792.3397"/>
    <n v="14416.314700000001"/>
    <n v="6626.5474000000004"/>
    <n v="641.81489999999997"/>
    <n v="0.20419247289506329"/>
    <n v="0.22251521468636121"/>
    <n v="-1.832274179129792E-2"/>
    <m/>
  </r>
  <r>
    <x v="3"/>
    <s v="LIO FRESH "/>
    <s v="FULYA COSMETICS"/>
    <x v="166"/>
    <s v="BAGS"/>
    <s v="ALCOHOL FREE"/>
    <s v="72"/>
    <n v="27.677700000000002"/>
    <n v="22.1416"/>
    <n v="9.0610999999999997"/>
    <n v="1974.3932"/>
    <n v="1482.2675999999999"/>
    <n v="601.1807"/>
    <n v="58.880399999999995"/>
    <n v="-0.2000202328950744"/>
    <n v="-0.24925409994321299"/>
    <n v="4.9233867048138591E-2"/>
    <m/>
  </r>
  <r>
    <x v="3"/>
    <s v="LIOLA "/>
    <s v="FULYA COSMETICS"/>
    <x v="167"/>
    <s v="BAGS"/>
    <s v="ALCOHOL FREE"/>
    <s v="72"/>
    <n v="0"/>
    <n v="0"/>
    <n v="0"/>
    <n v="0"/>
    <n v="0"/>
    <n v="0"/>
    <n v="0"/>
    <n v="0"/>
    <n v="0"/>
    <n v="0"/>
    <m/>
  </r>
  <r>
    <x v="3"/>
    <s v="NEMDIL "/>
    <s v="FULYA COSMETICS"/>
    <x v="168"/>
    <s v="BAGS"/>
    <s v="ALCOHOL FREE"/>
    <s v="120"/>
    <n v="41.221899999999998"/>
    <n v="44.201300000000003"/>
    <n v="20.616900000000001"/>
    <n v="1922.9742000000001"/>
    <n v="2020.3897999999999"/>
    <n v="923.72320000000002"/>
    <n v="106.04010000000001"/>
    <n v="7.2277114834590483E-2"/>
    <n v="5.0658817991421731E-2"/>
    <n v="2.1618296843168752E-2"/>
    <m/>
  </r>
  <r>
    <x v="3"/>
    <s v="NEMDIL "/>
    <s v="FULYA COSMETICS"/>
    <x v="169"/>
    <s v="BAGS"/>
    <s v="ALCOHOL FREE"/>
    <s v="120"/>
    <n v="41.486600000000003"/>
    <n v="73.395700000000005"/>
    <n v="40.033299999999997"/>
    <n v="2454.0007999999998"/>
    <n v="4307.1679999999997"/>
    <n v="2180.9749000000002"/>
    <n v="154.91560000000001"/>
    <n v="0.76914232547376749"/>
    <n v="0.75516161200925447"/>
    <n v="1.3980713464513017E-2"/>
    <m/>
  </r>
  <r>
    <x v="3"/>
    <s v="NEMDIL "/>
    <s v="FULYA COSMETICS"/>
    <x v="170"/>
    <s v="BAGS"/>
    <s v="ALCOHOL FREE"/>
    <s v="72"/>
    <n v="0"/>
    <n v="0"/>
    <n v="0.36020000000000002"/>
    <n v="0"/>
    <n v="0"/>
    <n v="18.523700000000002"/>
    <n v="0.36020000000000002"/>
    <n v="0"/>
    <n v="0"/>
    <n v="0"/>
    <m/>
  </r>
  <r>
    <x v="3"/>
    <s v="NEMDIL "/>
    <s v="FULYA COSMETICS"/>
    <x v="171"/>
    <s v="BAGS"/>
    <s v="WITHOUT EXTRA PROTECTCARE INDICATION"/>
    <s v="72"/>
    <n v="50.296300000000002"/>
    <n v="34.107599999999998"/>
    <n v="15.9543"/>
    <n v="3350.8564000000001"/>
    <n v="2178.5326"/>
    <n v="866.22"/>
    <n v="100.3582"/>
    <n v="-0.32186661841924763"/>
    <n v="-0.34985796466837554"/>
    <n v="2.7991346249127913E-2"/>
    <m/>
  </r>
  <r>
    <x v="3"/>
    <s v="NEMDIL "/>
    <s v="FULYA COSMETICS"/>
    <x v="172"/>
    <s v="BAGS"/>
    <s v="WITHOUT EXTRA PROTECTCARE INDICATION"/>
    <s v="72"/>
    <n v="5.0095999999999998"/>
    <n v="5.5152000000000001"/>
    <n v="4.4993999999999996"/>
    <n v="141.5444"/>
    <n v="154.2473"/>
    <n v="124.59650000000001"/>
    <n v="15.024199999999999"/>
    <n v="0.10092622165442357"/>
    <n v="8.9744984612602122E-2"/>
    <n v="1.1181237041821446E-2"/>
    <m/>
  </r>
  <r>
    <x v="3"/>
    <s v="PREMIUM "/>
    <s v="FULYA COSMETICS"/>
    <x v="173"/>
    <s v="BAGS"/>
    <s v="ALCOHOL FREE"/>
    <s v="72"/>
    <n v="4.6416000000000004"/>
    <n v="5.1684999999999999"/>
    <n v="0.78010000000000002"/>
    <n v="142.55420000000001"/>
    <n v="145.93899999999999"/>
    <n v="21.435099999999998"/>
    <n v="10.590199999999999"/>
    <n v="0.11351689072733528"/>
    <n v="2.3743951423388327E-2"/>
    <n v="8.9772939303946961E-2"/>
    <m/>
  </r>
  <r>
    <x v="3"/>
    <s v="PURE "/>
    <s v="FULYA COSMETICS"/>
    <x v="174"/>
    <s v="BAGS"/>
    <s v="ALCOHOL FREE"/>
    <s v="120"/>
    <n v="137.1788"/>
    <n v="116.5658"/>
    <n v="65.912899999999993"/>
    <n v="7929.3796000000002"/>
    <n v="6740.5910999999996"/>
    <n v="3524.3125"/>
    <n v="319.65749999999997"/>
    <n v="-0.15026374337725654"/>
    <n v="-0.14992200650855467"/>
    <n v="-3.4173686870186959E-4"/>
    <m/>
  </r>
  <r>
    <x v="36"/>
    <s v="NAPEEZ BY GRACIA "/>
    <s v="GRACIA COMPANY"/>
    <x v="175"/>
    <s v="BAGS"/>
    <s v="PH BALANCED"/>
    <s v="100"/>
    <n v="14.2293"/>
    <n v="21.789000000000001"/>
    <n v="7.9466000000000001"/>
    <n v="761.61429999999996"/>
    <n v="1129.7994000000001"/>
    <n v="412.24349999999998"/>
    <n v="43.9649"/>
    <n v="0.53127701292403706"/>
    <n v="0.48342724132149328"/>
    <n v="4.7849771602543778E-2"/>
    <m/>
  </r>
  <r>
    <x v="37"/>
    <s v="MIKE LINE "/>
    <s v="GRUPA POLUDNIE SP"/>
    <x v="176"/>
    <s v="BAGS"/>
    <s v="SENSITIVE"/>
    <s v="72"/>
    <n v="7.4866999999999999"/>
    <n v="1.5100000000000001E-2"/>
    <n v="0"/>
    <n v="509.18150000000003"/>
    <n v="0.77590000000000003"/>
    <n v="0"/>
    <n v="7.5018000000000002"/>
    <n v="-0.99798309001295626"/>
    <n v="-0.99847618187227938"/>
    <n v="4.9309185932311372E-4"/>
    <m/>
  </r>
  <r>
    <x v="38"/>
    <s v="PRIME "/>
    <s v="GRUPPO AVELLA SRL "/>
    <x v="177"/>
    <s v="BAGS"/>
    <s v="SENSITIVE"/>
    <s v="63"/>
    <n v="0"/>
    <n v="0"/>
    <n v="0"/>
    <n v="0"/>
    <n v="0"/>
    <n v="0"/>
    <n v="0"/>
    <n v="0"/>
    <n v="0"/>
    <n v="0"/>
    <m/>
  </r>
  <r>
    <x v="38"/>
    <s v="PRIME "/>
    <s v="GRUPPO AVELLA SRL "/>
    <x v="178"/>
    <s v="BAGS"/>
    <s v="SENSITIVE"/>
    <s v="63"/>
    <n v="1.3945000000000001"/>
    <n v="0"/>
    <n v="0"/>
    <n v="67.202299999999994"/>
    <n v="0"/>
    <n v="0"/>
    <n v="1.3945000000000001"/>
    <n v="-1"/>
    <n v="-1"/>
    <n v="0"/>
    <m/>
  </r>
  <r>
    <x v="38"/>
    <s v="PRIME "/>
    <s v="GRUPPO AVELLA SRL "/>
    <x v="179"/>
    <s v="BAGS"/>
    <s v="ALCOHOL FREE"/>
    <s v="72"/>
    <n v="7.7927999999999997"/>
    <n v="0"/>
    <n v="0"/>
    <n v="362.96660000000003"/>
    <n v="0"/>
    <n v="0"/>
    <n v="7.7927999999999997"/>
    <n v="-1"/>
    <n v="-1"/>
    <n v="0"/>
    <m/>
  </r>
  <r>
    <x v="39"/>
    <s v="PONKY "/>
    <s v="GULSAH KOZMETIK"/>
    <x v="180"/>
    <s v="BAGS"/>
    <s v="WITHOUT EXTRA PROTECTCARE INDICATION"/>
    <s v="72"/>
    <n v="63.770400000000002"/>
    <n v="23.340299999999999"/>
    <n v="11.8607"/>
    <n v="2545.3452000000002"/>
    <n v="949.45609999999999"/>
    <n v="459.19099999999997"/>
    <n v="98.971400000000003"/>
    <n v="-0.63399476873282901"/>
    <n v="-0.62698336555686052"/>
    <n v="-7.0114031759684892E-3"/>
    <m/>
  </r>
  <r>
    <x v="39"/>
    <s v="PONKY "/>
    <s v="GULSAH KOZMETIK"/>
    <x v="181"/>
    <s v="BAGS"/>
    <s v="ALCOHOL FREE"/>
    <s v="72"/>
    <n v="12.7019"/>
    <n v="13.0259"/>
    <n v="5.5613999999999999"/>
    <n v="553.99599999999998"/>
    <n v="562.68320000000006"/>
    <n v="225.62440000000001"/>
    <n v="31.289200000000001"/>
    <n v="2.5507994866909661E-2"/>
    <n v="1.5680979646062562E-2"/>
    <n v="9.827015220847099E-3"/>
    <m/>
  </r>
  <r>
    <x v="39"/>
    <s v="POZZY "/>
    <s v="GULSAH KOZMETIK"/>
    <x v="182"/>
    <s v="BAGS"/>
    <s v="PH BALANCED"/>
    <s v="72"/>
    <n v="0.59"/>
    <n v="0"/>
    <n v="0"/>
    <n v="18.470099999999999"/>
    <n v="0"/>
    <n v="0"/>
    <n v="0.59"/>
    <n v="-1"/>
    <n v="-1"/>
    <n v="0"/>
    <m/>
  </r>
  <r>
    <x v="39"/>
    <s v="POZZY "/>
    <s v="GULSAH KOZMETIK"/>
    <x v="183"/>
    <s v="BAGS"/>
    <s v="ALCOHOL FREE"/>
    <s v="72"/>
    <n v="0.59"/>
    <n v="0"/>
    <n v="0"/>
    <n v="18.470099999999999"/>
    <n v="0"/>
    <n v="0"/>
    <n v="0.59"/>
    <n v="-1"/>
    <n v="-1"/>
    <n v="0"/>
    <m/>
  </r>
  <r>
    <x v="35"/>
    <s v="CLEANIC "/>
    <s v="HARPER HYGIENICS"/>
    <x v="184"/>
    <s v="BAGS"/>
    <s v="HYPOALLERGENIC"/>
    <s v="50"/>
    <n v="0"/>
    <n v="1.1446000000000001"/>
    <n v="0.29039999999999999"/>
    <n v="0"/>
    <n v="11.6808"/>
    <n v="3.3864000000000001"/>
    <n v="1.4350000000000001"/>
    <n v="0"/>
    <n v="0"/>
    <n v="0"/>
    <m/>
  </r>
  <r>
    <x v="35"/>
    <s v="CLEANIC "/>
    <s v="HARPER HYGIENICS"/>
    <x v="185"/>
    <s v="BAGS"/>
    <s v="HYPOALLERGENIC"/>
    <s v="50"/>
    <n v="0"/>
    <n v="0.49220000000000003"/>
    <n v="0.1164"/>
    <n v="0"/>
    <n v="4.2202000000000002"/>
    <n v="0.85"/>
    <n v="0.60860000000000003"/>
    <n v="0"/>
    <n v="0"/>
    <n v="0"/>
    <m/>
  </r>
  <r>
    <x v="35"/>
    <s v="CLEANIC "/>
    <s v="HARPER HYGIENICS"/>
    <x v="186"/>
    <s v="BAGS"/>
    <s v="PH BALANCED"/>
    <s v="50"/>
    <n v="0"/>
    <n v="1.4152"/>
    <n v="0.3513"/>
    <n v="0"/>
    <n v="20.5671"/>
    <n v="6.5918999999999999"/>
    <n v="1.7665"/>
    <n v="0"/>
    <n v="0"/>
    <n v="0"/>
    <m/>
  </r>
  <r>
    <x v="35"/>
    <s v="PETINO "/>
    <s v="HARPER HYGIENICS"/>
    <x v="187"/>
    <s v="BAGS"/>
    <s v="WITHOUT EXTRA PROTECTCARE INDICATION"/>
    <s v="120"/>
    <n v="6.1999999999999998E-3"/>
    <n v="21.155899999999999"/>
    <n v="10.029400000000001"/>
    <n v="0.32569999999999999"/>
    <n v="1092.0349000000001"/>
    <n v="489.28280000000001"/>
    <n v="31.191499999999998"/>
    <n v="3411.2419354838707"/>
    <n v="3351.8857844642312"/>
    <n v="59.356151019639583"/>
    <m/>
  </r>
  <r>
    <x v="4"/>
    <s v="PAMPERS "/>
    <s v="PROCTER &amp; GAMBLE"/>
    <x v="188"/>
    <s v="BAGS"/>
    <s v="ALCOHOL FREE"/>
    <s v="80"/>
    <n v="299.24509999999998"/>
    <n v="239.40260000000001"/>
    <n v="70.132900000000006"/>
    <n v="8505.4575000000004"/>
    <n v="6543.0663999999997"/>
    <n v="1626.3281999999999"/>
    <n v="608.78060000000005"/>
    <n v="-0.1999782118403943"/>
    <n v="-0.23072140446295814"/>
    <n v="3.0743192622563836E-2"/>
    <m/>
  </r>
  <r>
    <x v="15"/>
    <s v="MOLFIX "/>
    <s v="HAYAT KIMYA"/>
    <x v="189"/>
    <s v="BAGS"/>
    <s v="SENSITIVE"/>
    <s v="40"/>
    <n v="0"/>
    <n v="0"/>
    <n v="0"/>
    <n v="0"/>
    <n v="0"/>
    <n v="0"/>
    <n v="0"/>
    <n v="0"/>
    <n v="0"/>
    <n v="0"/>
    <m/>
  </r>
  <r>
    <x v="15"/>
    <s v="MOLFIX "/>
    <s v="HAYAT KIMYA"/>
    <x v="190"/>
    <s v="BAGS"/>
    <s v="PH BALANCED"/>
    <s v="50"/>
    <n v="0.37059999999999998"/>
    <n v="0.24890000000000001"/>
    <n v="0"/>
    <n v="9.2727000000000004"/>
    <n v="7.0415000000000001"/>
    <n v="0"/>
    <n v="0.61949999999999994"/>
    <n v="-0.32838640043173228"/>
    <n v="-0.24062031554994773"/>
    <n v="-8.7766084881784556E-2"/>
    <m/>
  </r>
  <r>
    <x v="15"/>
    <s v="MOLFIX "/>
    <s v="HAYAT KIMYA"/>
    <x v="191"/>
    <s v="BAGS"/>
    <s v="PH BALANCED"/>
    <s v="60"/>
    <n v="29.4162"/>
    <n v="107.9663"/>
    <n v="52.6723"/>
    <n v="866.39819999999997"/>
    <n v="3176.0981999999999"/>
    <n v="1396.3396"/>
    <n v="190.0548"/>
    <n v="2.6703007186516272"/>
    <n v="2.6658642642609367"/>
    <n v="4.4364543906905141E-3"/>
    <m/>
  </r>
  <r>
    <x v="15"/>
    <s v="MOLFIX "/>
    <s v="HAYAT KIMYA"/>
    <x v="192"/>
    <s v="BAGS"/>
    <s v="PH BALANCED"/>
    <s v="60"/>
    <n v="2.2702"/>
    <n v="6.8476999999999997"/>
    <n v="4.3963000000000001"/>
    <n v="71.277600000000007"/>
    <n v="210.60059999999999"/>
    <n v="121.2728"/>
    <n v="13.514199999999999"/>
    <n v="2.0163421724958153"/>
    <n v="1.9546533553318288"/>
    <n v="6.1688817163986442E-2"/>
    <m/>
  </r>
  <r>
    <x v="4"/>
    <s v="PAMPERS "/>
    <s v="PROCTER &amp; GAMBLE"/>
    <x v="193"/>
    <s v="BAGS"/>
    <s v="ALCOHOL FREE"/>
    <s v="52"/>
    <n v="195.73400000000001"/>
    <n v="242.5813"/>
    <n v="163.20820000000001"/>
    <n v="3936.1988000000001"/>
    <n v="5003.2757000000001"/>
    <n v="3062.0891000000001"/>
    <n v="601.52350000000001"/>
    <n v="0.23934165755566222"/>
    <n v="0.27109324356279974"/>
    <n v="-3.1751586007137511E-2"/>
    <m/>
  </r>
  <r>
    <x v="15"/>
    <s v="MOLFIX "/>
    <s v="HAYAT KIMYA"/>
    <x v="194"/>
    <s v="BAGS"/>
    <s v="PH BALANCED"/>
    <s v="60"/>
    <n v="2.9716999999999998"/>
    <n v="0.47810000000000002"/>
    <n v="0.26490000000000002"/>
    <n v="93.2804"/>
    <n v="14.5885"/>
    <n v="7.5808999999999997"/>
    <n v="3.7146999999999997"/>
    <n v="-0.83911565770434426"/>
    <n v="-0.84360594508599884"/>
    <n v="4.4902873816545785E-3"/>
    <m/>
  </r>
  <r>
    <x v="15"/>
    <s v="MOLFIX "/>
    <s v="HAYAT KIMYA"/>
    <x v="195"/>
    <s v="BAGS"/>
    <s v="PH BALANCED"/>
    <s v="63"/>
    <n v="0.21840000000000001"/>
    <n v="0"/>
    <n v="0"/>
    <n v="7.3784000000000001"/>
    <n v="0"/>
    <n v="0"/>
    <n v="0.21840000000000001"/>
    <n v="-1"/>
    <n v="-1"/>
    <n v="0"/>
    <m/>
  </r>
  <r>
    <x v="15"/>
    <s v="MOLFIX "/>
    <s v="HAYAT KIMYA"/>
    <x v="196"/>
    <s v="BAGS"/>
    <s v="WITHOUT EXTRA PROTECTCARE INDICATION"/>
    <s v="63"/>
    <n v="0.50360000000000005"/>
    <n v="0"/>
    <n v="0"/>
    <n v="14.988200000000001"/>
    <n v="0"/>
    <n v="0"/>
    <n v="0.50360000000000005"/>
    <n v="-1"/>
    <n v="-1"/>
    <n v="0"/>
    <m/>
  </r>
  <r>
    <x v="40"/>
    <s v="HIMALAYA "/>
    <s v="HIMALAYA DRUG"/>
    <x v="197"/>
    <s v="BAGS"/>
    <s v="ALCOHOL FREE &amp; HYPOALLERGENIC"/>
    <s v="20"/>
    <n v="0.17610000000000001"/>
    <n v="1.0699999999999999E-2"/>
    <n v="0"/>
    <n v="3.1602000000000001"/>
    <n v="0.19450000000000001"/>
    <n v="0"/>
    <n v="0.18679999999999999"/>
    <n v="-0.93923906871095975"/>
    <n v="-0.93845326245174354"/>
    <n v="-7.8580625921620406E-4"/>
    <m/>
  </r>
  <r>
    <x v="40"/>
    <s v="HIMALAYA "/>
    <s v="HIMALAYA DRUG"/>
    <x v="198"/>
    <s v="BAGS"/>
    <s v="ALCOHOL FREE &amp; HYPOALLERGENIC"/>
    <s v="20"/>
    <n v="0.50239999999999996"/>
    <n v="6.6451000000000002"/>
    <n v="0"/>
    <n v="10.56"/>
    <n v="115.3312"/>
    <n v="0"/>
    <n v="7.1475"/>
    <n v="12.226711783439493"/>
    <n v="9.9215151515151501"/>
    <n v="2.3051966319243427"/>
    <m/>
  </r>
  <r>
    <x v="40"/>
    <s v="HIMALAYA "/>
    <s v="HIMALAYA DRUG"/>
    <x v="199"/>
    <s v="BAGS"/>
    <s v="ALCOHOL FREE &amp; HYPOALLERGENIC"/>
    <s v="56"/>
    <n v="0.31990000000000002"/>
    <n v="0"/>
    <n v="0"/>
    <n v="7.3638000000000003"/>
    <n v="0"/>
    <n v="0"/>
    <n v="0.31990000000000002"/>
    <n v="-1"/>
    <n v="-1"/>
    <n v="0"/>
    <m/>
  </r>
  <r>
    <x v="40"/>
    <s v="HIMALAYA "/>
    <s v="HIMALAYA DRUG"/>
    <x v="200"/>
    <s v="BAGS"/>
    <s v="ALCOHOL FREE &amp; HYPOALLERGENIC"/>
    <s v="56"/>
    <n v="3.0116000000000001"/>
    <n v="0"/>
    <n v="0"/>
    <n v="62.468000000000004"/>
    <n v="0"/>
    <n v="0"/>
    <n v="3.0116000000000001"/>
    <n v="-1"/>
    <n v="-1"/>
    <n v="0"/>
    <m/>
  </r>
  <r>
    <x v="41"/>
    <s v="HIPP "/>
    <s v="HIPP GMBH"/>
    <x v="201"/>
    <s v="BAGS"/>
    <s v="PH BALANCED"/>
    <s v="10"/>
    <n v="1.7111000000000001"/>
    <n v="0.48920000000000002"/>
    <n v="7.6600000000000001E-2"/>
    <n v="14.330299999999999"/>
    <n v="3.8454999999999999"/>
    <n v="0.62309999999999999"/>
    <n v="2.2768999999999999"/>
    <n v="-0.71410203962363383"/>
    <n v="-0.73165251250846108"/>
    <n v="1.7550472884827251E-2"/>
    <m/>
  </r>
  <r>
    <x v="41"/>
    <s v="HIPP "/>
    <s v="HIPP GMBH"/>
    <x v="202"/>
    <s v="BAGS"/>
    <s v="SENSITIVE"/>
    <s v="52"/>
    <n v="88.057900000000004"/>
    <n v="26.767399999999999"/>
    <n v="2.3372999999999999"/>
    <n v="2166.7952"/>
    <n v="614.64589999999998"/>
    <n v="48.202599999999997"/>
    <n v="117.1626"/>
    <n v="-0.69602500173181514"/>
    <n v="-0.71633410485679494"/>
    <n v="2.0309103124979799E-2"/>
    <m/>
  </r>
  <r>
    <x v="41"/>
    <s v="HIPP "/>
    <s v="HIPP GMBH"/>
    <x v="203"/>
    <s v="BAGS"/>
    <s v="WITHOUT EXTRA PROTECTCARE INDICATION"/>
    <s v="56"/>
    <n v="1.0826"/>
    <n v="0.79220000000000002"/>
    <n v="0"/>
    <n v="19.760000000000002"/>
    <n v="17.024000000000001"/>
    <n v="0"/>
    <n v="1.8748"/>
    <n v="-0.26824311841862181"/>
    <n v="-0.1384615384615385"/>
    <n v="-0.12978157995708331"/>
    <m/>
  </r>
  <r>
    <x v="41"/>
    <s v="HIPP "/>
    <s v="HIPP GMBH"/>
    <x v="204"/>
    <s v="BAGS"/>
    <s v="PH BALANCED"/>
    <s v="56"/>
    <n v="0.44109999999999999"/>
    <n v="0.41260000000000002"/>
    <n v="4.5600000000000002E-2"/>
    <n v="8.4567999999999994"/>
    <n v="6.601"/>
    <n v="0.72929999999999995"/>
    <n v="0.89929999999999999"/>
    <n v="-6.4611199274540856E-2"/>
    <n v="-0.21944470721786014"/>
    <n v="0.15483350794331929"/>
    <m/>
  </r>
  <r>
    <x v="41"/>
    <s v="HIPP "/>
    <s v="HIPP GMBH"/>
    <x v="205"/>
    <s v="BAGS"/>
    <s v="SENSITIVE"/>
    <s v="56"/>
    <n v="2.1700000000000001E-2"/>
    <n v="0"/>
    <n v="0"/>
    <n v="0.48470000000000002"/>
    <n v="0"/>
    <n v="0"/>
    <n v="2.1700000000000001E-2"/>
    <n v="-1"/>
    <n v="-1"/>
    <n v="0"/>
    <m/>
  </r>
  <r>
    <x v="41"/>
    <s v="HIPP "/>
    <s v="HIPP GMBH"/>
    <x v="206"/>
    <s v="BAGS"/>
    <s v="PH BALANCED"/>
    <s v="56"/>
    <n v="1.675"/>
    <n v="2.4634999999999998"/>
    <n v="0.86060000000000003"/>
    <n v="31.331099999999999"/>
    <n v="43.584000000000003"/>
    <n v="15.645899999999999"/>
    <n v="4.9990999999999994"/>
    <n v="0.47074626865671626"/>
    <n v="0.39107787469957977"/>
    <n v="7.9668393957136485E-2"/>
    <m/>
  </r>
  <r>
    <x v="41"/>
    <s v="HIPP "/>
    <s v="HIPP GMBH"/>
    <x v="207"/>
    <s v="BAGS"/>
    <s v="PH BALANCED"/>
    <s v="56"/>
    <n v="9.3126999999999995"/>
    <n v="6.4108999999999998"/>
    <n v="5.0708000000000002"/>
    <n v="206.11410000000001"/>
    <n v="126.16"/>
    <n v="101.6622"/>
    <n v="20.7944"/>
    <n v="-0.31159599256928711"/>
    <n v="-0.38791184106279003"/>
    <n v="7.6315848493502925E-2"/>
    <m/>
  </r>
  <r>
    <x v="41"/>
    <s v="HIPP "/>
    <s v="HIPP GMBH"/>
    <x v="208"/>
    <s v="BAGS"/>
    <s v="PH BALANCED"/>
    <s v="56"/>
    <n v="11.1845"/>
    <n v="11.7105"/>
    <n v="3.9420000000000002"/>
    <n v="216.30410000000001"/>
    <n v="238.77709999999999"/>
    <n v="77.523899999999998"/>
    <n v="26.837"/>
    <n v="4.7029371004515159E-2"/>
    <n v="0.1038953954178399"/>
    <n v="-5.6866024413324744E-2"/>
    <m/>
  </r>
  <r>
    <x v="42"/>
    <s v="BIONIKE "/>
    <s v="ICIM INTERNATIONAL"/>
    <x v="209"/>
    <s v="BAGS"/>
    <s v="HYPOALLERGENIC"/>
    <s v="72"/>
    <n v="6.6299999999999998E-2"/>
    <n v="0.12959999999999999"/>
    <n v="7.1499999999999994E-2"/>
    <n v="0.504"/>
    <n v="0.91539999999999999"/>
    <n v="0.52459999999999996"/>
    <n v="0.26739999999999997"/>
    <n v="0.9547511312217194"/>
    <n v="0.81626984126984126"/>
    <n v="0.13848128995187814"/>
    <m/>
  </r>
  <r>
    <x v="43"/>
    <s v="WATER WIPES "/>
    <s v="IRISH BREEZE LTD"/>
    <x v="210"/>
    <s v="BAGS"/>
    <s v="WITHOUT EXTRA PROTECTCARE INDICATION"/>
    <s v="10"/>
    <n v="0.61529999999999996"/>
    <n v="0.502"/>
    <n v="4.99E-2"/>
    <n v="4.0616000000000003"/>
    <n v="3.2562000000000002"/>
    <n v="0.25269999999999998"/>
    <n v="1.1672"/>
    <n v="-0.18413781895010559"/>
    <n v="-0.19829623793578888"/>
    <n v="1.4158418985683291E-2"/>
    <m/>
  </r>
  <r>
    <x v="43"/>
    <s v="WATER WIPES "/>
    <s v="IRISH BREEZE LTD"/>
    <x v="211"/>
    <s v="BAGS"/>
    <s v="WITHOUT EXTRA PROTECTCARE INDICATION"/>
    <s v="240"/>
    <n v="18.4224"/>
    <n v="21.849599999999999"/>
    <n v="15.9329"/>
    <n v="154.90440000000001"/>
    <n v="191.65379999999999"/>
    <n v="151.1"/>
    <n v="56.204899999999995"/>
    <n v="0.18603439291297547"/>
    <n v="0.2372392262582598"/>
    <n v="-5.1204833345284334E-2"/>
    <m/>
  </r>
  <r>
    <x v="43"/>
    <s v="WATER WIPES "/>
    <s v="IRISH BREEZE LTD"/>
    <x v="212"/>
    <s v="BAGS"/>
    <s v="WITHOUT EXTRA PROTECTCARE INDICATION"/>
    <s v="28"/>
    <n v="1.851"/>
    <n v="2.4146999999999998"/>
    <n v="0.80920000000000003"/>
    <n v="10.083500000000001"/>
    <n v="14.928100000000001"/>
    <n v="5.5830000000000002"/>
    <n v="5.0748999999999995"/>
    <n v="0.30453808752025924"/>
    <n v="0.48044825705360233"/>
    <n v="-0.1759101695333431"/>
    <m/>
  </r>
  <r>
    <x v="4"/>
    <s v="PAMPERS "/>
    <s v="PROCTER &amp; GAMBLE"/>
    <x v="213"/>
    <s v="BAGS"/>
    <s v="SENSITIVE"/>
    <s v="80"/>
    <n v="228.9504"/>
    <n v="220.107"/>
    <n v="99.616699999999994"/>
    <n v="6068.1558999999997"/>
    <n v="5788.4287000000004"/>
    <n v="2377.8838000000001"/>
    <n v="548.67410000000007"/>
    <n v="-3.8625833368275408E-2"/>
    <n v="-4.6097563182251028E-2"/>
    <n v="7.4717298139756194E-3"/>
    <m/>
  </r>
  <r>
    <x v="43"/>
    <s v="WATER WIPES "/>
    <s v="IRISH BREEZE LTD"/>
    <x v="214"/>
    <s v="BAGS"/>
    <s v="WITHOUT EXTRA PROTECTCARE INDICATION"/>
    <s v="60"/>
    <n v="1.278"/>
    <n v="13.6012"/>
    <n v="11.1342"/>
    <n v="10.3644"/>
    <n v="118.5029"/>
    <n v="94.131399999999999"/>
    <n v="26.013400000000001"/>
    <n v="9.6425665101721432"/>
    <n v="10.433647871560341"/>
    <n v="-0.79108136138819773"/>
    <m/>
  </r>
  <r>
    <x v="44"/>
    <s v="PAW PATROL "/>
    <s v="JELLYWORKS HEALTHCARE"/>
    <x v="215"/>
    <s v="BAGS"/>
    <s v="WITHOUT EXTRA PROTECTCARE INDICATION"/>
    <s v="56"/>
    <n v="0"/>
    <n v="0.2286"/>
    <n v="8.4099999999999994E-2"/>
    <n v="0"/>
    <n v="3.6671999999999998"/>
    <n v="1.3489"/>
    <n v="0.31269999999999998"/>
    <n v="0"/>
    <n v="0"/>
    <n v="0"/>
    <m/>
  </r>
  <r>
    <x v="44"/>
    <s v="PEPPA PIG "/>
    <s v="JELLYWORKS HEALTHCARE"/>
    <x v="216"/>
    <s v="BAGS"/>
    <s v="WITHOUT EXTRA PROTECTCARE INDICATION"/>
    <s v="56"/>
    <n v="0"/>
    <n v="0.22009999999999999"/>
    <n v="0.1012"/>
    <n v="0"/>
    <n v="3.5211000000000001"/>
    <n v="1.6187"/>
    <n v="0.32129999999999997"/>
    <n v="0"/>
    <n v="0"/>
    <n v="0"/>
    <m/>
  </r>
  <r>
    <x v="45"/>
    <s v="JOHNSONS "/>
    <s v="JOHNSON &amp; JOHNSON INT."/>
    <x v="217"/>
    <s v="BAGS"/>
    <s v="ALCOHOL FREE &amp; HYPOALLERGENIC"/>
    <s v="20"/>
    <n v="0.3851"/>
    <n v="0.10680000000000001"/>
    <n v="0"/>
    <n v="4.9682000000000004"/>
    <n v="1.3105"/>
    <n v="0"/>
    <n v="0.4919"/>
    <n v="-0.72266943650999738"/>
    <n v="-0.73622237430055149"/>
    <n v="1.3552937790554109E-2"/>
    <m/>
  </r>
  <r>
    <x v="45"/>
    <s v="JOHNSONS "/>
    <s v="JOHNSON &amp; JOHNSON INT."/>
    <x v="218"/>
    <s v="BAGS"/>
    <s v="SENSITIVE"/>
    <s v="56"/>
    <n v="1.0960000000000001"/>
    <n v="0.3664"/>
    <n v="5.7799999999999997E-2"/>
    <n v="13.8332"/>
    <n v="3.4159999999999999"/>
    <n v="0.48"/>
    <n v="1.5202000000000002"/>
    <n v="-0.66569343065693432"/>
    <n v="-0.75305786079865822"/>
    <n v="8.7364430141723903E-2"/>
    <m/>
  </r>
  <r>
    <x v="45"/>
    <s v="JOHNSONS "/>
    <s v="JOHNSON &amp; JOHNSON INT."/>
    <x v="219"/>
    <s v="BAGS"/>
    <s v="SENSITIVE"/>
    <s v="56"/>
    <n v="8.1957000000000004"/>
    <n v="0.14119999999999999"/>
    <n v="1.1000000000000001E-3"/>
    <n v="213.62710000000001"/>
    <n v="2.6021999999999998"/>
    <n v="1.6E-2"/>
    <n v="8.3379999999999992"/>
    <n v="-0.98277145332308413"/>
    <n v="-0.98781896117112478"/>
    <n v="5.0475078480406443E-3"/>
    <m/>
  </r>
  <r>
    <x v="45"/>
    <s v="JOHNSONS "/>
    <s v="JOHNSON &amp; JOHNSON INT."/>
    <x v="220"/>
    <s v="BAGS"/>
    <s v="ALCOHOL FREE &amp; HYPOALLERGENIC"/>
    <s v="56"/>
    <n v="2.8999999999999998E-3"/>
    <n v="0"/>
    <n v="0"/>
    <n v="0.17960000000000001"/>
    <n v="0"/>
    <n v="0"/>
    <n v="2.8999999999999998E-3"/>
    <n v="-1"/>
    <n v="-1"/>
    <n v="0"/>
    <m/>
  </r>
  <r>
    <x v="45"/>
    <s v="JOHNSONS "/>
    <s v="JOHNSON &amp; JOHNSON INT."/>
    <x v="221"/>
    <s v="BAGS"/>
    <s v="ALCOHOL FREE &amp; HYPOALLERGENIC"/>
    <s v="56"/>
    <n v="0"/>
    <n v="0"/>
    <n v="0"/>
    <n v="0"/>
    <n v="0"/>
    <n v="0"/>
    <n v="0"/>
    <n v="0"/>
    <n v="0"/>
    <n v="0"/>
    <m/>
  </r>
  <r>
    <x v="45"/>
    <s v="JOHNSONS "/>
    <s v="JOHNSON &amp; JOHNSON INT."/>
    <x v="222"/>
    <s v="BAGS"/>
    <s v="WITHOUT EXTRA PROTECTCARE INDICATION"/>
    <s v="56"/>
    <n v="0.22670000000000001"/>
    <n v="0"/>
    <n v="0"/>
    <n v="4.5189000000000004"/>
    <n v="0"/>
    <n v="0"/>
    <n v="0.22670000000000001"/>
    <n v="-1"/>
    <n v="-1"/>
    <n v="0"/>
    <m/>
  </r>
  <r>
    <x v="45"/>
    <s v="JOHNSONS "/>
    <s v="JOHNSON &amp; JOHNSON INT."/>
    <x v="223"/>
    <s v="BAGS"/>
    <s v="ALCOHOL FREE &amp; HYPOALLERGENIC"/>
    <s v="72"/>
    <n v="24.499500000000001"/>
    <n v="1.3658999999999999"/>
    <n v="5.9999999999999995E-4"/>
    <n v="789.96360000000004"/>
    <n v="36.531500000000001"/>
    <n v="2.06E-2"/>
    <n v="25.866"/>
    <n v="-0.94424784179268961"/>
    <n v="-0.95375546417581769"/>
    <n v="9.5076223831280782E-3"/>
    <m/>
  </r>
  <r>
    <x v="45"/>
    <s v="JOHNSONS "/>
    <s v="JOHNSON &amp; JOHNSON INT."/>
    <x v="224"/>
    <s v="BAGS"/>
    <s v="SENSITIVE"/>
    <s v="72"/>
    <n v="0"/>
    <n v="2.8000000000000001E-2"/>
    <n v="0"/>
    <n v="0"/>
    <n v="0.80640000000000001"/>
    <n v="0"/>
    <n v="2.8000000000000001E-2"/>
    <n v="0"/>
    <n v="0"/>
    <n v="0"/>
    <m/>
  </r>
  <r>
    <x v="46"/>
    <s v="MAIA "/>
    <s v="KALESAN"/>
    <x v="225"/>
    <s v="BAGS"/>
    <s v="PH BALANCED"/>
    <s v="72"/>
    <n v="0"/>
    <n v="10.2052"/>
    <n v="14.4321"/>
    <n v="0"/>
    <n v="569.2527"/>
    <n v="716.4248"/>
    <n v="24.6373"/>
    <n v="0"/>
    <n v="0"/>
    <n v="0"/>
    <m/>
  </r>
  <r>
    <x v="47"/>
    <s v="BEBECEN "/>
    <s v="KANTARA PRODUKSIYON DAGITIM"/>
    <x v="226"/>
    <s v="BAGS"/>
    <s v="PH BALANCED"/>
    <s v="72"/>
    <n v="0"/>
    <n v="0"/>
    <n v="0"/>
    <n v="0"/>
    <n v="0"/>
    <n v="0"/>
    <n v="0"/>
    <n v="0"/>
    <n v="0"/>
    <n v="0"/>
    <m/>
  </r>
  <r>
    <x v="48"/>
    <s v="KRISPA "/>
    <s v="KAPPUS"/>
    <x v="227"/>
    <s v="BAGS"/>
    <s v="WITHOUT EXTRA PROTECTCARE INDICATION"/>
    <s v="15"/>
    <n v="1.1900000000000001E-2"/>
    <n v="0"/>
    <n v="0"/>
    <n v="0.14000000000000001"/>
    <n v="0"/>
    <n v="0"/>
    <n v="1.1900000000000001E-2"/>
    <n v="-1"/>
    <n v="-1"/>
    <n v="0"/>
    <m/>
  </r>
  <r>
    <x v="48"/>
    <s v="KRISPA "/>
    <s v="KAPPUS"/>
    <x v="228"/>
    <s v="BAGS"/>
    <s v="PH BALANCED"/>
    <s v="80"/>
    <n v="0"/>
    <n v="0"/>
    <n v="0"/>
    <n v="0"/>
    <n v="0"/>
    <n v="0"/>
    <n v="0"/>
    <n v="0"/>
    <n v="0"/>
    <n v="0"/>
    <m/>
  </r>
  <r>
    <x v="49"/>
    <s v="SOFT &amp; FRESH "/>
    <s v="KARDESLER UCANYAGLAR SAN A"/>
    <x v="229"/>
    <s v="BAGS"/>
    <s v="PH BALANCED"/>
    <s v="40"/>
    <n v="0"/>
    <n v="0"/>
    <n v="0.69599999999999995"/>
    <n v="0"/>
    <n v="0"/>
    <n v="11.551500000000001"/>
    <n v="0.69599999999999995"/>
    <n v="0"/>
    <n v="0"/>
    <n v="0"/>
    <m/>
  </r>
  <r>
    <x v="49"/>
    <s v="SOFT &amp; FRESH "/>
    <s v="KARDESLER UCANYAGLAR SAN A"/>
    <x v="230"/>
    <s v="BAGS"/>
    <s v="PH BALANCED"/>
    <s v="90"/>
    <n v="0.33289999999999997"/>
    <n v="2.7199999999999998E-2"/>
    <n v="0.74419999999999997"/>
    <n v="16.585699999999999"/>
    <n v="2.2242999999999999"/>
    <n v="24.0091"/>
    <n v="1.1042999999999998"/>
    <n v="-0.91829378191649147"/>
    <n v="-0.86589049602971235"/>
    <n v="-5.2403285886779116E-2"/>
    <m/>
  </r>
  <r>
    <x v="50"/>
    <s v="RENKLY BABY "/>
    <s v="KARTOPU KOLONYA"/>
    <x v="231"/>
    <s v="BAGS"/>
    <s v="PH BALANCED"/>
    <s v="120"/>
    <n v="0"/>
    <n v="3.2099999999999997E-2"/>
    <n v="0.19070000000000001"/>
    <n v="0"/>
    <n v="1.7567999999999999"/>
    <n v="7.8956"/>
    <n v="0.2228"/>
    <n v="0"/>
    <n v="0"/>
    <n v="0"/>
    <m/>
  </r>
  <r>
    <x v="50"/>
    <s v="RENKLY BABY "/>
    <s v="KARTOPU KOLONYA"/>
    <x v="232"/>
    <s v="BAGS"/>
    <s v="ALCOHOL FREE"/>
    <s v="70"/>
    <n v="0"/>
    <n v="0"/>
    <n v="2.2185000000000001"/>
    <n v="0"/>
    <n v="0"/>
    <n v="128.51750000000001"/>
    <n v="2.2185000000000001"/>
    <n v="0"/>
    <n v="0"/>
    <n v="0"/>
    <m/>
  </r>
  <r>
    <x v="50"/>
    <s v="RENKLY BABY "/>
    <s v="KARTOPU KOLONYA"/>
    <x v="233"/>
    <s v="BAGS"/>
    <s v="PH BALANCED"/>
    <s v="70"/>
    <n v="0"/>
    <n v="7.0191999999999997"/>
    <n v="7.8216999999999999"/>
    <n v="0"/>
    <n v="471.142"/>
    <n v="503.7824"/>
    <n v="14.8409"/>
    <n v="0"/>
    <n v="0"/>
    <n v="0"/>
    <m/>
  </r>
  <r>
    <x v="50"/>
    <s v="RENKLY BABY "/>
    <s v="KARTOPU KOLONYA"/>
    <x v="234"/>
    <s v="BAGS"/>
    <s v="PH BALANCED"/>
    <s v="72"/>
    <n v="8.5007999999999999"/>
    <n v="1.8512999999999999"/>
    <n v="0.35020000000000001"/>
    <n v="288.41750000000002"/>
    <n v="66.691299999999998"/>
    <n v="13.4161"/>
    <n v="10.702299999999999"/>
    <n v="-0.78222049689440987"/>
    <n v="-0.76876819194397006"/>
    <n v="-1.3452304950439808E-2"/>
    <m/>
  </r>
  <r>
    <x v="50"/>
    <s v="RENKLY BABY "/>
    <s v="KARTOPU KOLONYA"/>
    <x v="235"/>
    <s v="BAGS"/>
    <s v="PH BALANCED"/>
    <s v="72"/>
    <n v="32.951099999999997"/>
    <n v="14.947100000000001"/>
    <n v="4.2103999999999999"/>
    <n v="1259.2874999999999"/>
    <n v="556.85670000000005"/>
    <n v="163.69149999999999"/>
    <n v="52.108599999999996"/>
    <n v="-0.54638540139782887"/>
    <n v="-0.55780018462821235"/>
    <n v="1.1414783230383474E-2"/>
    <m/>
  </r>
  <r>
    <x v="51"/>
    <s v="HUGGIES "/>
    <s v="KIMBERLEY CLARK"/>
    <x v="236"/>
    <s v="BAGS"/>
    <s v="ALCOHOL FREE"/>
    <s v="24"/>
    <n v="0"/>
    <n v="0"/>
    <n v="0"/>
    <n v="0"/>
    <n v="0"/>
    <n v="0"/>
    <n v="0"/>
    <n v="0"/>
    <n v="0"/>
    <n v="0"/>
    <m/>
  </r>
  <r>
    <x v="51"/>
    <s v="HUGGIES "/>
    <s v="KIMBERLEY CLARK"/>
    <x v="237"/>
    <s v="BAGS"/>
    <s v="ALCOHOL FREE"/>
    <s v="56"/>
    <n v="53.822000000000003"/>
    <n v="66.983199999999997"/>
    <n v="42.143000000000001"/>
    <n v="1325.5655999999999"/>
    <n v="1594.76"/>
    <n v="1015.3249"/>
    <n v="162.94819999999999"/>
    <n v="0.24453197577198901"/>
    <n v="0.20307889703836621"/>
    <n v="4.1453078733622806E-2"/>
    <m/>
  </r>
  <r>
    <x v="51"/>
    <s v="HUGGIES "/>
    <s v="KIMBERLEY CLARK"/>
    <x v="238"/>
    <s v="BAGS"/>
    <s v="ALCOHOL FREE"/>
    <s v="56"/>
    <n v="81.760300000000001"/>
    <n v="83.135000000000005"/>
    <n v="53.412599999999998"/>
    <n v="1959.0420999999999"/>
    <n v="1973.6881000000001"/>
    <n v="1284.8007"/>
    <n v="218.30790000000002"/>
    <n v="1.681378370676238E-2"/>
    <n v="7.4761027340863101E-3"/>
    <n v="9.3376809726760691E-3"/>
    <m/>
  </r>
  <r>
    <x v="51"/>
    <s v="HUGGIES "/>
    <s v="KIMBERLEY CLARK"/>
    <x v="239"/>
    <s v="BAGS"/>
    <s v="ALCOHOL FREE"/>
    <s v="56"/>
    <n v="24.3629"/>
    <n v="18.871200000000002"/>
    <n v="0.95489999999999997"/>
    <n v="571.42309999999998"/>
    <n v="430.0342"/>
    <n v="21.356300000000001"/>
    <n v="44.189"/>
    <n v="-0.22541240985268576"/>
    <n v="-0.2474329441704404"/>
    <n v="2.2020534317754636E-2"/>
    <m/>
  </r>
  <r>
    <x v="51"/>
    <s v="HUGGIES "/>
    <s v="KIMBERLEY CLARK"/>
    <x v="240"/>
    <s v="BAGS"/>
    <s v="ALCOHOL FREE"/>
    <s v="56"/>
    <n v="0"/>
    <n v="0"/>
    <n v="0"/>
    <n v="0"/>
    <n v="0"/>
    <n v="0"/>
    <n v="0"/>
    <n v="0"/>
    <n v="0"/>
    <n v="0"/>
    <m/>
  </r>
  <r>
    <x v="51"/>
    <s v="HUGGIES "/>
    <s v="KIMBERLEY CLARK"/>
    <x v="241"/>
    <s v="BAGS"/>
    <s v="WITHOUT EXTRA PROTECTCARE INDICATION"/>
    <s v="56"/>
    <n v="6.2572999999999999"/>
    <n v="18.031600000000001"/>
    <n v="4.2451999999999996"/>
    <n v="140.29249999999999"/>
    <n v="398.21929999999998"/>
    <n v="95.220100000000002"/>
    <n v="28.534100000000002"/>
    <n v="1.8816901858629123"/>
    <n v="1.8384931482438476"/>
    <n v="4.3197037619064682E-2"/>
    <m/>
  </r>
  <r>
    <x v="51"/>
    <s v="HUGGIES "/>
    <s v="KIMBERLEY CLARK"/>
    <x v="242"/>
    <s v="BAGS"/>
    <s v="PH BALANCED"/>
    <s v="64"/>
    <n v="0"/>
    <n v="0"/>
    <n v="0.16520000000000001"/>
    <n v="0"/>
    <n v="0"/>
    <n v="4.4053000000000004"/>
    <n v="0.16520000000000001"/>
    <n v="0"/>
    <n v="0"/>
    <n v="0"/>
    <m/>
  </r>
  <r>
    <x v="51"/>
    <s v="HUGGIES "/>
    <s v="KIMBERLEY CLARK"/>
    <x v="243"/>
    <s v="BAGS"/>
    <s v="WITHOUT EXTRA PROTECTCARE INDICATION"/>
    <s v="64"/>
    <n v="2.9600000000000001E-2"/>
    <n v="0"/>
    <n v="0"/>
    <n v="0.8246"/>
    <n v="0"/>
    <n v="0"/>
    <n v="2.9600000000000001E-2"/>
    <n v="-1"/>
    <n v="-1"/>
    <n v="0"/>
    <m/>
  </r>
  <r>
    <x v="51"/>
    <s v="HUGGIES "/>
    <s v="KIMBERLEY CLARK"/>
    <x v="244"/>
    <s v="BAGS"/>
    <s v="WITHOUT EXTRA PROTECTCARE INDICATION"/>
    <s v="64"/>
    <n v="0"/>
    <n v="0"/>
    <n v="0"/>
    <n v="0"/>
    <n v="0"/>
    <n v="0"/>
    <n v="0"/>
    <n v="0"/>
    <n v="0"/>
    <n v="0"/>
    <m/>
  </r>
  <r>
    <x v="51"/>
    <s v="HUGGIES "/>
    <s v="KIMBERLEY CLARK"/>
    <x v="245"/>
    <s v="BAGS"/>
    <s v="WITHOUT EXTRA PROTECTCARE INDICATION"/>
    <s v="72"/>
    <n v="2.3472"/>
    <n v="0.8044"/>
    <n v="0"/>
    <n v="54.641800000000003"/>
    <n v="24.183599999999998"/>
    <n v="0"/>
    <n v="3.1516000000000002"/>
    <n v="-0.65729379686434897"/>
    <n v="-0.5574157513112673"/>
    <n v="-9.9878045553081662E-2"/>
    <m/>
  </r>
  <r>
    <x v="52"/>
    <s v="KOMILI "/>
    <s v="KOMILI S.A."/>
    <x v="246"/>
    <s v="BAGS"/>
    <s v="ALCOHOL FREE"/>
    <s v="70"/>
    <n v="5.9740000000000002"/>
    <n v="0"/>
    <n v="0"/>
    <n v="416.80889999999999"/>
    <n v="0"/>
    <n v="0"/>
    <n v="5.9740000000000002"/>
    <n v="-1"/>
    <n v="-1"/>
    <n v="0"/>
    <m/>
  </r>
  <r>
    <x v="52"/>
    <s v="KOMILI "/>
    <s v="KOMILI S.A."/>
    <x v="247"/>
    <s v="BAGS"/>
    <s v="PH BALANCED"/>
    <s v="80"/>
    <n v="0.1293"/>
    <n v="8.2299999999999998E-2"/>
    <n v="0"/>
    <n v="5.4459999999999997"/>
    <n v="3.4649000000000001"/>
    <n v="0"/>
    <n v="0.21160000000000001"/>
    <n v="-0.36349574632637277"/>
    <n v="-0.36377157546823352"/>
    <n v="2.7582914186075058E-4"/>
    <m/>
  </r>
  <r>
    <x v="53"/>
    <s v="TANGO "/>
    <s v="KOZMO KIMYA"/>
    <x v="248"/>
    <s v="BAGS"/>
    <s v="ALCOHOL FREE"/>
    <s v="72"/>
    <n v="11.181699999999999"/>
    <n v="15.1816"/>
    <n v="9.6165000000000003"/>
    <n v="586.38080000000002"/>
    <n v="752.94479999999999"/>
    <n v="438.76389999999998"/>
    <n v="35.979799999999997"/>
    <n v="0.35771841491007633"/>
    <n v="0.28405432101460343"/>
    <n v="7.3664093895472904E-2"/>
    <m/>
  </r>
  <r>
    <x v="54"/>
    <s v="MUSTELA "/>
    <s v="LABORATORY EXPANSCIENCE"/>
    <x v="249"/>
    <s v="BAGS"/>
    <s v="HYPOALLERGENIC"/>
    <s v="25"/>
    <n v="8.2699999999999996E-2"/>
    <n v="4.5199999999999997E-2"/>
    <n v="5.4999999999999997E-3"/>
    <n v="0.35360000000000003"/>
    <n v="0.2"/>
    <n v="2.5000000000000001E-2"/>
    <n v="0.13339999999999999"/>
    <n v="-0.45344619105199518"/>
    <n v="-0.43438914027149322"/>
    <n v="-1.9057050780501961E-2"/>
    <m/>
  </r>
  <r>
    <x v="54"/>
    <s v="MUSTELA "/>
    <s v="LABORATORY EXPANSCIENCE"/>
    <x v="250"/>
    <s v="BAGS"/>
    <s v="HYPOALLERGENIC"/>
    <s v="25"/>
    <n v="2.0510000000000002"/>
    <n v="2.5941999999999998"/>
    <n v="0.76219999999999999"/>
    <n v="8.6088000000000005"/>
    <n v="11.446400000000001"/>
    <n v="3.6349999999999998"/>
    <n v="5.4074"/>
    <n v="0.26484641638225237"/>
    <n v="0.32961620667224234"/>
    <n v="-6.476979028998997E-2"/>
    <m/>
  </r>
  <r>
    <x v="54"/>
    <s v="MUSTELA "/>
    <s v="LABORATORY EXPANSCIENCE"/>
    <x v="251"/>
    <s v="BAGS"/>
    <s v="HYPOALLERGENIC"/>
    <s v="50"/>
    <n v="10.297499999999999"/>
    <n v="4.8240999999999996"/>
    <n v="4.976"/>
    <n v="49.665700000000001"/>
    <n v="27.7622"/>
    <n v="22.308599999999998"/>
    <n v="20.0976"/>
    <n v="-0.53152706967710606"/>
    <n v="-0.44101865069857066"/>
    <n v="-9.0508418978535399E-2"/>
    <m/>
  </r>
  <r>
    <x v="54"/>
    <s v="MUSTELA "/>
    <s v="LABORATORY EXPANSCIENCE"/>
    <x v="252"/>
    <s v="BAGS"/>
    <s v="HYPOALLERGENIC"/>
    <s v="50"/>
    <n v="0.2089"/>
    <n v="0"/>
    <n v="0"/>
    <n v="1.25"/>
    <n v="0"/>
    <n v="0"/>
    <n v="0.2089"/>
    <n v="-1"/>
    <n v="-1"/>
    <n v="0"/>
    <m/>
  </r>
  <r>
    <x v="54"/>
    <s v="MUSTELA "/>
    <s v="LABORATORY EXPANSCIENCE"/>
    <x v="253"/>
    <s v="BAGS"/>
    <s v="WITHOUT EXTRA PROTECTCARE INDICATION"/>
    <s v="60"/>
    <n v="0"/>
    <n v="0"/>
    <n v="0.18790000000000001"/>
    <n v="0"/>
    <n v="0"/>
    <n v="1.0885"/>
    <n v="0.18790000000000001"/>
    <n v="0"/>
    <n v="0"/>
    <n v="0"/>
    <m/>
  </r>
  <r>
    <x v="54"/>
    <s v="MUSTELA "/>
    <s v="LABORATORY EXPANSCIENCE"/>
    <x v="254"/>
    <s v="BAGS"/>
    <s v="WITHOUT EXTRA PROTECTCARE INDICATION"/>
    <s v="70"/>
    <n v="1.4366000000000001"/>
    <n v="2.8525"/>
    <n v="1.1071"/>
    <n v="10.09"/>
    <n v="20.329999999999998"/>
    <n v="7.64"/>
    <n v="5.3962000000000003"/>
    <n v="0.98559097869970758"/>
    <n v="1.0148662041625369"/>
    <n v="-2.9275225462829346E-2"/>
    <m/>
  </r>
  <r>
    <x v="54"/>
    <s v="MUSTELA "/>
    <s v="LABORATORY EXPANSCIENCE"/>
    <x v="255"/>
    <s v="BAGS"/>
    <s v="HYPOALLERGENIC"/>
    <s v="70"/>
    <n v="6.5038999999999998"/>
    <n v="6.5046999999999997"/>
    <n v="1.2238"/>
    <n v="46.08"/>
    <n v="47.101700000000001"/>
    <n v="9.65"/>
    <n v="14.2324"/>
    <n v="1.2300312120418701E-4"/>
    <n v="2.2172309027777837E-2"/>
    <n v="-2.2049305906573651E-2"/>
    <m/>
  </r>
  <r>
    <x v="54"/>
    <s v="MUSTELA "/>
    <s v="LABORATORY EXPANSCIENCE"/>
    <x v="256"/>
    <s v="BAGS"/>
    <s v="ALCOHOL FREE"/>
    <s v="70"/>
    <n v="0"/>
    <n v="6.5199999999999994E-2"/>
    <n v="0"/>
    <n v="0"/>
    <n v="0.35370000000000001"/>
    <n v="0"/>
    <n v="6.5199999999999994E-2"/>
    <n v="0"/>
    <n v="0"/>
    <n v="0"/>
    <m/>
  </r>
  <r>
    <x v="55"/>
    <s v="LANSINOH "/>
    <s v="LANSINOH LABORATORIE INC"/>
    <x v="257"/>
    <s v="BAGS"/>
    <s v="ALCOHOL FREE"/>
    <s v="80"/>
    <n v="7.0000000000000001E-3"/>
    <n v="0"/>
    <n v="0"/>
    <n v="0.08"/>
    <n v="0"/>
    <n v="0"/>
    <n v="7.0000000000000001E-3"/>
    <n v="-1"/>
    <n v="-1"/>
    <n v="0"/>
    <m/>
  </r>
  <r>
    <x v="56"/>
    <s v="BABY 2258"/>
    <s v="LARA KOZMETIK"/>
    <x v="258"/>
    <s v="BAGS"/>
    <s v="ALCOHOL FREE"/>
    <s v="100"/>
    <n v="0"/>
    <n v="0"/>
    <n v="0.80289999999999995"/>
    <n v="0"/>
    <n v="0"/>
    <n v="36.833599999999997"/>
    <n v="0.80289999999999995"/>
    <n v="0"/>
    <n v="0"/>
    <n v="0"/>
    <m/>
  </r>
  <r>
    <x v="56"/>
    <s v="LARA "/>
    <s v="LARA KOZMETIK"/>
    <x v="259"/>
    <s v="BAGS"/>
    <s v="PH BALANCED"/>
    <s v="100"/>
    <n v="9.9892000000000003"/>
    <n v="8.1153999999999993"/>
    <n v="3.5836999999999999"/>
    <n v="492.51530000000002"/>
    <n v="366.96510000000001"/>
    <n v="145.6557"/>
    <n v="21.688299999999998"/>
    <n v="-0.18758258919633214"/>
    <n v="-0.25491634473081348"/>
    <n v="6.7333755534481343E-2"/>
    <m/>
  </r>
  <r>
    <x v="56"/>
    <s v="LARA "/>
    <s v="LARA KOZMETIK"/>
    <x v="260"/>
    <s v="BAGS"/>
    <s v="ALCOHOL FREE"/>
    <s v="100"/>
    <n v="2.3199999999999998E-2"/>
    <n v="2.375"/>
    <n v="2.0299"/>
    <n v="1.054"/>
    <n v="113.97580000000001"/>
    <n v="89.836200000000005"/>
    <n v="4.4281000000000006"/>
    <n v="101.37068965517241"/>
    <n v="107.13643263757116"/>
    <n v="-5.7657429823987485"/>
    <m/>
  </r>
  <r>
    <x v="56"/>
    <s v="LARA "/>
    <s v="LARA KOZMETIK"/>
    <x v="261"/>
    <s v="BAGS"/>
    <s v="PH BALANCED"/>
    <s v="100"/>
    <n v="12.8912"/>
    <n v="14.945399999999999"/>
    <n v="2.4279000000000002"/>
    <n v="607.44449999999995"/>
    <n v="678.69550000000004"/>
    <n v="103.8368"/>
    <n v="30.264499999999998"/>
    <n v="0.15934901328037729"/>
    <n v="0.11729631266724795"/>
    <n v="4.2052700613129337E-2"/>
    <m/>
  </r>
  <r>
    <x v="56"/>
    <s v="LARA "/>
    <s v="LARA KOZMETIK"/>
    <x v="262"/>
    <s v="BAGS"/>
    <s v="WITHOUT EXTRA PROTECTCARE INDICATION"/>
    <s v="100"/>
    <n v="0"/>
    <n v="0.01"/>
    <n v="1.5183"/>
    <n v="0"/>
    <n v="0.48130000000000001"/>
    <n v="68.4452"/>
    <n v="1.5283"/>
    <n v="0"/>
    <n v="0"/>
    <n v="0"/>
    <m/>
  </r>
  <r>
    <x v="56"/>
    <s v="LARA "/>
    <s v="LARA KOZMETIK"/>
    <x v="263"/>
    <s v="BAGS"/>
    <s v="ALCOHOL FREE"/>
    <s v="100"/>
    <n v="32.355400000000003"/>
    <n v="38.555399999999999"/>
    <n v="28.667999999999999"/>
    <n v="1339.7692"/>
    <n v="1517.8848"/>
    <n v="1147.3356000000001"/>
    <n v="99.578800000000001"/>
    <n v="0.19162180037953463"/>
    <n v="0.13294498783820385"/>
    <n v="5.8676812541330781E-2"/>
    <m/>
  </r>
  <r>
    <x v="56"/>
    <s v="LARA "/>
    <s v="LARA KOZMETIK"/>
    <x v="264"/>
    <s v="BAGS"/>
    <s v="PH BALANCED"/>
    <s v="120"/>
    <n v="39.0503"/>
    <n v="53.6008"/>
    <n v="45.671900000000001"/>
    <n v="2028.7261000000001"/>
    <n v="2727.4971999999998"/>
    <n v="2409.5587999999998"/>
    <n v="138.32300000000001"/>
    <n v="0.3726091732970041"/>
    <n v="0.34443836454807758"/>
    <n v="2.8170808748926524E-2"/>
    <m/>
  </r>
  <r>
    <x v="56"/>
    <s v="LARA "/>
    <s v="LARA KOZMETIK"/>
    <x v="265"/>
    <s v="BAGS"/>
    <s v="ALCOHOL FREE"/>
    <s v="120"/>
    <n v="18.061"/>
    <n v="20.3689"/>
    <n v="25.3782"/>
    <n v="997.27200000000005"/>
    <n v="1129.9784999999999"/>
    <n v="1401.0871999999999"/>
    <n v="63.808100000000003"/>
    <n v="0.1277836221693151"/>
    <n v="0.13306951363319122"/>
    <n v="-5.285891463876119E-3"/>
    <m/>
  </r>
  <r>
    <x v="56"/>
    <s v="LARA "/>
    <s v="LARA KOZMETIK"/>
    <x v="266"/>
    <s v="BAGS"/>
    <s v="PH BALANCED"/>
    <s v="120"/>
    <n v="60.256900000000002"/>
    <n v="59.171300000000002"/>
    <n v="46.391500000000001"/>
    <n v="3003.9076"/>
    <n v="2862.6754999999998"/>
    <n v="2309.9086000000002"/>
    <n v="165.81970000000001"/>
    <n v="-1.8016193996040278E-2"/>
    <n v="-4.701612659457307E-2"/>
    <n v="2.8999932598532792E-2"/>
    <m/>
  </r>
  <r>
    <x v="56"/>
    <s v="LARA "/>
    <s v="LARA KOZMETIK"/>
    <x v="267"/>
    <s v="BAGS"/>
    <s v="PH BALANCED"/>
    <s v="120"/>
    <n v="20.0168"/>
    <n v="19.4117"/>
    <n v="16.676400000000001"/>
    <n v="1086.6414"/>
    <n v="1089.1328000000001"/>
    <n v="913.75469999999996"/>
    <n v="56.104900000000001"/>
    <n v="-3.0229607130010799E-2"/>
    <n v="2.2927526965198569E-3"/>
    <n v="-3.2522359826530657E-2"/>
    <m/>
  </r>
  <r>
    <x v="56"/>
    <s v="LARA "/>
    <s v="LARA KOZMETIK"/>
    <x v="268"/>
    <s v="BAGS"/>
    <s v="PH BALANCED"/>
    <s v="120"/>
    <n v="15.4658"/>
    <n v="23.898299999999999"/>
    <n v="20.8841"/>
    <n v="835.59469999999999"/>
    <n v="1304.8905999999999"/>
    <n v="1122.8086000000001"/>
    <n v="60.248199999999997"/>
    <n v="0.54523529335695531"/>
    <n v="0.56163101561079787"/>
    <n v="-1.639572225384256E-2"/>
    <m/>
  </r>
  <r>
    <x v="56"/>
    <s v="LARA "/>
    <s v="LARA KOZMETIK"/>
    <x v="269"/>
    <s v="BAGS"/>
    <s v="WITHOUT EXTRA PROTECTCARE INDICATION"/>
    <s v="120"/>
    <n v="17.192699999999999"/>
    <n v="14.837400000000001"/>
    <n v="10.0755"/>
    <n v="845.18690000000004"/>
    <n v="818.97209999999995"/>
    <n v="554.23329999999999"/>
    <n v="42.105599999999995"/>
    <n v="-0.13699418939433586"/>
    <n v="-3.1016571600908722E-2"/>
    <n v="-0.10597761779342714"/>
    <m/>
  </r>
  <r>
    <x v="56"/>
    <s v="LARA "/>
    <s v="LARA KOZMETIK"/>
    <x v="270"/>
    <s v="BAGS"/>
    <s v="ALCOHOL FREE"/>
    <s v="120"/>
    <n v="12.4558"/>
    <n v="19.5045"/>
    <n v="19.680399999999999"/>
    <n v="695.70420000000001"/>
    <n v="1080.8305"/>
    <n v="1068.2409"/>
    <n v="51.640699999999995"/>
    <n v="0.56589701183384444"/>
    <n v="0.55357765556108474"/>
    <n v="1.2319356272759707E-2"/>
    <m/>
  </r>
  <r>
    <x v="56"/>
    <s v="LARA "/>
    <s v="LARA KOZMETIK"/>
    <x v="271"/>
    <s v="BAGS"/>
    <s v="ALCOHOL FREE"/>
    <s v="120"/>
    <n v="29.7578"/>
    <n v="42.059199999999997"/>
    <n v="37.9373"/>
    <n v="1513.1635000000001"/>
    <n v="2139.8314999999998"/>
    <n v="1997.7666999999999"/>
    <n v="109.7543"/>
    <n v="0.41338405392871774"/>
    <n v="0.41414427456120878"/>
    <n v="-7.6022063249103766E-4"/>
    <m/>
  </r>
  <r>
    <x v="56"/>
    <s v="LARA "/>
    <s v="LARA KOZMETIK"/>
    <x v="272"/>
    <s v="BAGS"/>
    <s v="PH BALANCED"/>
    <s v="20"/>
    <n v="12.4033"/>
    <n v="7.0781999999999998"/>
    <n v="1.7199"/>
    <n v="294.48759999999999"/>
    <n v="150.97989999999999"/>
    <n v="36.068199999999997"/>
    <n v="21.2014"/>
    <n v="-0.42932929139825693"/>
    <n v="-0.48731321794194393"/>
    <n v="5.7983926543687003E-2"/>
    <m/>
  </r>
  <r>
    <x v="56"/>
    <s v="LARA "/>
    <s v="LARA KOZMETIK"/>
    <x v="273"/>
    <s v="BAGS"/>
    <s v="ALCOHOL FREE"/>
    <s v="40"/>
    <n v="1.6268"/>
    <n v="0"/>
    <n v="0"/>
    <n v="65.1297"/>
    <n v="0"/>
    <n v="0"/>
    <n v="1.6268"/>
    <n v="-1"/>
    <n v="-1"/>
    <n v="0"/>
    <m/>
  </r>
  <r>
    <x v="56"/>
    <s v="LARA "/>
    <s v="LARA KOZMETIK"/>
    <x v="274"/>
    <s v="BAGS"/>
    <s v="ALCOHOL FREE"/>
    <s v="40"/>
    <n v="2.5358999999999998"/>
    <n v="0"/>
    <n v="0"/>
    <n v="101.7274"/>
    <n v="0"/>
    <n v="0"/>
    <n v="2.5358999999999998"/>
    <n v="-1"/>
    <n v="-1"/>
    <n v="0"/>
    <m/>
  </r>
  <r>
    <x v="56"/>
    <s v="LARA "/>
    <s v="LARA KOZMETIK"/>
    <x v="275"/>
    <s v="BAGS"/>
    <s v="WITHOUT EXTRA PROTECTCARE INDICATION"/>
    <s v="60"/>
    <n v="0"/>
    <n v="0"/>
    <n v="3.6318999999999999"/>
    <n v="0"/>
    <n v="0"/>
    <n v="71.160700000000006"/>
    <n v="3.6318999999999999"/>
    <n v="0"/>
    <n v="0"/>
    <n v="0"/>
    <m/>
  </r>
  <r>
    <x v="56"/>
    <s v="LARA "/>
    <s v="LARA KOZMETIK"/>
    <x v="276"/>
    <s v="BAGS"/>
    <s v="WITHOUT EXTRA PROTECTCARE INDICATION"/>
    <s v="72"/>
    <n v="17.9986"/>
    <n v="13.0489"/>
    <n v="10.643000000000001"/>
    <n v="650.62580000000003"/>
    <n v="424.79559999999998"/>
    <n v="323.3997"/>
    <n v="41.6905"/>
    <n v="-0.27500472258953473"/>
    <n v="-0.34709690270505728"/>
    <n v="7.2092180115522542E-2"/>
    <m/>
  </r>
  <r>
    <x v="56"/>
    <s v="LARA "/>
    <s v="LARA KOZMETIK"/>
    <x v="277"/>
    <s v="BAGS"/>
    <s v="SENSITIVE"/>
    <s v="72"/>
    <n v="18.099399999999999"/>
    <n v="12.3561"/>
    <n v="12.3432"/>
    <n v="1018.4675999999999"/>
    <n v="683.55870000000004"/>
    <n v="606.59050000000002"/>
    <n v="42.798699999999997"/>
    <n v="-0.31731991115727592"/>
    <n v="-0.32883608668552627"/>
    <n v="1.151617552825035E-2"/>
    <m/>
  </r>
  <r>
    <x v="56"/>
    <s v="LARA "/>
    <s v="LARA KOZMETIK"/>
    <x v="278"/>
    <s v="BAGS"/>
    <s v="WITHOUT EXTRA PROTECTCARE INDICATION"/>
    <s v="72"/>
    <n v="13.9643"/>
    <n v="11.9328"/>
    <n v="7.4202000000000004"/>
    <n v="510.25119999999998"/>
    <n v="382.31479999999999"/>
    <n v="215.15559999999999"/>
    <n v="33.317300000000003"/>
    <n v="-0.1454781120428521"/>
    <n v="-0.25073218838093864"/>
    <n v="0.10525407633808653"/>
    <m/>
  </r>
  <r>
    <x v="56"/>
    <s v="LARA "/>
    <s v="LARA KOZMETIK"/>
    <x v="279"/>
    <s v="BAGS"/>
    <s v="PH BALANCED"/>
    <s v="72"/>
    <n v="0"/>
    <n v="0.56559999999999999"/>
    <n v="0.19719999999999999"/>
    <n v="0"/>
    <n v="6.4855"/>
    <n v="8.6998999999999995"/>
    <n v="0.76279999999999992"/>
    <n v="0"/>
    <n v="0"/>
    <n v="0"/>
    <m/>
  </r>
  <r>
    <x v="56"/>
    <s v="LARA "/>
    <s v="LARA KOZMETIK"/>
    <x v="280"/>
    <s v="BAGS"/>
    <s v="PH BALANCED"/>
    <s v="72"/>
    <n v="11.936500000000001"/>
    <n v="11.3424"/>
    <n v="2.8279999999999998"/>
    <n v="494.98500000000001"/>
    <n v="456.52679999999998"/>
    <n v="127.90179999999999"/>
    <n v="26.1069"/>
    <n v="-4.9771708624806343E-2"/>
    <n v="-7.769568774811364E-2"/>
    <n v="2.7923979123307296E-2"/>
    <m/>
  </r>
  <r>
    <x v="56"/>
    <s v="LARA "/>
    <s v="LARA KOZMETIK"/>
    <x v="281"/>
    <s v="BAGS"/>
    <s v="ALCOHOL FREE"/>
    <s v="72"/>
    <n v="16.799600000000002"/>
    <n v="11.79"/>
    <n v="3.1292"/>
    <n v="633.09360000000004"/>
    <n v="491.60489999999999"/>
    <n v="123.1259"/>
    <n v="31.718800000000002"/>
    <n v="-0.29819757613276521"/>
    <n v="-0.2234878065423502"/>
    <n v="-7.4709769590415004E-2"/>
    <m/>
  </r>
  <r>
    <x v="56"/>
    <s v="LARA "/>
    <s v="LARA KOZMETIK"/>
    <x v="282"/>
    <s v="BAGS"/>
    <s v="PH BALANCED"/>
    <s v="72"/>
    <n v="15.0557"/>
    <n v="9.7439"/>
    <n v="7.3936000000000002"/>
    <n v="945.80409999999995"/>
    <n v="583.28309999999999"/>
    <n v="424.78879999999998"/>
    <n v="32.193199999999997"/>
    <n v="-0.35280989924081907"/>
    <n v="-0.38329396119132914"/>
    <n v="3.0484061950510066E-2"/>
    <m/>
  </r>
  <r>
    <x v="56"/>
    <s v="LARA "/>
    <s v="LARA KOZMETIK"/>
    <x v="283"/>
    <s v="BAGS"/>
    <s v="PH BALANCED"/>
    <s v="72"/>
    <n v="2.5228000000000002"/>
    <n v="0"/>
    <n v="0"/>
    <n v="102.04300000000001"/>
    <n v="0"/>
    <n v="0"/>
    <n v="2.5228000000000002"/>
    <n v="-1"/>
    <n v="-1"/>
    <n v="0"/>
    <m/>
  </r>
  <r>
    <x v="56"/>
    <s v="LARA "/>
    <s v="LARA KOZMETIK"/>
    <x v="284"/>
    <s v="BAGS"/>
    <s v="ALCOHOL FREE"/>
    <s v="80"/>
    <n v="5.8501000000000003"/>
    <n v="3.1604999999999999"/>
    <n v="1.1102000000000001"/>
    <n v="279.7971"/>
    <n v="133.69110000000001"/>
    <n v="49.716799999999999"/>
    <n v="10.120800000000001"/>
    <n v="-0.45975282473803869"/>
    <n v="-0.52218554087944435"/>
    <n v="6.2432716141405664E-2"/>
    <m/>
  </r>
  <r>
    <x v="56"/>
    <s v="LARA "/>
    <s v="LARA KOZMETIK"/>
    <x v="285"/>
    <s v="BAGS"/>
    <s v="WITHOUT EXTRA PROTECTCARE INDICATION"/>
    <s v="80"/>
    <n v="3.5649999999999999"/>
    <n v="3.9624000000000001"/>
    <n v="3.0468999999999999"/>
    <n v="186.07509999999999"/>
    <n v="188.92570000000001"/>
    <n v="146.31370000000001"/>
    <n v="10.574300000000001"/>
    <n v="0.11147265077138856"/>
    <n v="1.5319620948746041E-2"/>
    <n v="9.6153029822642511E-2"/>
    <m/>
  </r>
  <r>
    <x v="56"/>
    <s v="LARA "/>
    <s v="LARA KOZMETIK"/>
    <x v="286"/>
    <s v="BAGS"/>
    <s v="ALCOHOL FREE"/>
    <s v="80"/>
    <n v="4.5880999999999998"/>
    <n v="5.0932000000000004"/>
    <n v="5.0259"/>
    <n v="237.0685"/>
    <n v="259.80410000000001"/>
    <n v="248.8639"/>
    <n v="14.7072"/>
    <n v="0.11008914365423608"/>
    <n v="9.5903082864235462E-2"/>
    <n v="1.4186060790000621E-2"/>
    <m/>
  </r>
  <r>
    <x v="56"/>
    <s v="LARA "/>
    <s v="LARA KOZMETIK"/>
    <x v="287"/>
    <s v="BAGS"/>
    <s v="WITHOUT EXTRA PROTECTCARE INDICATION"/>
    <s v="96"/>
    <n v="0"/>
    <n v="7.0000000000000001E-3"/>
    <n v="0"/>
    <n v="0"/>
    <n v="0.32779999999999998"/>
    <n v="0"/>
    <n v="7.0000000000000001E-3"/>
    <n v="0"/>
    <n v="0"/>
    <n v="0"/>
    <m/>
  </r>
  <r>
    <x v="56"/>
    <s v="PUFY "/>
    <s v="LARA COSMETIC"/>
    <x v="288"/>
    <s v="BAGS"/>
    <s v="PH BALANCED"/>
    <s v="120"/>
    <n v="3.0200000000000001E-2"/>
    <n v="2.0104000000000002"/>
    <n v="1.0045999999999999"/>
    <n v="1.4571000000000001"/>
    <n v="118.0438"/>
    <n v="56.873399999999997"/>
    <n v="3.0451999999999999"/>
    <n v="65.569536423841058"/>
    <n v="80.01283371079542"/>
    <n v="-14.443297286954362"/>
    <m/>
  </r>
  <r>
    <x v="56"/>
    <s v="TOP BLITZ "/>
    <s v="LARA KOSMETICK"/>
    <x v="289"/>
    <s v="BAGS"/>
    <s v="WITHOUT EXTRA PROTECTCARE INDICATION"/>
    <s v="72"/>
    <n v="0.1913"/>
    <n v="0.55200000000000005"/>
    <n v="4.3700000000000003E-2"/>
    <n v="6.9211999999999998"/>
    <n v="19.9695"/>
    <n v="1.2094"/>
    <n v="0.78700000000000003"/>
    <n v="1.8855201254573968"/>
    <n v="1.8852655608853959"/>
    <n v="2.5456457200090377E-4"/>
    <m/>
  </r>
  <r>
    <x v="57"/>
    <s v="CONFY "/>
    <s v="LIDERSAN SAGLIK VE GIDA"/>
    <x v="290"/>
    <s v="BAGS"/>
    <s v="PH BALANCED"/>
    <s v="40"/>
    <n v="2.6700000000000002E-2"/>
    <n v="6.6E-3"/>
    <n v="0"/>
    <n v="1.3361000000000001"/>
    <n v="0.32919999999999999"/>
    <n v="0"/>
    <n v="3.3300000000000003E-2"/>
    <n v="-0.7528089887640449"/>
    <n v="-0.75361125664246698"/>
    <n v="8.0226787842208047E-4"/>
    <m/>
  </r>
  <r>
    <x v="57"/>
    <s v="CONFY "/>
    <s v="LIDERSAN SAGLIK VE GIDA"/>
    <x v="291"/>
    <s v="BAGS"/>
    <s v="SENSITIVE"/>
    <s v="90"/>
    <n v="6.93E-2"/>
    <n v="0.19889999999999999"/>
    <n v="0"/>
    <n v="3.0247000000000002"/>
    <n v="8.6912000000000003"/>
    <n v="0"/>
    <n v="0.26819999999999999"/>
    <n v="1.8701298701298701"/>
    <n v="1.8734089331173338"/>
    <n v="-3.2790629874637212E-3"/>
    <m/>
  </r>
  <r>
    <x v="57"/>
    <s v="CONFY "/>
    <s v="LIDERSAN SAGLIK VE GIDA"/>
    <x v="292"/>
    <s v="BAGS"/>
    <s v="SENSITIVE"/>
    <s v="90"/>
    <n v="7.6300000000000007E-2"/>
    <n v="0.42759999999999998"/>
    <n v="0.15670000000000001"/>
    <n v="3.4260000000000002"/>
    <n v="18.685099999999998"/>
    <n v="6.8449999999999998"/>
    <n v="0.66060000000000008"/>
    <n v="4.6041939711664472"/>
    <n v="4.45391126678342"/>
    <n v="0.15028270438302727"/>
    <m/>
  </r>
  <r>
    <x v="58"/>
    <s v="MIMOSA "/>
    <s v="MAPA INTERNATIONAL"/>
    <x v="293"/>
    <s v="BAGS"/>
    <s v="WITHOUT EXTRA PROTECTCARE INDICATION"/>
    <s v="64"/>
    <n v="13.539"/>
    <n v="14.939299999999999"/>
    <n v="5.9192"/>
    <n v="399.25150000000002"/>
    <n v="471.38619999999997"/>
    <n v="172.6644"/>
    <n v="34.397499999999994"/>
    <n v="0.10342713642071051"/>
    <n v="0.18067483779021482"/>
    <n v="-7.7247701369504304E-2"/>
    <m/>
  </r>
  <r>
    <x v="58"/>
    <s v="MIMOSA "/>
    <s v="MAPA INTERNATIONAL"/>
    <x v="294"/>
    <s v="BAGS"/>
    <s v="WITHOUT EXTRA PROTECTCARE INDICATION"/>
    <s v="64"/>
    <n v="9.7232000000000003"/>
    <n v="14.417199999999999"/>
    <n v="5.9874999999999998"/>
    <n v="300.88780000000003"/>
    <n v="488.67129999999997"/>
    <n v="199.4579"/>
    <n v="30.1279"/>
    <n v="0.48276287641928572"/>
    <n v="0.62409808573162462"/>
    <n v="-0.14133520931233889"/>
    <m/>
  </r>
  <r>
    <x v="58"/>
    <s v="MIMOSA "/>
    <s v="MAPA INTERNATIONAL"/>
    <x v="295"/>
    <s v="BAGS"/>
    <s v="PH BALANCED"/>
    <s v="72"/>
    <n v="0.4834"/>
    <n v="0"/>
    <n v="0"/>
    <n v="12.901899999999999"/>
    <n v="0"/>
    <n v="0"/>
    <n v="0.4834"/>
    <n v="-1"/>
    <n v="-1"/>
    <n v="0"/>
    <m/>
  </r>
  <r>
    <x v="59"/>
    <s v="SENCE "/>
    <s v="MAXBRANDS MARKETING B.V."/>
    <x v="296"/>
    <s v="BAGS"/>
    <s v="SENSITIVE"/>
    <s v="60"/>
    <n v="0.13550000000000001"/>
    <n v="0"/>
    <n v="0"/>
    <n v="3.2519"/>
    <n v="0"/>
    <n v="0"/>
    <n v="0.13550000000000001"/>
    <n v="-1"/>
    <n v="-1"/>
    <n v="0"/>
    <m/>
  </r>
  <r>
    <x v="60"/>
    <s v="BABY CARE "/>
    <s v="MEGA"/>
    <x v="297"/>
    <s v="BAGS"/>
    <s v="ALCOHOL FREE &amp; HYPOALLERGENIC"/>
    <s v="12"/>
    <n v="0"/>
    <n v="2.3E-3"/>
    <n v="0"/>
    <n v="0"/>
    <n v="4.8000000000000001E-2"/>
    <n v="0"/>
    <n v="2.3E-3"/>
    <n v="0"/>
    <n v="0"/>
    <n v="0"/>
    <m/>
  </r>
  <r>
    <x v="60"/>
    <s v="BABY CARE "/>
    <s v="MEGA"/>
    <x v="298"/>
    <s v="BAGS"/>
    <s v="ALCOHOL FREE &amp; HYPOALLERGENIC"/>
    <s v="12"/>
    <n v="3.7978999999999998"/>
    <n v="0.23119999999999999"/>
    <n v="5.57E-2"/>
    <n v="45.909399999999998"/>
    <n v="3.0430999999999999"/>
    <n v="0.74270000000000003"/>
    <n v="4.0847999999999995"/>
    <n v="-0.93912425287658974"/>
    <n v="-0.9337150997399225"/>
    <n v="-5.409153136667233E-3"/>
    <m/>
  </r>
  <r>
    <x v="60"/>
    <s v="BABY CARE "/>
    <s v="MEGA"/>
    <x v="299"/>
    <s v="BAGS"/>
    <s v="ALCOHOL FREE &amp; HYPOALLERGENIC"/>
    <s v="12"/>
    <n v="10.1713"/>
    <n v="1.4034"/>
    <n v="0.79169999999999996"/>
    <n v="191.46350000000001"/>
    <n v="25.065200000000001"/>
    <n v="12.493499999999999"/>
    <n v="12.366400000000001"/>
    <n v="-0.86202353681436994"/>
    <n v="-0.86908627492968638"/>
    <n v="7.0627381153164359E-3"/>
    <m/>
  </r>
  <r>
    <x v="60"/>
    <s v="BABY CARE "/>
    <s v="MEGA"/>
    <x v="300"/>
    <s v="BAGS"/>
    <s v="ALCOHOL FREE &amp; HYPOALLERGENIC"/>
    <s v="20"/>
    <n v="8.9099999999999999E-2"/>
    <n v="0"/>
    <n v="0"/>
    <n v="1.4943"/>
    <n v="0"/>
    <n v="0"/>
    <n v="8.9099999999999999E-2"/>
    <n v="-1"/>
    <n v="-1"/>
    <n v="0"/>
    <m/>
  </r>
  <r>
    <x v="60"/>
    <s v="BABY CARE "/>
    <s v="MEGA"/>
    <x v="301"/>
    <s v="BAGS"/>
    <s v="WITHOUT EXTRA PROTECTCARE INDICATION"/>
    <s v="63"/>
    <n v="16.7622"/>
    <n v="54.880099999999999"/>
    <n v="30.8141"/>
    <n v="558.82709999999997"/>
    <n v="1712.2448999999999"/>
    <n v="842.72770000000003"/>
    <n v="102.4564"/>
    <n v="2.274039207263963"/>
    <n v="2.0639976121415731"/>
    <n v="0.21004159512238996"/>
    <m/>
  </r>
  <r>
    <x v="60"/>
    <s v="BABY CARE "/>
    <s v="MEGA"/>
    <x v="302"/>
    <s v="BAGS"/>
    <s v="WITHOUT EXTRA PROTECTCARE INDICATION"/>
    <s v="63"/>
    <n v="61.024299999999997"/>
    <n v="69.369399999999999"/>
    <n v="37.2607"/>
    <n v="1986.0632000000001"/>
    <n v="2074.7809000000002"/>
    <n v="1026.0545999999999"/>
    <n v="167.65440000000001"/>
    <n v="0.13675044203702463"/>
    <n v="4.4670129329217795E-2"/>
    <n v="9.2080312707806838E-2"/>
    <m/>
  </r>
  <r>
    <x v="60"/>
    <s v="BABY CARE "/>
    <s v="MEGA"/>
    <x v="303"/>
    <s v="BAGS"/>
    <s v="SENSITIVE"/>
    <s v="63"/>
    <n v="99.720299999999995"/>
    <n v="82.962900000000005"/>
    <n v="1.6460999999999999"/>
    <n v="3124.0421999999999"/>
    <n v="2460.6639"/>
    <n v="45.897799999999997"/>
    <n v="184.32929999999999"/>
    <n v="-0.1680440191214827"/>
    <n v="-0.21234613924229317"/>
    <n v="4.4302120120810473E-2"/>
    <m/>
  </r>
  <r>
    <x v="60"/>
    <s v="BABY CARE "/>
    <s v="MEGA"/>
    <x v="304"/>
    <s v="BAGS"/>
    <s v="WITHOUT EXTRA PROTECTCARE INDICATION"/>
    <s v="72"/>
    <n v="86.361699999999999"/>
    <n v="101.56570000000001"/>
    <n v="54.776899999999998"/>
    <n v="3022.1621"/>
    <n v="3499.3182999999999"/>
    <n v="1704.9738"/>
    <n v="242.70429999999999"/>
    <n v="0.17605026302168678"/>
    <n v="0.15788570705720911"/>
    <n v="1.8164555964477663E-2"/>
    <m/>
  </r>
  <r>
    <x v="60"/>
    <s v="BABYLINO "/>
    <s v="MEGA"/>
    <x v="305"/>
    <s v="BAGS"/>
    <s v="SENSITIVE"/>
    <s v="10"/>
    <n v="0"/>
    <n v="0"/>
    <n v="0"/>
    <n v="0.2349"/>
    <n v="0"/>
    <n v="0"/>
    <n v="0"/>
    <n v="0"/>
    <n v="-1"/>
    <n v="1"/>
    <m/>
  </r>
  <r>
    <x v="60"/>
    <s v="BABYLINO "/>
    <s v="MEGA"/>
    <x v="306"/>
    <s v="BAGS"/>
    <s v="SENSITIVE"/>
    <s v="54"/>
    <n v="0"/>
    <n v="0"/>
    <n v="0"/>
    <n v="0"/>
    <n v="0"/>
    <n v="0"/>
    <n v="0"/>
    <n v="0"/>
    <n v="0"/>
    <n v="0"/>
    <m/>
  </r>
  <r>
    <x v="60"/>
    <s v="BABYLINO "/>
    <s v="MEGA"/>
    <x v="307"/>
    <s v="BAGS"/>
    <s v="SENSITIVE"/>
    <s v="54"/>
    <n v="23.7104"/>
    <n v="2.5188000000000001"/>
    <n v="0.15770000000000001"/>
    <n v="549.04570000000001"/>
    <n v="49.080599999999997"/>
    <n v="2.9064000000000001"/>
    <n v="26.386899999999997"/>
    <n v="-0.89376813550172085"/>
    <n v="-0.91060744123849802"/>
    <n v="1.6839305736777166E-2"/>
    <m/>
  </r>
  <r>
    <x v="60"/>
    <s v="BABYLINO "/>
    <s v="MEGA S.A."/>
    <x v="308"/>
    <s v="BAGS"/>
    <s v="SENSITIVE"/>
    <s v="54"/>
    <n v="34.488300000000002"/>
    <n v="5.6889000000000003"/>
    <n v="0.2626"/>
    <n v="739.96220000000005"/>
    <n v="104.66840000000001"/>
    <n v="4.7222"/>
    <n v="40.439799999999998"/>
    <n v="-0.83504840772087929"/>
    <n v="-0.85854899074574353"/>
    <n v="2.3500583024864241E-2"/>
    <m/>
  </r>
  <r>
    <x v="60"/>
    <s v="BABYLINO "/>
    <s v="MEGA S.A."/>
    <x v="309"/>
    <s v="BAGS"/>
    <s v="SENSITIVE"/>
    <s v="54"/>
    <n v="0.31869999999999998"/>
    <n v="0"/>
    <n v="0"/>
    <n v="6.5327000000000002"/>
    <n v="0"/>
    <n v="0"/>
    <n v="0.31869999999999998"/>
    <n v="-1"/>
    <n v="-1"/>
    <n v="0"/>
    <m/>
  </r>
  <r>
    <x v="60"/>
    <s v="BABYLINO "/>
    <s v="MEGA S.A."/>
    <x v="310"/>
    <s v="BAGS"/>
    <s v="SENSITIVE"/>
    <s v="54"/>
    <n v="7.1499999999999994E-2"/>
    <n v="0"/>
    <n v="0"/>
    <n v="1.2682"/>
    <n v="0"/>
    <n v="0"/>
    <n v="7.1499999999999994E-2"/>
    <n v="-1"/>
    <n v="-1"/>
    <n v="0"/>
    <m/>
  </r>
  <r>
    <x v="61"/>
    <s v="HUGGLO "/>
    <s v="MIS SAGLIK SAN."/>
    <x v="311"/>
    <s v="BAGS"/>
    <s v="ALCOHOL FREE"/>
    <s v="100"/>
    <n v="0"/>
    <n v="0"/>
    <n v="0"/>
    <n v="0"/>
    <n v="0"/>
    <n v="0"/>
    <n v="0"/>
    <n v="0"/>
    <n v="0"/>
    <n v="0"/>
    <m/>
  </r>
  <r>
    <x v="62"/>
    <s v="L'UNICO "/>
    <s v="MONTRASIO"/>
    <x v="312"/>
    <s v="BAGS"/>
    <s v="HYPOALLERGENIC"/>
    <s v="72"/>
    <n v="0"/>
    <n v="6.2138"/>
    <n v="8.77E-2"/>
    <n v="0"/>
    <n v="384.83499999999998"/>
    <n v="5.7408999999999999"/>
    <n v="6.3014999999999999"/>
    <n v="0"/>
    <n v="0"/>
    <n v="0"/>
    <m/>
  </r>
  <r>
    <x v="63"/>
    <s v="BIG SOFT "/>
    <s v="MORAMEX GROUP / TOBI MG LTD"/>
    <x v="313"/>
    <s v="BAGS"/>
    <s v="SENSITIVE"/>
    <s v="100"/>
    <n v="2.8529"/>
    <n v="0"/>
    <n v="0"/>
    <n v="195.97380000000001"/>
    <n v="0"/>
    <n v="0"/>
    <n v="2.8529"/>
    <n v="-1"/>
    <n v="-1"/>
    <n v="0"/>
    <m/>
  </r>
  <r>
    <x v="63"/>
    <s v="BIG SOFT "/>
    <s v="MORAMEX GROUP / TOBI MG LTD"/>
    <x v="314"/>
    <s v="BAGS"/>
    <s v="SENSITIVE"/>
    <s v="100"/>
    <n v="13.515499999999999"/>
    <n v="1.9742999999999999"/>
    <n v="2.98E-2"/>
    <n v="813.32730000000004"/>
    <n v="103.7679"/>
    <n v="1.4246000000000001"/>
    <n v="15.519599999999999"/>
    <n v="-0.853923273278828"/>
    <n v="-0.87241556996795766"/>
    <n v="1.8492296689129661E-2"/>
    <m/>
  </r>
  <r>
    <x v="63"/>
    <s v="BIG SOFT "/>
    <s v="MORAMEX GROUP / TOBI MG LTD"/>
    <x v="315"/>
    <s v="BAGS"/>
    <s v="SENSITIVE"/>
    <s v="120"/>
    <n v="0"/>
    <n v="47.540100000000002"/>
    <n v="13.0617"/>
    <n v="0"/>
    <n v="2356.4949999999999"/>
    <n v="720.12469999999996"/>
    <n v="60.601800000000004"/>
    <n v="0"/>
    <n v="0"/>
    <n v="0"/>
    <m/>
  </r>
  <r>
    <x v="63"/>
    <s v="BIG SOFT "/>
    <s v="MORAMEX GROUP / TOBI MG LTD"/>
    <x v="316"/>
    <s v="BAGS"/>
    <s v="SENSITIVE"/>
    <s v="70"/>
    <n v="4.0548000000000002"/>
    <n v="2.4268999999999998"/>
    <n v="0"/>
    <n v="220.69159999999999"/>
    <n v="134.58930000000001"/>
    <n v="0"/>
    <n v="6.4817"/>
    <n v="-0.40147479530433072"/>
    <n v="-0.39014760869919829"/>
    <n v="-1.1327186605132433E-2"/>
    <m/>
  </r>
  <r>
    <x v="63"/>
    <s v="HAPPY "/>
    <s v="MORAMEX GROUP / TOBI MG LTD"/>
    <x v="317"/>
    <s v="BAGS"/>
    <s v="PH BALANCED"/>
    <s v="70"/>
    <n v="42.300199999999997"/>
    <n v="20.829499999999999"/>
    <n v="4.8948"/>
    <n v="2912.5239999999999"/>
    <n v="1143.2672"/>
    <n v="245.0727"/>
    <n v="68.024500000000003"/>
    <n v="-0.5075791603822204"/>
    <n v="-0.60746514020141973"/>
    <n v="9.9885979819199333E-2"/>
    <m/>
  </r>
  <r>
    <x v="64"/>
    <s v="MORS "/>
    <s v="MORS COSMETICS"/>
    <x v="318"/>
    <s v="BAGS"/>
    <s v="PH BALANCED"/>
    <s v="120"/>
    <n v="12.6196"/>
    <n v="0.30170000000000002"/>
    <n v="0"/>
    <n v="774.8818"/>
    <n v="18.222799999999999"/>
    <n v="0"/>
    <n v="12.9213"/>
    <n v="-0.97609274461948081"/>
    <n v="-0.97648312297436846"/>
    <n v="3.9037835488764383E-4"/>
    <m/>
  </r>
  <r>
    <x v="64"/>
    <s v="WIPEST "/>
    <s v="MORS COSMETICS"/>
    <x v="319"/>
    <s v="BAGS"/>
    <s v="ALCOHOL FREE"/>
    <s v="120"/>
    <n v="0"/>
    <n v="39.128300000000003"/>
    <n v="18.019200000000001"/>
    <n v="0"/>
    <n v="2116.4569999999999"/>
    <n v="1056.0386000000001"/>
    <n v="57.147500000000008"/>
    <n v="0"/>
    <n v="0"/>
    <n v="0"/>
    <m/>
  </r>
  <r>
    <x v="64"/>
    <s v="WIPEST "/>
    <s v="MORS COSMETICS"/>
    <x v="320"/>
    <s v="BAGS"/>
    <s v="ALCOHOL FREE"/>
    <s v="72"/>
    <n v="14.5854"/>
    <n v="45.532299999999999"/>
    <n v="49.915700000000001"/>
    <n v="930.23509999999999"/>
    <n v="2490.5082000000002"/>
    <n v="2411.3348000000001"/>
    <n v="110.0334"/>
    <n v="2.1217724573888956"/>
    <n v="1.6772889993078097"/>
    <n v="0.44448345808108591"/>
    <m/>
  </r>
  <r>
    <x v="65"/>
    <s v="NATY "/>
    <s v="NATY AB"/>
    <x v="321"/>
    <s v="BAGS"/>
    <s v="SENSITIVE"/>
    <s v="56"/>
    <n v="0.1139"/>
    <n v="4.0300000000000002E-2"/>
    <n v="0"/>
    <n v="0.85599999999999998"/>
    <n v="0.30399999999999999"/>
    <n v="0"/>
    <n v="0.1542"/>
    <n v="-0.64618086040386302"/>
    <n v="-0.64485981308411222"/>
    <n v="-1.321047319750801E-3"/>
    <m/>
  </r>
  <r>
    <x v="65"/>
    <s v="NATY "/>
    <s v="NATY AB"/>
    <x v="322"/>
    <s v="BAGS"/>
    <s v="SENSITIVE"/>
    <s v="56"/>
    <n v="0.19919999999999999"/>
    <n v="0"/>
    <n v="0"/>
    <n v="1.496"/>
    <n v="0"/>
    <n v="0"/>
    <n v="0.19919999999999999"/>
    <n v="-1"/>
    <n v="-1"/>
    <n v="0"/>
    <m/>
  </r>
  <r>
    <x v="66"/>
    <s v="FRESH BABY "/>
    <s v="NAVIGA TURKEY"/>
    <x v="323"/>
    <s v="BAGS"/>
    <s v="ALCOHOL FREE"/>
    <s v="100"/>
    <n v="4.4461000000000004"/>
    <n v="2.0626000000000002"/>
    <n v="0"/>
    <n v="234.7319"/>
    <n v="137.5095"/>
    <n v="0"/>
    <n v="6.508700000000001"/>
    <n v="-0.53608780729178385"/>
    <n v="-0.41418486366786955"/>
    <n v="-0.12190294362391429"/>
    <m/>
  </r>
  <r>
    <x v="66"/>
    <s v="FRESH BABY "/>
    <s v="NAVIGA TURKEY"/>
    <x v="324"/>
    <s v="BAGS"/>
    <s v="PH BALANCED"/>
    <s v="15"/>
    <n v="0.15609999999999999"/>
    <n v="2.98E-2"/>
    <n v="0.25540000000000002"/>
    <n v="9.3703000000000003"/>
    <n v="1.4905999999999999"/>
    <n v="12.7729"/>
    <n v="0.44130000000000003"/>
    <n v="-0.809096732863549"/>
    <n v="-0.84092291602189906"/>
    <n v="3.1826183158350063E-2"/>
    <m/>
  </r>
  <r>
    <x v="66"/>
    <s v="FRESH BABY "/>
    <s v="NAVIGA TURKEY"/>
    <x v="325"/>
    <s v="BAGS"/>
    <s v="WITHOUT EXTRA PROTECTCARE INDICATION"/>
    <s v="60"/>
    <n v="1.8445"/>
    <n v="0"/>
    <n v="0"/>
    <n v="41.871899999999997"/>
    <n v="0"/>
    <n v="0"/>
    <n v="1.8445"/>
    <n v="-1"/>
    <n v="-1"/>
    <n v="0"/>
    <m/>
  </r>
  <r>
    <x v="66"/>
    <s v="FRESH BABY "/>
    <s v="NAVIGA TURKEY"/>
    <x v="326"/>
    <s v="BAGS"/>
    <s v="PH BALANCED"/>
    <s v="72"/>
    <n v="0.57199999999999995"/>
    <n v="0"/>
    <n v="0"/>
    <n v="34.318100000000001"/>
    <n v="0"/>
    <n v="0"/>
    <n v="0.57199999999999995"/>
    <n v="-1"/>
    <n v="-1"/>
    <n v="0"/>
    <m/>
  </r>
  <r>
    <x v="66"/>
    <s v="FRESH BABY "/>
    <s v="NAVIGA TURKEY"/>
    <x v="327"/>
    <s v="BAGS"/>
    <s v="PH BALANCED"/>
    <s v="72"/>
    <n v="10.123900000000001"/>
    <n v="4.3895"/>
    <n v="0"/>
    <n v="617.78060000000005"/>
    <n v="241.07740000000001"/>
    <n v="0"/>
    <n v="14.513400000000001"/>
    <n v="-0.56642203103547051"/>
    <n v="-0.60976858127302802"/>
    <n v="4.3346550237557513E-2"/>
    <m/>
  </r>
  <r>
    <x v="66"/>
    <s v="GOLDEN "/>
    <s v="NAVIGA TURKEY"/>
    <x v="328"/>
    <s v="BAGS"/>
    <s v="SENSITIVE"/>
    <s v="120"/>
    <n v="0"/>
    <n v="56.203800000000001"/>
    <n v="22.180299999999999"/>
    <n v="0"/>
    <n v="3259.8697999999999"/>
    <n v="1260.6195"/>
    <n v="78.384100000000004"/>
    <n v="0"/>
    <n v="0"/>
    <n v="0"/>
    <m/>
  </r>
  <r>
    <x v="66"/>
    <s v="GOLDEN "/>
    <s v="NAVIGA TURKEY"/>
    <x v="329"/>
    <s v="BAGS"/>
    <s v="SENSITIVE"/>
    <s v="72"/>
    <n v="0"/>
    <n v="15.356400000000001"/>
    <n v="10.720599999999999"/>
    <n v="0"/>
    <n v="847.21910000000003"/>
    <n v="534.71069999999997"/>
    <n v="26.076999999999998"/>
    <n v="0"/>
    <n v="0"/>
    <n v="0"/>
    <m/>
  </r>
  <r>
    <x v="66"/>
    <s v="MY FIX "/>
    <s v="NAVIGA TURKEY"/>
    <x v="330"/>
    <s v="BAGS"/>
    <s v="WITHOUT EXTRA PROTECTCARE INDICATION"/>
    <s v="80"/>
    <n v="1.0731999999999999"/>
    <n v="0"/>
    <n v="0"/>
    <n v="47.075600000000001"/>
    <n v="0"/>
    <n v="0"/>
    <n v="1.0731999999999999"/>
    <n v="-1"/>
    <n v="-1"/>
    <n v="0"/>
    <m/>
  </r>
  <r>
    <x v="66"/>
    <s v="PUFFY "/>
    <s v="NAVIGA TURKEY"/>
    <x v="331"/>
    <s v="BAGS"/>
    <s v="SENSITIVE"/>
    <s v="88"/>
    <n v="2.6486999999999998"/>
    <n v="0"/>
    <n v="0"/>
    <n v="124.62050000000001"/>
    <n v="0"/>
    <n v="0"/>
    <n v="2.6486999999999998"/>
    <n v="-1"/>
    <n v="-1"/>
    <n v="0"/>
    <m/>
  </r>
  <r>
    <x v="66"/>
    <s v="TITO "/>
    <s v="NAVIGA TURKEY"/>
    <x v="332"/>
    <s v="BAGS"/>
    <s v="PH BALANCED"/>
    <s v="120"/>
    <n v="84.095799999999997"/>
    <n v="151.49979999999999"/>
    <n v="39.488900000000001"/>
    <n v="4863.5491000000002"/>
    <n v="8687.4974999999995"/>
    <n v="2240.9688000000001"/>
    <n v="275.08449999999999"/>
    <n v="0.80151446326689324"/>
    <n v="0.78624648818699072"/>
    <n v="1.5267975079902518E-2"/>
    <m/>
  </r>
  <r>
    <x v="66"/>
    <s v="TITO "/>
    <s v="NAVIGA TURKEY"/>
    <x v="333"/>
    <s v="BAGS"/>
    <s v="PH BALANCED"/>
    <s v="72"/>
    <n v="24.440899999999999"/>
    <n v="13.931900000000001"/>
    <n v="5.4257"/>
    <n v="1419.3269"/>
    <n v="757.8877"/>
    <n v="289.12630000000001"/>
    <n v="43.798499999999997"/>
    <n v="-0.42997598288115407"/>
    <n v="-0.46602315506033176"/>
    <n v="3.6047172179177689E-2"/>
    <m/>
  </r>
  <r>
    <x v="66"/>
    <s v="TITO "/>
    <s v="NAVIGA TURKEY"/>
    <x v="334"/>
    <s v="BAGS"/>
    <s v="PH BALANCED"/>
    <s v="72"/>
    <n v="2.0893000000000002"/>
    <n v="2.5973000000000002"/>
    <n v="0.1109"/>
    <n v="135.5565"/>
    <n v="141.02850000000001"/>
    <n v="6.4691999999999998"/>
    <n v="4.7975000000000003"/>
    <n v="0.24314363662470684"/>
    <n v="4.0366931869737034E-2"/>
    <n v="0.20277670475496981"/>
    <m/>
  </r>
  <r>
    <x v="67"/>
    <s v="FRESH "/>
    <s v="NUR GIDA SAN"/>
    <x v="335"/>
    <s v="BAGS"/>
    <s v="PH BALANCED"/>
    <s v="120"/>
    <n v="6.1833"/>
    <n v="0.61119999999999997"/>
    <n v="0"/>
    <n v="392.1592"/>
    <n v="31.181999999999999"/>
    <n v="0"/>
    <n v="6.7945000000000002"/>
    <n v="-0.90115310594666276"/>
    <n v="-0.92048637390121146"/>
    <n v="1.9333267954548705E-2"/>
    <m/>
  </r>
  <r>
    <x v="67"/>
    <s v="FRESH SENSE "/>
    <s v="NUR GIDA SAN"/>
    <x v="336"/>
    <s v="BAGS"/>
    <s v="PH BALANCED"/>
    <s v="72"/>
    <n v="0"/>
    <n v="0"/>
    <n v="0"/>
    <n v="0"/>
    <n v="0"/>
    <n v="0"/>
    <n v="0"/>
    <n v="0"/>
    <n v="0"/>
    <n v="0"/>
    <m/>
  </r>
  <r>
    <x v="67"/>
    <s v="PUFY "/>
    <s v="NUR GIDA SANAYI"/>
    <x v="337"/>
    <s v="BAGS"/>
    <s v="PH BALANCED"/>
    <s v="120"/>
    <n v="2.5480999999999998"/>
    <n v="2.6009000000000002"/>
    <n v="0"/>
    <n v="132.16820000000001"/>
    <n v="141.76490000000001"/>
    <n v="0"/>
    <n v="5.149"/>
    <n v="2.0721321769161496E-2"/>
    <n v="7.2609750303022941E-2"/>
    <n v="-5.1888428533861441E-2"/>
    <m/>
  </r>
  <r>
    <x v="68"/>
    <s v="SPEEDY CARE "/>
    <s v="O-PAC S.R.L."/>
    <x v="338"/>
    <s v="BAGS"/>
    <s v="HYPOALLERGENIC"/>
    <s v="20"/>
    <n v="0.15809999999999999"/>
    <n v="2E-3"/>
    <n v="1E-3"/>
    <n v="2.1"/>
    <n v="0.02"/>
    <n v="0.02"/>
    <n v="0.16109999999999999"/>
    <n v="-0.98734977862112583"/>
    <n v="-0.99047619047619051"/>
    <n v="3.1264118550646813E-3"/>
    <m/>
  </r>
  <r>
    <x v="69"/>
    <s v="CAN BEBE "/>
    <s v="ONTEX"/>
    <x v="339"/>
    <s v="BAGS"/>
    <s v="ALCOHOL FREE"/>
    <s v="56"/>
    <n v="6.0000000000000001E-3"/>
    <n v="0.35439999999999999"/>
    <n v="0"/>
    <n v="0.33839999999999998"/>
    <n v="16.541699999999999"/>
    <n v="0"/>
    <n v="0.3604"/>
    <n v="58.066666666666663"/>
    <n v="47.88209219858156"/>
    <n v="10.184574468085103"/>
    <m/>
  </r>
  <r>
    <x v="70"/>
    <s v="BABS &amp; BABS "/>
    <s v="OZDAMARLAR GIDA A.S."/>
    <x v="340"/>
    <s v="BAGS"/>
    <s v="PH BALANCED"/>
    <s v="120"/>
    <n v="0"/>
    <n v="0"/>
    <n v="0"/>
    <n v="0"/>
    <n v="0"/>
    <n v="0"/>
    <n v="0"/>
    <n v="0"/>
    <n v="0"/>
    <n v="0"/>
    <m/>
  </r>
  <r>
    <x v="71"/>
    <s v="KOPRINA "/>
    <s v="OZYURT TEKSTIL SAN"/>
    <x v="341"/>
    <s v="BAGS"/>
    <s v="PH BALANCED"/>
    <s v="72"/>
    <n v="0"/>
    <n v="0"/>
    <n v="9.8000000000000004E-2"/>
    <n v="0"/>
    <n v="0"/>
    <n v="3.3592"/>
    <n v="9.8000000000000004E-2"/>
    <n v="0"/>
    <n v="0"/>
    <n v="0"/>
    <m/>
  </r>
  <r>
    <x v="72"/>
    <s v="BEBIKO "/>
    <s v="PAKSEL KIMYA"/>
    <x v="342"/>
    <s v="BAGS"/>
    <s v="PH BALANCED"/>
    <s v="100"/>
    <n v="0"/>
    <n v="0"/>
    <n v="0"/>
    <n v="0"/>
    <n v="0"/>
    <n v="0"/>
    <n v="0"/>
    <n v="0"/>
    <n v="0"/>
    <n v="0"/>
    <m/>
  </r>
  <r>
    <x v="72"/>
    <s v="BEBIKO "/>
    <s v="PAKSEL KIMYA"/>
    <x v="343"/>
    <s v="BAGS"/>
    <s v="WITHOUT EXTRA PROTECTCARE INDICATION"/>
    <s v="72"/>
    <n v="0"/>
    <n v="0.79349999999999998"/>
    <n v="0.7298"/>
    <n v="0"/>
    <n v="47.268799999999999"/>
    <n v="43.602699999999999"/>
    <n v="1.5232999999999999"/>
    <n v="0"/>
    <n v="0"/>
    <n v="0"/>
    <m/>
  </r>
  <r>
    <x v="73"/>
    <s v="PAPATYA "/>
    <s v="PAPATYA PAMUK KOSMETIK"/>
    <x v="344"/>
    <s v="BAGS"/>
    <s v="PH BALANCED"/>
    <s v="90"/>
    <n v="0.36020000000000002"/>
    <n v="5.21E-2"/>
    <n v="9.4000000000000004E-3"/>
    <n v="19.065100000000001"/>
    <n v="2.6206"/>
    <n v="0.48"/>
    <n v="0.42170000000000002"/>
    <n v="-0.85535813436979458"/>
    <n v="-0.86254464964778577"/>
    <n v="7.1865152779911901E-3"/>
    <m/>
  </r>
  <r>
    <x v="74"/>
    <s v="PERFETTO "/>
    <s v="PERFETTO GROUP"/>
    <x v="345"/>
    <s v="BAGS"/>
    <s v="PH BALANCED"/>
    <s v="80"/>
    <n v="0"/>
    <n v="0"/>
    <n v="2.0999999999999999E-3"/>
    <n v="0"/>
    <n v="0"/>
    <n v="0.17710000000000001"/>
    <n v="2.0999999999999999E-3"/>
    <n v="0"/>
    <n v="0"/>
    <n v="0"/>
    <m/>
  </r>
  <r>
    <x v="75"/>
    <s v="BETTY "/>
    <s v="PHOENIX PHARMA DOO"/>
    <x v="346"/>
    <s v="BAGS"/>
    <s v="ALCOHOL FREE"/>
    <s v="24"/>
    <n v="1.4545999999999999"/>
    <n v="0.15629999999999999"/>
    <n v="5.8099999999999999E-2"/>
    <n v="31.957999999999998"/>
    <n v="3.1030000000000002"/>
    <n v="1.1613"/>
    <n v="1.669"/>
    <n v="-0.89254777945827024"/>
    <n v="-0.9029038112522686"/>
    <n v="1.0356031793998355E-2"/>
    <m/>
  </r>
  <r>
    <x v="75"/>
    <s v="BETTY "/>
    <s v="PHOENIX PHARMA DOO"/>
    <x v="347"/>
    <s v="BAGS"/>
    <s v="ALCOHOL FREE"/>
    <s v="72"/>
    <n v="0.69610000000000005"/>
    <n v="0"/>
    <n v="0"/>
    <n v="23.8918"/>
    <n v="0"/>
    <n v="0"/>
    <n v="0.69610000000000005"/>
    <n v="-1"/>
    <n v="-1"/>
    <n v="0"/>
    <m/>
  </r>
  <r>
    <x v="76"/>
    <s v="KLORANE "/>
    <s v="PIERRE FABRE"/>
    <x v="348"/>
    <s v="BAGS"/>
    <s v="ALCOHOL FREE"/>
    <s v="25"/>
    <n v="0.83640000000000003"/>
    <n v="0.55679999999999996"/>
    <n v="0.16950000000000001"/>
    <n v="3.2871000000000001"/>
    <n v="1.9970000000000001"/>
    <n v="0.75749999999999995"/>
    <n v="1.5627"/>
    <n v="-0.33428981348637021"/>
    <n v="-0.3924736089562228"/>
    <n v="5.8183795469852584E-2"/>
    <m/>
  </r>
  <r>
    <x v="76"/>
    <s v="KLORANE "/>
    <s v="PIERRE FABRE"/>
    <x v="349"/>
    <s v="BAGS"/>
    <s v="ALCOHOL FREE"/>
    <s v="70"/>
    <n v="1.8599999999999998E-2"/>
    <n v="0"/>
    <n v="0"/>
    <n v="0.14000000000000001"/>
    <n v="0"/>
    <n v="0"/>
    <n v="1.8599999999999998E-2"/>
    <n v="-1"/>
    <n v="-1"/>
    <n v="0"/>
    <m/>
  </r>
  <r>
    <x v="76"/>
    <s v="KLORANE "/>
    <s v="PIERRE FABRE"/>
    <x v="350"/>
    <s v="BAGS"/>
    <s v="ALCOHOL FREE"/>
    <s v="70"/>
    <n v="0.34599999999999997"/>
    <n v="0.3881"/>
    <n v="0.2717"/>
    <n v="2.4157999999999999"/>
    <n v="2.4979"/>
    <n v="1.68"/>
    <n v="1.0058"/>
    <n v="0.12167630057803477"/>
    <n v="3.398460137428598E-2"/>
    <n v="8.7691699203748794E-2"/>
    <m/>
  </r>
  <r>
    <x v="76"/>
    <s v="KLORANE "/>
    <s v="PIERRE FABRE"/>
    <x v="351"/>
    <s v="BAGS"/>
    <s v="ALCOHOL FREE"/>
    <s v="70"/>
    <n v="0.25569999999999998"/>
    <n v="2.6200000000000001E-2"/>
    <n v="0"/>
    <n v="2.27"/>
    <n v="0.31"/>
    <n v="0"/>
    <n v="0.28189999999999998"/>
    <n v="-0.8975361752053187"/>
    <n v="-0.86343612334801756"/>
    <n v="-3.4100051857301139E-2"/>
    <m/>
  </r>
  <r>
    <x v="77"/>
    <s v="FRESH "/>
    <s v="PIRAMIDA 72 DOO"/>
    <x v="352"/>
    <s v="BAGS"/>
    <s v="PH BALANCED"/>
    <s v="60"/>
    <n v="4.2514000000000003"/>
    <n v="9.5349000000000004"/>
    <n v="4.3247999999999998"/>
    <n v="118.9742"/>
    <n v="264.43900000000002"/>
    <n v="116.2043"/>
    <n v="18.1111"/>
    <n v="1.2427670884884978"/>
    <n v="1.2226583578624612"/>
    <n v="2.0108730626036575E-2"/>
    <m/>
  </r>
  <r>
    <x v="77"/>
    <s v="FRESH "/>
    <s v="PIRAMIDA 72 DOO"/>
    <x v="353"/>
    <s v="BAGS"/>
    <s v="PH BALANCED"/>
    <s v="60"/>
    <n v="0"/>
    <n v="3.1814"/>
    <n v="1.8621000000000001"/>
    <n v="0"/>
    <n v="84.536500000000004"/>
    <n v="48.9773"/>
    <n v="5.0434999999999999"/>
    <n v="0"/>
    <n v="0"/>
    <n v="0"/>
    <m/>
  </r>
  <r>
    <x v="77"/>
    <s v="FRESH "/>
    <s v="PIRAMIDA 72 DOO"/>
    <x v="354"/>
    <s v="BAGS"/>
    <s v="WITHOUT EXTRA PROTECTCARE INDICATION"/>
    <s v="60"/>
    <n v="9.6434999999999995"/>
    <n v="0"/>
    <n v="0"/>
    <n v="280.5643"/>
    <n v="0"/>
    <n v="0"/>
    <n v="9.6434999999999995"/>
    <n v="-1"/>
    <n v="-1"/>
    <n v="0"/>
    <m/>
  </r>
  <r>
    <x v="77"/>
    <s v="FRESH "/>
    <s v="PIRAMIDA 72 DOO"/>
    <x v="355"/>
    <s v="BAGS"/>
    <s v="WITHOUT EXTRA PROTECTCARE INDICATION"/>
    <s v="60"/>
    <n v="12.711499999999999"/>
    <n v="0"/>
    <n v="0"/>
    <n v="374.43990000000002"/>
    <n v="0"/>
    <n v="0"/>
    <n v="12.711499999999999"/>
    <n v="-1"/>
    <n v="-1"/>
    <n v="0"/>
    <m/>
  </r>
  <r>
    <x v="78"/>
    <s v="SLIPP "/>
    <s v="PREDO"/>
    <x v="356"/>
    <s v="BAGS"/>
    <s v="SENSITIVE"/>
    <s v="120"/>
    <n v="0"/>
    <n v="0"/>
    <n v="0.624"/>
    <n v="0"/>
    <n v="0"/>
    <n v="34.035699999999999"/>
    <n v="0.624"/>
    <n v="0"/>
    <n v="0"/>
    <n v="0"/>
    <m/>
  </r>
  <r>
    <x v="43"/>
    <s v="WATER WIPES "/>
    <s v="IRISH BREEZE LTD"/>
    <x v="357"/>
    <s v="BAGS"/>
    <s v="WITHOUT EXTRA PROTECTCARE INDICATION"/>
    <s v="60"/>
    <n v="198.11109999999999"/>
    <n v="233.6309"/>
    <n v="113.3126"/>
    <n v="1569.5084999999999"/>
    <n v="2030.1902"/>
    <n v="989.67420000000004"/>
    <n v="545.05459999999994"/>
    <n v="0.17929232637646253"/>
    <n v="0.2935197228941418"/>
    <n v="-0.11422739651767927"/>
    <m/>
  </r>
  <r>
    <x v="4"/>
    <s v="PAMPERS "/>
    <s v="PROCTER &amp; GAMBLE"/>
    <x v="358"/>
    <s v="BAGS"/>
    <s v="ALCOHOL FREE"/>
    <s v="12"/>
    <n v="6.59E-2"/>
    <n v="0.95820000000000005"/>
    <n v="0"/>
    <n v="0.18509999999999999"/>
    <n v="3.0327999999999999"/>
    <n v="0"/>
    <n v="1.0241"/>
    <n v="13.540212443095601"/>
    <n v="15.384656942193411"/>
    <n v="-1.8444444990978095"/>
    <m/>
  </r>
  <r>
    <x v="4"/>
    <s v="PAMPERS "/>
    <s v="PROCTER &amp; GAMBLE"/>
    <x v="359"/>
    <s v="BAGS"/>
    <s v="ALCOHOL FREE"/>
    <s v="12"/>
    <n v="5.1000000000000004E-3"/>
    <n v="0.40570000000000001"/>
    <n v="0"/>
    <n v="1.37E-2"/>
    <n v="1.3527"/>
    <n v="0"/>
    <n v="0.4108"/>
    <n v="78.549019607843135"/>
    <n v="97.737226277372258"/>
    <n v="-19.188206669529123"/>
    <m/>
  </r>
  <r>
    <x v="4"/>
    <s v="PAMPERS "/>
    <s v="PROCTER &amp; GAMBLE"/>
    <x v="360"/>
    <s v="BAGS"/>
    <s v="ALCOHOL FREE"/>
    <s v="12"/>
    <n v="0.1182"/>
    <n v="1.0884"/>
    <n v="0"/>
    <n v="0.31890000000000002"/>
    <n v="3.3033999999999999"/>
    <n v="0"/>
    <n v="1.2066000000000001"/>
    <n v="8.2081218274111674"/>
    <n v="9.3587331451865783"/>
    <n v="-1.1506113177754109"/>
    <m/>
  </r>
  <r>
    <x v="4"/>
    <s v="PAMPERS "/>
    <s v="PROCTER &amp; GAMBLE"/>
    <x v="361"/>
    <s v="BAGS"/>
    <s v="SENSITIVE"/>
    <s v="12"/>
    <n v="0.87180000000000002"/>
    <n v="4.3999999999999997E-2"/>
    <n v="0"/>
    <n v="8.5823999999999998"/>
    <n v="0.58599999999999997"/>
    <n v="0"/>
    <n v="0.91580000000000006"/>
    <n v="-0.94952970864877262"/>
    <n v="-0.93172073079791196"/>
    <n v="-1.7808977850860663E-2"/>
    <m/>
  </r>
  <r>
    <x v="4"/>
    <s v="PAMPERS "/>
    <s v="PROCTER &amp; GAMBLE"/>
    <x v="362"/>
    <s v="BAGS"/>
    <s v="SENSITIVE"/>
    <s v="12"/>
    <n v="5.4508000000000001"/>
    <n v="2.1189"/>
    <n v="0.77749999999999997"/>
    <n v="70.866600000000005"/>
    <n v="26.7118"/>
    <n v="8.9403000000000006"/>
    <n v="8.3472000000000008"/>
    <n v="-0.61126807074190947"/>
    <n v="-0.62306925970767624"/>
    <n v="1.1801188965766762E-2"/>
    <m/>
  </r>
  <r>
    <x v="4"/>
    <s v="PAMPERS "/>
    <s v="PROCTER &amp; GAMBLE"/>
    <x v="363"/>
    <s v="BAGS"/>
    <s v="SENSITIVE"/>
    <s v="12"/>
    <n v="0"/>
    <n v="0"/>
    <n v="0"/>
    <n v="0"/>
    <n v="0"/>
    <n v="0"/>
    <n v="0"/>
    <n v="0"/>
    <n v="0"/>
    <n v="0"/>
    <m/>
  </r>
  <r>
    <x v="4"/>
    <s v="PAMPERS "/>
    <s v="PROCTER &amp; GAMBLE"/>
    <x v="364"/>
    <s v="BAGS"/>
    <s v="ALCOHOL FREE"/>
    <s v="24"/>
    <n v="9.06E-2"/>
    <n v="0"/>
    <n v="0"/>
    <n v="1.3372999999999999"/>
    <n v="0"/>
    <n v="0"/>
    <n v="9.06E-2"/>
    <n v="-1"/>
    <n v="-1"/>
    <n v="0"/>
    <m/>
  </r>
  <r>
    <x v="4"/>
    <s v="PAMPERS "/>
    <s v="PROCTER &amp; GAMBLE"/>
    <x v="365"/>
    <s v="BAGS"/>
    <s v="WITHOUT EXTRA PROTECTCARE INDICATION"/>
    <s v="37"/>
    <n v="1.3827"/>
    <n v="0.7681"/>
    <n v="2.3199999999999998E-2"/>
    <n v="23.328099999999999"/>
    <n v="13.2523"/>
    <n v="0.52669999999999995"/>
    <n v="2.1740000000000004"/>
    <n v="-0.44449265928979537"/>
    <n v="-0.43191687278432445"/>
    <n v="-1.2575786505470921E-2"/>
    <m/>
  </r>
  <r>
    <x v="4"/>
    <s v="PAMPERS "/>
    <s v="PROCTER &amp; GAMBLE"/>
    <x v="366"/>
    <s v="BAGS"/>
    <s v="ALCOHOL FREE"/>
    <s v="48"/>
    <n v="0"/>
    <n v="0"/>
    <n v="20.740400000000001"/>
    <n v="0"/>
    <n v="0"/>
    <n v="310.0301"/>
    <n v="20.740400000000001"/>
    <n v="0"/>
    <n v="0"/>
    <n v="0"/>
    <m/>
  </r>
  <r>
    <x v="4"/>
    <s v="PAMPERS "/>
    <s v="PROCTER &amp; GAMBLE"/>
    <x v="367"/>
    <s v="BAGS"/>
    <s v="ALCOHOL FREE"/>
    <s v="48"/>
    <n v="0"/>
    <n v="0"/>
    <n v="1.2435"/>
    <n v="0"/>
    <n v="0"/>
    <n v="17.1813"/>
    <n v="1.2435"/>
    <n v="0"/>
    <n v="0"/>
    <n v="0"/>
    <m/>
  </r>
  <r>
    <x v="4"/>
    <s v="PAMPERS "/>
    <s v="PROCTER &amp; GAMBLE"/>
    <x v="368"/>
    <s v="BAGS"/>
    <s v="ALCOHOL FREE"/>
    <s v="48"/>
    <n v="4.0780000000000003"/>
    <n v="35.126199999999997"/>
    <n v="26.273900000000001"/>
    <n v="71.718599999999995"/>
    <n v="592.5693"/>
    <n v="441.30500000000001"/>
    <n v="65.478099999999998"/>
    <n v="7.6135850907307496"/>
    <n v="7.2624214638880291"/>
    <n v="0.35116362684272051"/>
    <m/>
  </r>
  <r>
    <x v="4"/>
    <s v="PAMPERS "/>
    <s v="PROCTER &amp; GAMBLE"/>
    <x v="369"/>
    <s v="BAGS"/>
    <s v="ALCOHOL FREE"/>
    <s v="52"/>
    <n v="105.723"/>
    <n v="231.39109999999999"/>
    <n v="190.30779999999999"/>
    <n v="3632.1455999999998"/>
    <n v="7878.6941999999999"/>
    <n v="6167.0902999999998"/>
    <n v="527.42190000000005"/>
    <n v="1.1886543136309033"/>
    <n v="1.1691570404005831"/>
    <n v="1.9497273230320245E-2"/>
    <m/>
  </r>
  <r>
    <x v="4"/>
    <s v="PAMPERS "/>
    <s v="PROCTER &amp; GAMBLE"/>
    <x v="370"/>
    <s v="BAGS"/>
    <s v="SENSITIVE"/>
    <s v="50"/>
    <n v="0"/>
    <n v="0"/>
    <n v="0"/>
    <n v="0"/>
    <n v="0"/>
    <n v="0"/>
    <n v="0"/>
    <n v="0"/>
    <n v="0"/>
    <n v="0"/>
    <m/>
  </r>
  <r>
    <x v="4"/>
    <s v="PAMPERS "/>
    <s v="PROCTER &amp; GAMBLE"/>
    <x v="371"/>
    <s v="BAGS"/>
    <s v="ALCOHOL FREE"/>
    <s v="52"/>
    <n v="8.5046999999999997"/>
    <n v="12.872299999999999"/>
    <n v="4.3821000000000003"/>
    <n v="194.4057"/>
    <n v="338.25259999999997"/>
    <n v="110.48520000000001"/>
    <n v="25.7591"/>
    <n v="0.51355133044081502"/>
    <n v="0.73993149377821732"/>
    <n v="-0.2263801633374023"/>
    <m/>
  </r>
  <r>
    <x v="79"/>
    <s v="INCI "/>
    <s v="SEPA MENSUCAT"/>
    <x v="372"/>
    <s v="BAGS"/>
    <s v="PH BALANCED"/>
    <s v="120"/>
    <n v="251.465"/>
    <n v="145.75579999999999"/>
    <n v="77.822699999999998"/>
    <n v="15122.0514"/>
    <n v="8717.0684000000001"/>
    <n v="4462.7493999999997"/>
    <n v="475.04349999999999"/>
    <n v="-0.42037341180681209"/>
    <n v="-0.42355252145221517"/>
    <n v="3.1791096454030776E-3"/>
    <m/>
  </r>
  <r>
    <x v="80"/>
    <s v="MELANI "/>
    <s v="PROBEG 97"/>
    <x v="373"/>
    <s v="BAGS"/>
    <s v="WITHOUT EXTRA PROTECTCARE INDICATION"/>
    <s v="64"/>
    <n v="192.72300000000001"/>
    <n v="183.24340000000001"/>
    <n v="97.209599999999995"/>
    <n v="7900.9691000000003"/>
    <n v="6838.8454000000002"/>
    <n v="3264.5805999999998"/>
    <n v="473.17600000000004"/>
    <n v="-4.9187694255485873E-2"/>
    <n v="-0.13442954738299129"/>
    <n v="8.5241853127505415E-2"/>
    <m/>
  </r>
  <r>
    <x v="4"/>
    <s v="PAMPERS "/>
    <s v="PROCTER &amp; GAMBLE"/>
    <x v="374"/>
    <s v="BAGS"/>
    <s v="ALCOHOL FREE"/>
    <s v="52"/>
    <n v="0.2492"/>
    <n v="5.8500000000000003E-2"/>
    <n v="0"/>
    <n v="4.6970000000000001"/>
    <n v="1.1557999999999999"/>
    <n v="0"/>
    <n v="0.30770000000000003"/>
    <n v="-0.76524879614767261"/>
    <n v="-0.7539280391739408"/>
    <n v="-1.1320756973731805E-2"/>
    <m/>
  </r>
  <r>
    <x v="4"/>
    <s v="PAMPERS "/>
    <s v="PROCTER &amp; GAMBLE"/>
    <x v="375"/>
    <s v="BAGS"/>
    <s v="ALCOHOL FREE"/>
    <s v="52"/>
    <n v="0.97950000000000004"/>
    <n v="0"/>
    <n v="0"/>
    <n v="23.239000000000001"/>
    <n v="0"/>
    <n v="0"/>
    <n v="0.97950000000000004"/>
    <n v="-1"/>
    <n v="-1"/>
    <n v="0"/>
    <m/>
  </r>
  <r>
    <x v="4"/>
    <s v="PAMPERS "/>
    <s v="PROCTER &amp; GAMBLE"/>
    <x v="376"/>
    <s v="BAGS"/>
    <s v="ALCOHOL FREE"/>
    <s v="52"/>
    <n v="1.0518000000000001"/>
    <n v="0"/>
    <n v="0"/>
    <n v="15.4772"/>
    <n v="0"/>
    <n v="0"/>
    <n v="1.0518000000000001"/>
    <n v="-1"/>
    <n v="-1"/>
    <n v="0"/>
    <m/>
  </r>
  <r>
    <x v="4"/>
    <s v="PAMPERS "/>
    <s v="PROCTER &amp; GAMBLE"/>
    <x v="377"/>
    <s v="BAGS"/>
    <s v="ALCOHOL FREE"/>
    <s v="52"/>
    <n v="1.23"/>
    <n v="5.5100000000000003E-2"/>
    <n v="0"/>
    <n v="22.518699999999999"/>
    <n v="1.0911"/>
    <n v="0"/>
    <n v="1.2850999999999999"/>
    <n v="-0.95520325203252043"/>
    <n v="-0.95154693654607059"/>
    <n v="-3.6563154864498459E-3"/>
    <m/>
  </r>
  <r>
    <x v="4"/>
    <s v="PAMPERS "/>
    <s v="PROCTER &amp; GAMBLE"/>
    <x v="378"/>
    <s v="BAGS"/>
    <s v="ALCOHOL FREE"/>
    <s v="52"/>
    <n v="0.64070000000000005"/>
    <n v="0"/>
    <n v="0"/>
    <n v="15.170299999999999"/>
    <n v="0"/>
    <n v="0"/>
    <n v="0.64070000000000005"/>
    <n v="-1"/>
    <n v="-1"/>
    <n v="0"/>
    <m/>
  </r>
  <r>
    <x v="4"/>
    <s v="PAMPERS "/>
    <s v="PROCTER &amp; GAMBLE"/>
    <x v="379"/>
    <s v="BAGS"/>
    <s v="ALCOHOL FREE"/>
    <s v="52"/>
    <n v="0.8125"/>
    <n v="2.2100000000000002E-2"/>
    <n v="0"/>
    <n v="14.451000000000001"/>
    <n v="0.38290000000000002"/>
    <n v="0"/>
    <n v="0.83460000000000001"/>
    <n v="-0.9728"/>
    <n v="-0.97350356376721336"/>
    <n v="7.0356376721336655E-4"/>
    <m/>
  </r>
  <r>
    <x v="4"/>
    <s v="PAMPERS "/>
    <s v="PROCTER &amp; GAMBLE"/>
    <x v="380"/>
    <s v="BAGS"/>
    <s v="ALCOHOL FREE"/>
    <s v="52"/>
    <n v="0.40889999999999999"/>
    <n v="7.7899999999999997E-2"/>
    <n v="0"/>
    <n v="9.6999999999999993"/>
    <n v="1.9962"/>
    <n v="0"/>
    <n v="0.48680000000000001"/>
    <n v="-0.80948887258498403"/>
    <n v="-0.79420618556701028"/>
    <n v="-1.5282687017973751E-2"/>
    <m/>
  </r>
  <r>
    <x v="4"/>
    <s v="PAMPERS "/>
    <s v="PROCTER &amp; GAMBLE"/>
    <x v="381"/>
    <s v="BAGS"/>
    <s v="ALCOHOL FREE"/>
    <s v="52"/>
    <n v="1.716"/>
    <n v="0"/>
    <n v="0"/>
    <n v="43.815600000000003"/>
    <n v="0"/>
    <n v="0"/>
    <n v="1.716"/>
    <n v="-1"/>
    <n v="-1"/>
    <n v="0"/>
    <m/>
  </r>
  <r>
    <x v="4"/>
    <s v="PAMPERS "/>
    <s v="PROCTER &amp; GAMBLE"/>
    <x v="382"/>
    <s v="BAGS"/>
    <s v="ALCOHOL FREE"/>
    <s v="52"/>
    <n v="0.17050000000000001"/>
    <n v="7.7700000000000005E-2"/>
    <n v="0"/>
    <n v="3.5674000000000001"/>
    <n v="1.7087000000000001"/>
    <n v="0"/>
    <n v="0.24820000000000003"/>
    <n v="-0.54428152492668624"/>
    <n v="-0.52102371475023823"/>
    <n v="-2.3257810176448013E-2"/>
    <m/>
  </r>
  <r>
    <x v="4"/>
    <s v="PAMPERS "/>
    <s v="PROCTER &amp; GAMBLE"/>
    <x v="383"/>
    <s v="BAGS"/>
    <s v="ALCOHOL FREE"/>
    <s v="52"/>
    <n v="1.5501"/>
    <n v="0.42659999999999998"/>
    <n v="0.12859999999999999"/>
    <n v="28.959800000000001"/>
    <n v="8.7736999999999998"/>
    <n v="2.5320999999999998"/>
    <n v="2.1053000000000002"/>
    <n v="-0.7247919489065221"/>
    <n v="-0.69703865358186179"/>
    <n v="-2.775329532466031E-2"/>
    <m/>
  </r>
  <r>
    <x v="4"/>
    <s v="PAMPERS "/>
    <s v="PROCTER &amp; GAMBLE"/>
    <x v="384"/>
    <s v="BAGS"/>
    <s v="ALCOHOL FREE"/>
    <s v="52"/>
    <n v="0.83640000000000003"/>
    <n v="0.51139999999999997"/>
    <n v="0"/>
    <n v="18.6389"/>
    <n v="9.5508000000000006"/>
    <n v="0"/>
    <n v="1.3477999999999999"/>
    <n v="-0.38857006217120998"/>
    <n v="-0.48758778683291393"/>
    <n v="9.9017724661703943E-2"/>
    <m/>
  </r>
  <r>
    <x v="4"/>
    <s v="PAMPERS "/>
    <s v="PROCTER &amp; GAMBLE"/>
    <x v="385"/>
    <s v="BAGS"/>
    <s v="ALCOHOL FREE"/>
    <s v="52"/>
    <n v="0.72089999999999999"/>
    <n v="0"/>
    <n v="0"/>
    <n v="9.8262"/>
    <n v="0"/>
    <n v="0"/>
    <n v="0.72089999999999999"/>
    <n v="-1"/>
    <n v="-1"/>
    <n v="0"/>
    <m/>
  </r>
  <r>
    <x v="4"/>
    <s v="PAMPERS "/>
    <s v="PROCTER &amp; GAMBLE"/>
    <x v="386"/>
    <s v="BAGS"/>
    <s v="ALCOHOL FREE"/>
    <s v="52"/>
    <n v="0.48470000000000002"/>
    <n v="0"/>
    <n v="0"/>
    <n v="10.088699999999999"/>
    <n v="0"/>
    <n v="0"/>
    <n v="0.48470000000000002"/>
    <n v="-1"/>
    <n v="-1"/>
    <n v="0"/>
    <m/>
  </r>
  <r>
    <x v="4"/>
    <s v="PAMPERS "/>
    <s v="PROCTER &amp; GAMBLE"/>
    <x v="387"/>
    <s v="BAGS"/>
    <s v="ALCOHOL FREE"/>
    <s v="52"/>
    <n v="1.3634999999999999"/>
    <n v="2.1999999999999999E-2"/>
    <n v="0"/>
    <n v="21.971299999999999"/>
    <n v="0.34660000000000002"/>
    <n v="0"/>
    <n v="1.3855"/>
    <n v="-0.98386505317198381"/>
    <n v="-0.98422487517807322"/>
    <n v="3.5982200608941639E-4"/>
    <m/>
  </r>
  <r>
    <x v="4"/>
    <s v="PAMPERS "/>
    <s v="PROCTER &amp; GAMBLE"/>
    <x v="388"/>
    <s v="BAGS"/>
    <s v="ALCOHOL FREE"/>
    <s v="52"/>
    <n v="0.2001"/>
    <n v="0"/>
    <n v="0"/>
    <n v="3.1530999999999998"/>
    <n v="0"/>
    <n v="0"/>
    <n v="0.2001"/>
    <n v="-1"/>
    <n v="-1"/>
    <n v="0"/>
    <m/>
  </r>
  <r>
    <x v="4"/>
    <s v="PAMPERS "/>
    <s v="PROCTER &amp; GAMBLE"/>
    <x v="389"/>
    <s v="BAGS"/>
    <s v="ALCOHOL FREE"/>
    <s v="52"/>
    <n v="0.30409999999999998"/>
    <n v="0"/>
    <n v="0"/>
    <n v="4.4311999999999996"/>
    <n v="0"/>
    <n v="0"/>
    <n v="0.30409999999999998"/>
    <n v="-1"/>
    <n v="-1"/>
    <n v="0"/>
    <m/>
  </r>
  <r>
    <x v="4"/>
    <s v="PAMPERS "/>
    <s v="PROCTER &amp; GAMBLE"/>
    <x v="390"/>
    <s v="BAGS"/>
    <s v="ALCOHOL FREE"/>
    <s v="52"/>
    <n v="1.4756"/>
    <n v="0.29549999999999998"/>
    <n v="0.13869999999999999"/>
    <n v="38.575499999999998"/>
    <n v="5.6929999999999996"/>
    <n v="2.5320999999999998"/>
    <n v="1.9098000000000002"/>
    <n v="-0.79974247763621575"/>
    <n v="-0.85241928166841652"/>
    <n v="5.2676804032200764E-2"/>
    <m/>
  </r>
  <r>
    <x v="4"/>
    <s v="PAMPERS "/>
    <s v="PROCTER &amp; GAMBLE"/>
    <x v="391"/>
    <s v="BAGS"/>
    <s v="ALCOHOL FREE"/>
    <s v="52"/>
    <n v="0.92279999999999995"/>
    <n v="0"/>
    <n v="0"/>
    <n v="21.822199999999999"/>
    <n v="0"/>
    <n v="0"/>
    <n v="0.92279999999999995"/>
    <n v="-1"/>
    <n v="-1"/>
    <n v="0"/>
    <m/>
  </r>
  <r>
    <x v="4"/>
    <s v="PAMPERS "/>
    <s v="PROCTER &amp; GAMBLE"/>
    <x v="392"/>
    <s v="BAGS"/>
    <s v="SENSITIVE"/>
    <s v="52"/>
    <n v="95.148099999999999"/>
    <n v="213.16730000000001"/>
    <n v="155.60400000000001"/>
    <n v="3171.4767999999999"/>
    <n v="7264.2154"/>
    <n v="5013.7686000000003"/>
    <n v="463.9194"/>
    <n v="1.2403736911194234"/>
    <n v="1.2904835375116097"/>
    <n v="-5.0109846392186297E-2"/>
    <m/>
  </r>
  <r>
    <x v="4"/>
    <s v="PAMPERS "/>
    <s v="PROCTER &amp; GAMBLE"/>
    <x v="393"/>
    <s v="BAGS"/>
    <s v="ALCOHOL FREE"/>
    <s v="52"/>
    <n v="0.97140000000000004"/>
    <n v="3.1E-2"/>
    <n v="0"/>
    <n v="22.952100000000002"/>
    <n v="0.70540000000000003"/>
    <n v="0"/>
    <n v="1.0024"/>
    <n v="-0.96808729668519655"/>
    <n v="-0.96926642877993729"/>
    <n v="1.1791320947407424E-3"/>
    <m/>
  </r>
  <r>
    <x v="4"/>
    <s v="PAMPERS "/>
    <s v="PROCTER &amp; GAMBLE"/>
    <x v="394"/>
    <s v="BAGS"/>
    <s v="ALCOHOL FREE"/>
    <s v="52"/>
    <n v="0.23680000000000001"/>
    <n v="0"/>
    <n v="0"/>
    <n v="4.3052000000000001"/>
    <n v="0"/>
    <n v="0"/>
    <n v="0.23680000000000001"/>
    <n v="-1"/>
    <n v="-1"/>
    <n v="0"/>
    <m/>
  </r>
  <r>
    <x v="4"/>
    <s v="PAMPERS "/>
    <s v="PROCTER &amp; GAMBLE"/>
    <x v="395"/>
    <s v="BAGS"/>
    <s v="SENSITIVE"/>
    <s v="52"/>
    <n v="40.155500000000004"/>
    <n v="53.039099999999998"/>
    <n v="19.640599999999999"/>
    <n v="809.24120000000005"/>
    <n v="1117.5988"/>
    <n v="353.57029999999997"/>
    <n v="112.83520000000001"/>
    <n v="0.3208427239107966"/>
    <n v="0.38104535458649402"/>
    <n v="-6.0202630675697422E-2"/>
    <m/>
  </r>
  <r>
    <x v="4"/>
    <s v="PAMPERS "/>
    <s v="PROCTER &amp; GAMBLE"/>
    <x v="396"/>
    <s v="BAGS"/>
    <s v="SENSITIVE"/>
    <s v="52"/>
    <n v="124.0141"/>
    <n v="119.1621"/>
    <n v="72.991100000000003"/>
    <n v="4179.8078999999998"/>
    <n v="4057.9854"/>
    <n v="2439.5360000000001"/>
    <n v="316.16730000000001"/>
    <n v="-3.9124583414305338E-2"/>
    <n v="-2.914547819290924E-2"/>
    <n v="-9.9791052213960979E-3"/>
    <m/>
  </r>
  <r>
    <x v="4"/>
    <s v="PAMPERS "/>
    <s v="PROCTER &amp; GAMBLE"/>
    <x v="397"/>
    <s v="BAGS"/>
    <s v="SENSITIVE"/>
    <s v="52"/>
    <n v="126.2456"/>
    <n v="161.7927"/>
    <n v="82.616799999999998"/>
    <n v="2585.6873000000001"/>
    <n v="3416.431"/>
    <n v="1611.8206"/>
    <n v="370.6551"/>
    <n v="0.28157100128638146"/>
    <n v="0.32128544700668171"/>
    <n v="-3.9714445720300251E-2"/>
    <m/>
  </r>
  <r>
    <x v="2"/>
    <s v="BABY CREMA "/>
    <s v="VigaLife"/>
    <x v="398"/>
    <s v="BAGS"/>
    <s v="WITHOUT EXTRA PROTECTCARE INDICATION"/>
    <s v="72"/>
    <n v="221.17019999999999"/>
    <n v="159.9896"/>
    <n v="77.865600000000001"/>
    <n v="6715.8593000000001"/>
    <n v="4333.2687999999998"/>
    <n v="2035.5381"/>
    <n v="459.02539999999999"/>
    <n v="-0.27662225742889412"/>
    <n v="-0.35477075882158521"/>
    <n v="7.8148501392691083E-2"/>
    <m/>
  </r>
  <r>
    <x v="4"/>
    <s v="PAMPERS "/>
    <s v="PROCTER &amp; GAMBLE"/>
    <x v="399"/>
    <s v="BAGS"/>
    <s v="SENSITIVE"/>
    <s v="54"/>
    <n v="19.249199999999998"/>
    <n v="1.4004000000000001"/>
    <n v="0"/>
    <n v="316.69850000000002"/>
    <n v="25.215900000000001"/>
    <n v="0"/>
    <n v="20.6496"/>
    <n v="-0.92724892463063391"/>
    <n v="-0.9203788461265211"/>
    <n v="-6.8700785041128087E-3"/>
    <m/>
  </r>
  <r>
    <x v="4"/>
    <s v="PAMPERS "/>
    <s v="PROCTER &amp; GAMBLE"/>
    <x v="400"/>
    <s v="BAGS"/>
    <s v="SENSITIVE"/>
    <s v="56"/>
    <n v="0.76639999999999997"/>
    <n v="3.6499999999999998E-2"/>
    <n v="0"/>
    <n v="14.48"/>
    <n v="0.67200000000000004"/>
    <n v="0"/>
    <n v="0.80289999999999995"/>
    <n v="-0.95237473903966596"/>
    <n v="-0.95359116022099444"/>
    <n v="1.2164211813284753E-3"/>
    <m/>
  </r>
  <r>
    <x v="4"/>
    <s v="PAMPERS "/>
    <s v="PROCTER &amp; GAMBLE"/>
    <x v="401"/>
    <s v="BAGS"/>
    <s v="SENSITIVE"/>
    <s v="56"/>
    <n v="0.17649999999999999"/>
    <n v="0"/>
    <n v="0"/>
    <n v="2.9144999999999999"/>
    <n v="0"/>
    <n v="0"/>
    <n v="0.17649999999999999"/>
    <n v="-1"/>
    <n v="-1"/>
    <n v="0"/>
    <m/>
  </r>
  <r>
    <x v="4"/>
    <s v="PAMPERS "/>
    <s v="PROCTER &amp; GAMBLE"/>
    <x v="402"/>
    <s v="BAGS"/>
    <s v="SENSITIVE"/>
    <s v="56"/>
    <n v="3.9998"/>
    <n v="2.0327000000000002"/>
    <n v="0.44619999999999999"/>
    <n v="76.599100000000007"/>
    <n v="45.206499999999998"/>
    <n v="9.7993000000000006"/>
    <n v="6.4787000000000008"/>
    <n v="-0.49179958997949891"/>
    <n v="-0.4098298805077345"/>
    <n v="-8.1969709471764407E-2"/>
    <m/>
  </r>
  <r>
    <x v="4"/>
    <s v="PAMPERS "/>
    <s v="PROCTER &amp; GAMBLE"/>
    <x v="403"/>
    <s v="BAGS"/>
    <s v="SENSITIVE"/>
    <s v="56"/>
    <n v="3.4256000000000002"/>
    <n v="0.1051"/>
    <n v="0"/>
    <n v="52.9163"/>
    <n v="1.5987"/>
    <n v="0"/>
    <n v="3.5307000000000004"/>
    <n v="-0.96931924334423158"/>
    <n v="-0.96978813711465084"/>
    <n v="4.6889377041925417E-4"/>
    <m/>
  </r>
  <r>
    <x v="4"/>
    <s v="PAMPERS "/>
    <s v="PROCTER &amp; GAMBLE"/>
    <x v="404"/>
    <s v="BAGS"/>
    <s v="SENSITIVE"/>
    <s v="56"/>
    <n v="2.7799999999999998E-2"/>
    <n v="0"/>
    <n v="0"/>
    <n v="0.59"/>
    <n v="0"/>
    <n v="0"/>
    <n v="2.7799999999999998E-2"/>
    <n v="-1"/>
    <n v="-1"/>
    <n v="0"/>
    <m/>
  </r>
  <r>
    <x v="4"/>
    <s v="PAMPERS "/>
    <s v="PROCTER &amp; GAMBLE"/>
    <x v="405"/>
    <s v="BAGS"/>
    <s v="SENSITIVE"/>
    <s v="56"/>
    <n v="2.0205000000000002"/>
    <n v="6.1100000000000002E-2"/>
    <n v="4.3E-3"/>
    <n v="30.746600000000001"/>
    <n v="0.89600000000000002"/>
    <n v="5.6000000000000001E-2"/>
    <n v="2.0859000000000005"/>
    <n v="-0.96975996040584023"/>
    <n v="-0.97085856647564284"/>
    <n v="1.0986060698026101E-3"/>
    <m/>
  </r>
  <r>
    <x v="4"/>
    <s v="PAMPERS "/>
    <s v="PROCTER &amp; GAMBLE"/>
    <x v="406"/>
    <s v="BAGS"/>
    <s v="SENSITIVE"/>
    <s v="56"/>
    <n v="0"/>
    <n v="0"/>
    <n v="0"/>
    <n v="0"/>
    <n v="0"/>
    <n v="0"/>
    <n v="0"/>
    <n v="0"/>
    <n v="0"/>
    <n v="0"/>
    <m/>
  </r>
  <r>
    <x v="4"/>
    <s v="PAMPERS "/>
    <s v="PROCTER &amp; GAMBLE"/>
    <x v="407"/>
    <s v="BAGS"/>
    <s v="SENSITIVE"/>
    <s v="56"/>
    <n v="2.1128999999999998"/>
    <n v="3.0200000000000001E-2"/>
    <n v="0"/>
    <n v="32.116500000000002"/>
    <n v="0.44800000000000001"/>
    <n v="0"/>
    <n v="2.1430999999999996"/>
    <n v="-0.9857068484074023"/>
    <n v="-0.98605078386499145"/>
    <n v="3.4393545758915067E-4"/>
    <m/>
  </r>
  <r>
    <x v="4"/>
    <s v="PAMPERS "/>
    <s v="PROCTER &amp; GAMBLE"/>
    <x v="408"/>
    <s v="BAGS"/>
    <s v="SENSITIVE"/>
    <s v="56"/>
    <n v="0"/>
    <n v="0"/>
    <n v="0"/>
    <n v="0"/>
    <n v="0"/>
    <n v="0"/>
    <n v="0"/>
    <n v="0"/>
    <n v="0"/>
    <n v="0"/>
    <m/>
  </r>
  <r>
    <x v="4"/>
    <s v="PAMPERS "/>
    <s v="PROCTER &amp; GAMBLE"/>
    <x v="409"/>
    <s v="BAGS"/>
    <s v="SENSITIVE"/>
    <s v="56"/>
    <n v="0.03"/>
    <n v="5.8999999999999999E-3"/>
    <n v="0"/>
    <n v="0.67200000000000004"/>
    <n v="0.16800000000000001"/>
    <n v="0"/>
    <n v="3.5900000000000001E-2"/>
    <n v="-0.80333333333333334"/>
    <n v="-0.75"/>
    <n v="-5.3333333333333344E-2"/>
    <m/>
  </r>
  <r>
    <x v="4"/>
    <s v="PAMPERS "/>
    <s v="PROCTER &amp; GAMBLE"/>
    <x v="410"/>
    <s v="BAGS"/>
    <s v="SENSITIVE"/>
    <s v="56"/>
    <n v="3.5200000000000002E-2"/>
    <n v="0"/>
    <n v="0"/>
    <n v="0.65949999999999998"/>
    <n v="0"/>
    <n v="0"/>
    <n v="3.5200000000000002E-2"/>
    <n v="-1"/>
    <n v="-1"/>
    <n v="0"/>
    <m/>
  </r>
  <r>
    <x v="4"/>
    <s v="PAMPERS "/>
    <s v="PROCTER &amp; GAMBLE"/>
    <x v="411"/>
    <s v="BAGS"/>
    <s v="SENSITIVE"/>
    <s v="56"/>
    <n v="0.17460000000000001"/>
    <n v="5.2699999999999997E-2"/>
    <n v="1.09E-2"/>
    <n v="3.8159000000000001"/>
    <n v="1.4"/>
    <n v="0.28000000000000003"/>
    <n v="0.2382"/>
    <n v="-0.69816723940435288"/>
    <n v="-0.63311407531643915"/>
    <n v="-6.5053164087913729E-2"/>
    <m/>
  </r>
  <r>
    <x v="4"/>
    <s v="PAMPERS "/>
    <s v="PROCTER &amp; GAMBLE"/>
    <x v="412"/>
    <s v="BAGS"/>
    <s v="SENSITIVE"/>
    <s v="56"/>
    <n v="0"/>
    <n v="0"/>
    <n v="0"/>
    <n v="0"/>
    <n v="0"/>
    <n v="0"/>
    <n v="0"/>
    <n v="0"/>
    <n v="0"/>
    <n v="0"/>
    <m/>
  </r>
  <r>
    <x v="4"/>
    <s v="PAMPERS "/>
    <s v="PROCTER &amp; GAMBLE"/>
    <x v="413"/>
    <s v="BAGS"/>
    <s v="SENSITIVE"/>
    <s v="56"/>
    <n v="1.0412999999999999"/>
    <n v="0"/>
    <n v="0"/>
    <n v="23.5031"/>
    <n v="0"/>
    <n v="0"/>
    <n v="1.0412999999999999"/>
    <n v="-1"/>
    <n v="-1"/>
    <n v="0"/>
    <m/>
  </r>
  <r>
    <x v="4"/>
    <s v="PAMPERS "/>
    <s v="PROCTER &amp; GAMBLE"/>
    <x v="414"/>
    <s v="BAGS"/>
    <s v="SENSITIVE"/>
    <s v="56"/>
    <n v="3.8100000000000002E-2"/>
    <n v="7.4000000000000003E-3"/>
    <n v="1.11E-2"/>
    <n v="0.67200000000000004"/>
    <n v="0.112"/>
    <n v="0.16800000000000001"/>
    <n v="5.6599999999999998E-2"/>
    <n v="-0.80577427821522307"/>
    <n v="-0.83333333333333337"/>
    <n v="2.7559055118110298E-2"/>
    <m/>
  </r>
  <r>
    <x v="4"/>
    <s v="PAMPERS "/>
    <s v="PROCTER &amp; GAMBLE"/>
    <x v="415"/>
    <s v="BAGS"/>
    <s v="SENSITIVE"/>
    <s v="56"/>
    <n v="1.0855999999999999"/>
    <n v="0.58120000000000005"/>
    <n v="0"/>
    <n v="19.170200000000001"/>
    <n v="10.2963"/>
    <n v="0"/>
    <n v="1.6667999999999998"/>
    <n v="-0.46462785556374347"/>
    <n v="-0.462900752209158"/>
    <n v="-1.7271033545854797E-3"/>
    <m/>
  </r>
  <r>
    <x v="4"/>
    <s v="PAMPERS "/>
    <s v="PROCTER &amp; GAMBLE"/>
    <x v="416"/>
    <s v="BAGS"/>
    <s v="SENSITIVE"/>
    <s v="56"/>
    <n v="0.72109999999999996"/>
    <n v="5.3105000000000002"/>
    <n v="0"/>
    <n v="13.8162"/>
    <n v="130.43450000000001"/>
    <n v="0"/>
    <n v="6.0316000000000001"/>
    <n v="6.364443211759812"/>
    <n v="8.4406928098898408"/>
    <n v="-2.0762495981300289"/>
    <m/>
  </r>
  <r>
    <x v="4"/>
    <s v="PAMPERS "/>
    <s v="PROCTER &amp; GAMBLE"/>
    <x v="417"/>
    <s v="BAGS"/>
    <s v="SENSITIVE"/>
    <s v="56"/>
    <n v="0.80620000000000003"/>
    <n v="0"/>
    <n v="0"/>
    <n v="18.060500000000001"/>
    <n v="0"/>
    <n v="0"/>
    <n v="0.80620000000000003"/>
    <n v="-1"/>
    <n v="-1"/>
    <n v="0"/>
    <m/>
  </r>
  <r>
    <x v="4"/>
    <s v="PAMPERS "/>
    <s v="PROCTER &amp; GAMBLE"/>
    <x v="418"/>
    <s v="BAGS"/>
    <s v="ALCOHOL FREE"/>
    <s v="64"/>
    <n v="15.5359"/>
    <n v="0.67789999999999995"/>
    <n v="0"/>
    <n v="345.3125"/>
    <n v="13.0631"/>
    <n v="0"/>
    <n v="16.213799999999999"/>
    <n v="-0.95636557907813524"/>
    <n v="-0.96217020814479637"/>
    <n v="5.8046290666611267E-3"/>
    <m/>
  </r>
  <r>
    <x v="4"/>
    <s v="PAMPERS "/>
    <s v="PROCTER &amp; GAMBLE"/>
    <x v="419"/>
    <s v="BAGS"/>
    <s v="WITHOUT EXTRA PROTECTCARE INDICATION"/>
    <s v="64"/>
    <n v="0.33579999999999999"/>
    <n v="0"/>
    <n v="0"/>
    <n v="9.1472999999999995"/>
    <n v="0"/>
    <n v="0"/>
    <n v="0.33579999999999999"/>
    <n v="-1"/>
    <n v="-1"/>
    <n v="0"/>
    <m/>
  </r>
  <r>
    <x v="4"/>
    <s v="PAMPERS "/>
    <s v="PROCTER &amp; GAMBLE"/>
    <x v="420"/>
    <s v="BAGS"/>
    <s v="WITHOUT EXTRA PROTECTCARE INDICATION"/>
    <s v="64"/>
    <n v="27.901900000000001"/>
    <n v="8.1903000000000006"/>
    <n v="0.88470000000000004"/>
    <n v="618.1096"/>
    <n v="185.2071"/>
    <n v="18.353999999999999"/>
    <n v="36.976900000000008"/>
    <n v="-0.70646085033635697"/>
    <n v="-0.70036527502565893"/>
    <n v="-6.0955753106980426E-3"/>
    <m/>
  </r>
  <r>
    <x v="4"/>
    <s v="PAMPERS "/>
    <s v="PROCTER &amp; GAMBLE"/>
    <x v="421"/>
    <s v="BAGS"/>
    <s v="WITHOUT EXTRA PROTECTCARE INDICATION"/>
    <s v="64"/>
    <n v="2.58E-2"/>
    <n v="7.9000000000000008E-3"/>
    <n v="0"/>
    <n v="0.57599999999999996"/>
    <n v="0.38400000000000001"/>
    <n v="0"/>
    <n v="3.3700000000000001E-2"/>
    <n v="-0.69379844961240311"/>
    <n v="-0.33333333333333326"/>
    <n v="-0.36046511627906985"/>
    <m/>
  </r>
  <r>
    <x v="4"/>
    <s v="PAMPERS "/>
    <s v="PROCTER &amp; GAMBLE"/>
    <x v="422"/>
    <s v="BAGS"/>
    <s v="WITHOUT EXTRA PROTECTCARE INDICATION"/>
    <s v="64"/>
    <n v="0"/>
    <n v="0"/>
    <n v="0"/>
    <n v="0"/>
    <n v="0"/>
    <n v="0"/>
    <n v="0"/>
    <n v="0"/>
    <n v="0"/>
    <n v="0"/>
    <m/>
  </r>
  <r>
    <x v="4"/>
    <s v="PAMPERS "/>
    <s v="PROCTER &amp; GAMBLE"/>
    <x v="423"/>
    <s v="BAGS"/>
    <s v="WITHOUT EXTRA PROTECTCARE INDICATION"/>
    <s v="64"/>
    <n v="0.55289999999999995"/>
    <n v="0.47820000000000001"/>
    <n v="8.14E-2"/>
    <n v="17.2395"/>
    <n v="16.416799999999999"/>
    <n v="2.5183"/>
    <n v="1.1124999999999998"/>
    <n v="-0.13510580575149203"/>
    <n v="-4.7721801676382791E-2"/>
    <n v="-8.738400407510924E-2"/>
    <m/>
  </r>
  <r>
    <x v="4"/>
    <s v="PAMPERS "/>
    <s v="PROCTER &amp; GAMBLE"/>
    <x v="424"/>
    <s v="BAGS"/>
    <s v="WITHOUT EXTRA PROTECTCARE INDICATION"/>
    <s v="64"/>
    <n v="3.53"/>
    <n v="1.6247"/>
    <n v="0"/>
    <n v="92.468000000000004"/>
    <n v="38.321599999999997"/>
    <n v="0"/>
    <n v="5.1547000000000001"/>
    <n v="-0.53974504249291777"/>
    <n v="-0.58556906172946321"/>
    <n v="4.5824019236545444E-2"/>
    <m/>
  </r>
  <r>
    <x v="4"/>
    <s v="PAMPERS "/>
    <s v="PROCTER &amp; GAMBLE"/>
    <x v="425"/>
    <s v="BAGS"/>
    <s v="ALCOHOL FREE"/>
    <s v="64"/>
    <n v="0.42930000000000001"/>
    <n v="0.67159999999999997"/>
    <n v="0"/>
    <n v="9.3439999999999994"/>
    <n v="12.986599999999999"/>
    <n v="0"/>
    <n v="1.1009"/>
    <n v="0.56440717447006739"/>
    <n v="0.38983304794520551"/>
    <n v="0.17457412652486187"/>
    <m/>
  </r>
  <r>
    <x v="4"/>
    <s v="PAMPERS "/>
    <s v="PROCTER &amp; GAMBLE"/>
    <x v="426"/>
    <s v="BAGS"/>
    <s v="WITHOUT EXTRA PROTECTCARE INDICATION"/>
    <s v="64"/>
    <n v="0.48170000000000002"/>
    <n v="0"/>
    <n v="0"/>
    <n v="13.007199999999999"/>
    <n v="0"/>
    <n v="0"/>
    <n v="0.48170000000000002"/>
    <n v="-1"/>
    <n v="-1"/>
    <n v="0"/>
    <m/>
  </r>
  <r>
    <x v="4"/>
    <s v="PAMPERS "/>
    <s v="PROCTER &amp; GAMBLE"/>
    <x v="427"/>
    <s v="BAGS"/>
    <s v="WITHOUT EXTRA PROTECTCARE INDICATION"/>
    <s v="64"/>
    <n v="0"/>
    <n v="0"/>
    <n v="8.9800000000000005E-2"/>
    <n v="0"/>
    <n v="0"/>
    <n v="1.9842"/>
    <n v="8.9800000000000005E-2"/>
    <n v="0"/>
    <n v="0"/>
    <n v="0"/>
    <m/>
  </r>
  <r>
    <x v="4"/>
    <s v="PAMPERS "/>
    <s v="PROCTER &amp; GAMBLE"/>
    <x v="428"/>
    <s v="BAGS"/>
    <s v="WITHOUT EXTRA PROTECTCARE INDICATION"/>
    <s v="64"/>
    <n v="0"/>
    <n v="0"/>
    <n v="0"/>
    <n v="0"/>
    <n v="0"/>
    <n v="0"/>
    <n v="0"/>
    <n v="0"/>
    <n v="0"/>
    <n v="0"/>
    <m/>
  </r>
  <r>
    <x v="4"/>
    <s v="PAMPERS "/>
    <s v="PROCTER &amp; GAMBLE"/>
    <x v="429"/>
    <s v="BAGS"/>
    <s v="WITHOUT EXTRA PROTECTCARE INDICATION"/>
    <s v="64"/>
    <n v="0"/>
    <n v="0"/>
    <n v="0.16889999999999999"/>
    <n v="0"/>
    <n v="0"/>
    <n v="4.3247"/>
    <n v="0.16889999999999999"/>
    <n v="0"/>
    <n v="0"/>
    <n v="0"/>
    <m/>
  </r>
  <r>
    <x v="4"/>
    <s v="PAMPERS "/>
    <s v="PROCTER &amp; GAMBLE"/>
    <x v="430"/>
    <s v="BAGS"/>
    <s v="WITHOUT EXTRA PROTECTCARE INDICATION"/>
    <s v="64"/>
    <n v="4.2949000000000002"/>
    <n v="0.33839999999999998"/>
    <n v="0"/>
    <n v="87.926599999999993"/>
    <n v="6.2496999999999998"/>
    <n v="0"/>
    <n v="4.6333000000000002"/>
    <n v="-0.92120887564320475"/>
    <n v="-0.92892139580058819"/>
    <n v="7.7125201573834401E-3"/>
    <m/>
  </r>
  <r>
    <x v="4"/>
    <s v="PAMPERS "/>
    <s v="PROCTER &amp; GAMBLE"/>
    <x v="431"/>
    <s v="BAGS"/>
    <s v="WITHOUT EXTRA PROTECTCARE INDICATION"/>
    <s v="64"/>
    <n v="13.5303"/>
    <n v="2.3972000000000002"/>
    <n v="0.73670000000000002"/>
    <n v="272.4522"/>
    <n v="43.2258"/>
    <n v="13.669700000000001"/>
    <n v="16.664200000000001"/>
    <n v="-0.82282728394787996"/>
    <n v="-0.84134538095122746"/>
    <n v="1.85180970033475E-2"/>
    <m/>
  </r>
  <r>
    <x v="4"/>
    <s v="PAMPERS "/>
    <s v="PROCTER &amp; GAMBLE"/>
    <x v="432"/>
    <s v="BAGS"/>
    <s v="WITHOUT EXTRA PROTECTCARE INDICATION"/>
    <s v="64"/>
    <n v="8.9724000000000004"/>
    <n v="2.3250000000000002"/>
    <n v="9.6000000000000002E-2"/>
    <n v="202.00700000000001"/>
    <n v="55.267699999999998"/>
    <n v="2.0488"/>
    <n v="11.3934"/>
    <n v="-0.74087200748963489"/>
    <n v="-0.72640700569782235"/>
    <n v="-1.4465001791812537E-2"/>
    <m/>
  </r>
  <r>
    <x v="4"/>
    <s v="PAMPERS "/>
    <s v="PROCTER &amp; GAMBLE"/>
    <x v="433"/>
    <s v="BAGS"/>
    <s v="WITHOUT EXTRA PROTECTCARE INDICATION"/>
    <s v="64"/>
    <n v="0.24310000000000001"/>
    <n v="0.1048"/>
    <n v="0"/>
    <n v="5.5039999999999996"/>
    <n v="2.3589000000000002"/>
    <n v="0"/>
    <n v="0.34789999999999999"/>
    <n v="-0.5689016865487454"/>
    <n v="-0.57142078488372083"/>
    <n v="2.5190983349754337E-3"/>
    <m/>
  </r>
  <r>
    <x v="4"/>
    <s v="PAMPERS "/>
    <s v="PROCTER &amp; GAMBLE"/>
    <x v="434"/>
    <s v="BAGS"/>
    <s v="WITHOUT EXTRA PROTECTCARE INDICATION"/>
    <s v="64"/>
    <n v="0"/>
    <n v="0"/>
    <n v="0"/>
    <n v="0"/>
    <n v="0"/>
    <n v="0"/>
    <n v="0"/>
    <n v="0"/>
    <n v="0"/>
    <n v="0"/>
    <m/>
  </r>
  <r>
    <x v="4"/>
    <s v="PAMPERS "/>
    <s v="PROCTER &amp; GAMBLE"/>
    <x v="435"/>
    <s v="BAGS"/>
    <s v="WITHOUT EXTRA PROTECTCARE INDICATION"/>
    <s v="64"/>
    <n v="0"/>
    <n v="0"/>
    <n v="0"/>
    <n v="0"/>
    <n v="0"/>
    <n v="0"/>
    <n v="0"/>
    <n v="0"/>
    <n v="0"/>
    <n v="0"/>
    <m/>
  </r>
  <r>
    <x v="3"/>
    <s v="KIDS "/>
    <s v="FULYA KOZM."/>
    <x v="436"/>
    <s v="BAGS"/>
    <s v="PH BALANCED"/>
    <s v="72"/>
    <n v="225.05289999999999"/>
    <n v="160.9256"/>
    <n v="66.089799999999997"/>
    <n v="14096.87"/>
    <n v="9843.2201000000005"/>
    <n v="3643.3836000000001"/>
    <n v="452.06830000000002"/>
    <n v="-0.28494322890307122"/>
    <n v="-0.30174428082262233"/>
    <n v="1.6801051919551113E-2"/>
    <m/>
  </r>
  <r>
    <x v="2"/>
    <s v="BABY CREMA "/>
    <s v="VigaLife"/>
    <x v="437"/>
    <s v="BAGS"/>
    <s v="PH BALANCED"/>
    <s v="100"/>
    <n v="165.22800000000001"/>
    <n v="172.68430000000001"/>
    <n v="91.1357"/>
    <n v="5930.9056"/>
    <n v="6183.6273000000001"/>
    <n v="3125.7986999999998"/>
    <n v="429.048"/>
    <n v="4.5127339191904509E-2"/>
    <n v="4.2610980016272733E-2"/>
    <n v="2.5163591756317757E-3"/>
    <m/>
  </r>
  <r>
    <x v="4"/>
    <s v="PAMPERS "/>
    <s v="PROCTER &amp; GAMBLE"/>
    <x v="438"/>
    <s v="BAGS"/>
    <s v="ALCOHOL FREE"/>
    <n v="42"/>
    <n v="0"/>
    <n v="0"/>
    <n v="4.2099999999999999E-2"/>
    <n v="0"/>
    <n v="0"/>
    <n v="0.45"/>
    <n v="4.2099999999999999E-2"/>
    <n v="0"/>
    <n v="0"/>
    <n v="0"/>
    <m/>
  </r>
  <r>
    <x v="4"/>
    <s v="PAMPERS "/>
    <s v="PROCTER &amp; GAMBLE"/>
    <x v="439"/>
    <s v="BAGS"/>
    <s v="ALCOHOL FREE"/>
    <s v="42"/>
    <n v="0"/>
    <n v="0"/>
    <n v="0.3543"/>
    <n v="0"/>
    <n v="0"/>
    <n v="4.1279000000000003"/>
    <n v="0.3543"/>
    <n v="0"/>
    <n v="0"/>
    <n v="0"/>
    <m/>
  </r>
  <r>
    <x v="4"/>
    <s v="PAMPERS "/>
    <s v="PROCTER &amp; GAMBLE"/>
    <x v="440"/>
    <s v="BAGS"/>
    <s v="ALCOHOL FREE"/>
    <s v="42"/>
    <n v="9.0039999999999996"/>
    <n v="27.005199999999999"/>
    <n v="7.3737000000000004"/>
    <n v="168.55369999999999"/>
    <n v="470.04379999999998"/>
    <n v="117.492"/>
    <n v="43.382899999999999"/>
    <n v="1.9992447800977342"/>
    <n v="1.7886887087023304"/>
    <n v="0.21055607139540378"/>
    <m/>
  </r>
  <r>
    <x v="4"/>
    <s v="PAMPERS "/>
    <s v="PROCTER &amp; GAMBLE"/>
    <x v="441"/>
    <s v="BAGS"/>
    <s v="ALCOHOL FREE"/>
    <s v="42"/>
    <n v="9.5648"/>
    <n v="36.633899999999997"/>
    <n v="14.959"/>
    <n v="136.73179999999999"/>
    <n v="512.46489999999994"/>
    <n v="178.05029999999999"/>
    <n v="61.157699999999991"/>
    <n v="2.8300748578119772"/>
    <n v="2.747956949297822"/>
    <n v="8.2117908514155236E-2"/>
    <m/>
  </r>
  <r>
    <x v="4"/>
    <s v="PAMPERS "/>
    <s v="PROCTER &amp; GAMBLE"/>
    <x v="442"/>
    <s v="BAGS"/>
    <s v="WITHOUT EXTRA PROTECTCARE INDICATION"/>
    <s v="72"/>
    <n v="0.18679999999999999"/>
    <n v="0"/>
    <n v="0"/>
    <n v="4.4957000000000003"/>
    <n v="0"/>
    <n v="0"/>
    <n v="0.18679999999999999"/>
    <n v="-1"/>
    <n v="-1"/>
    <n v="0"/>
    <m/>
  </r>
  <r>
    <x v="4"/>
    <s v="PAMPERS "/>
    <s v="PROCTER &amp; GAMBLE"/>
    <x v="443"/>
    <s v="BOX"/>
    <s v="SENSITIVE"/>
    <s v="56"/>
    <n v="0.2319"/>
    <n v="0"/>
    <n v="0"/>
    <n v="3.4005999999999998"/>
    <n v="0"/>
    <n v="0"/>
    <n v="0.2319"/>
    <n v="-1"/>
    <n v="-1"/>
    <n v="0"/>
    <m/>
  </r>
  <r>
    <x v="4"/>
    <s v="PAMPERS "/>
    <s v="PROCTER &amp; GAMBLE"/>
    <x v="444"/>
    <s v="BAGS"/>
    <s v="SENSITIVE"/>
    <s v="56"/>
    <n v="0.2671"/>
    <n v="0"/>
    <n v="0"/>
    <n v="5.0296000000000003"/>
    <n v="0"/>
    <n v="0"/>
    <n v="0.2671"/>
    <n v="-1"/>
    <n v="-1"/>
    <n v="0"/>
    <m/>
  </r>
  <r>
    <x v="4"/>
    <s v="PRIMA "/>
    <s v="PROCTER &amp; GAMBLE"/>
    <x v="445"/>
    <s v="BAGS"/>
    <s v="WITHOUT EXTRA PROTECTCARE INDICATION"/>
    <s v="64"/>
    <n v="0.10589999999999999"/>
    <n v="1.12E-2"/>
    <n v="0"/>
    <n v="2.2591999999999999"/>
    <n v="0.2389"/>
    <n v="0"/>
    <n v="0.1171"/>
    <n v="-0.89423984891406982"/>
    <n v="-0.89425460339943341"/>
    <n v="1.4754485363588365E-5"/>
    <m/>
  </r>
  <r>
    <x v="81"/>
    <s v="URIAGE "/>
    <s v="PUIG"/>
    <x v="446"/>
    <s v="BAGS"/>
    <s v="ALCOHOL FREE &amp; HYPOALLERGENIC"/>
    <s v="70"/>
    <n v="2.1598999999999999"/>
    <n v="5.1025"/>
    <n v="6.3079000000000001"/>
    <n v="36.4"/>
    <n v="77.862799999999993"/>
    <n v="91.042100000000005"/>
    <n v="13.5703"/>
    <n v="1.3623778878651791"/>
    <n v="1.139087912087912"/>
    <n v="0.22328997577726706"/>
    <m/>
  </r>
  <r>
    <x v="81"/>
    <s v="URIAGE "/>
    <s v="PUIG"/>
    <x v="447"/>
    <s v="BAGS"/>
    <s v="ALCOHOL FREE &amp; HYPOALLERGENIC"/>
    <s v="70"/>
    <n v="10.1408"/>
    <n v="7.4416000000000002"/>
    <n v="2.3571"/>
    <n v="91.191500000000005"/>
    <n v="64.807599999999994"/>
    <n v="19.349299999999999"/>
    <n v="19.939499999999999"/>
    <n v="-0.26617229409908488"/>
    <n v="-0.28932411463787755"/>
    <n v="2.3151820538792667E-2"/>
    <m/>
  </r>
  <r>
    <x v="82"/>
    <s v="BEBECAN "/>
    <s v="RAMER KOZMETIK"/>
    <x v="448"/>
    <s v="BAGS"/>
    <s v="PH BALANCED"/>
    <s v="72"/>
    <n v="0"/>
    <n v="0"/>
    <n v="0"/>
    <n v="0"/>
    <n v="0"/>
    <n v="0"/>
    <n v="0"/>
    <n v="0"/>
    <n v="0"/>
    <n v="0"/>
    <m/>
  </r>
  <r>
    <x v="83"/>
    <s v="BIMBO &amp; BIMBA "/>
    <s v="REGINA TRADING LTD"/>
    <x v="449"/>
    <s v="BAGS"/>
    <s v="PH BALANCED"/>
    <s v="80"/>
    <n v="2.9045000000000001"/>
    <n v="0"/>
    <n v="0"/>
    <n v="116.9823"/>
    <n v="0"/>
    <n v="0"/>
    <n v="2.9045000000000001"/>
    <n v="-1"/>
    <n v="-1"/>
    <n v="0"/>
    <m/>
  </r>
  <r>
    <x v="83"/>
    <s v="BIMBO &amp; BIMBA "/>
    <s v="REGINA TRADING LTD"/>
    <x v="450"/>
    <s v="BAGS"/>
    <s v="WITHOUT EXTRA PROTECTCARE INDICATION"/>
    <s v="80"/>
    <n v="2.9113000000000002"/>
    <n v="0"/>
    <n v="0"/>
    <n v="119.83880000000001"/>
    <n v="0"/>
    <n v="0"/>
    <n v="2.9113000000000002"/>
    <n v="-1"/>
    <n v="-1"/>
    <n v="0"/>
    <m/>
  </r>
  <r>
    <x v="83"/>
    <s v="BIMBO &amp; BIMBA "/>
    <s v="REGINA TRADING LTD"/>
    <x v="451"/>
    <s v="BAGS"/>
    <s v="WITHOUT EXTRA PROTECTCARE INDICATION"/>
    <s v="80"/>
    <n v="4.2324000000000002"/>
    <n v="0"/>
    <n v="0"/>
    <n v="171.05330000000001"/>
    <n v="0"/>
    <n v="0"/>
    <n v="4.2324000000000002"/>
    <n v="-1"/>
    <n v="-1"/>
    <n v="0"/>
    <m/>
  </r>
  <r>
    <x v="83"/>
    <s v="BIMBO &amp; BIMBA "/>
    <s v="REGINA TRADING LTD"/>
    <x v="452"/>
    <s v="BAGS"/>
    <s v="PH BALANCED"/>
    <s v="80"/>
    <n v="2.6360000000000001"/>
    <n v="0"/>
    <n v="0"/>
    <n v="103.9999"/>
    <n v="0"/>
    <n v="0"/>
    <n v="2.6360000000000001"/>
    <n v="-1"/>
    <n v="-1"/>
    <n v="0"/>
    <m/>
  </r>
  <r>
    <x v="83"/>
    <s v="VIBELLE "/>
    <s v="REGINA TRADING LTD"/>
    <x v="453"/>
    <s v="BAGS"/>
    <s v="PH BALANCED"/>
    <s v="144"/>
    <n v="59.2014"/>
    <n v="82.022099999999995"/>
    <n v="31.495899999999999"/>
    <n v="4163.6220999999996"/>
    <n v="5172.0583999999999"/>
    <n v="1931.7985000000001"/>
    <n v="172.71940000000001"/>
    <n v="0.38547568131834714"/>
    <n v="0.24220168780447207"/>
    <n v="0.14327399351387507"/>
    <m/>
  </r>
  <r>
    <x v="83"/>
    <s v="VIBELLE "/>
    <s v="REGINA TRADING LTD"/>
    <x v="454"/>
    <s v="BAGS"/>
    <s v="PH BALANCED"/>
    <s v="144"/>
    <n v="6.7272999999999996"/>
    <n v="1.7110000000000001"/>
    <n v="1.5649999999999999"/>
    <n v="473.34"/>
    <n v="112.14570000000001"/>
    <n v="108.86020000000001"/>
    <n v="10.003299999999999"/>
    <n v="-0.74566319325732455"/>
    <n v="-0.76307580174927114"/>
    <n v="1.7412608491946591E-2"/>
    <m/>
  </r>
  <r>
    <x v="84"/>
    <s v="BELUX "/>
    <s v="RENKSAN"/>
    <x v="455"/>
    <s v="BAGS"/>
    <s v="SENSITIVE"/>
    <s v="120"/>
    <n v="53.944000000000003"/>
    <n v="41.741"/>
    <n v="12.7791"/>
    <n v="3422.2186000000002"/>
    <n v="2176.2671999999998"/>
    <n v="723.71550000000002"/>
    <n v="108.4641"/>
    <n v="-0.22621607593059473"/>
    <n v="-0.36407709314653375"/>
    <n v="0.13786101721593902"/>
    <m/>
  </r>
  <r>
    <x v="84"/>
    <s v="BELUX "/>
    <s v="RENKSAN"/>
    <x v="456"/>
    <s v="BAGS"/>
    <s v="SENSITIVE"/>
    <s v="72"/>
    <n v="10.5024"/>
    <n v="1.2988"/>
    <n v="0.38090000000000002"/>
    <n v="626.13580000000002"/>
    <n v="67.750100000000003"/>
    <n v="17.785299999999999"/>
    <n v="12.1821"/>
    <n v="-0.87633302864107254"/>
    <n v="-0.89179647609991319"/>
    <n v="1.5463447458840651E-2"/>
    <m/>
  </r>
  <r>
    <x v="84"/>
    <s v="SECKIN "/>
    <s v="RENKSAN"/>
    <x v="457"/>
    <s v="BAGS"/>
    <s v="PH BALANCED"/>
    <s v="102"/>
    <n v="1.4174"/>
    <n v="2.3006000000000002"/>
    <n v="0"/>
    <n v="78.384500000000003"/>
    <n v="113.29300000000001"/>
    <n v="0"/>
    <n v="3.718"/>
    <n v="0.62311274163962194"/>
    <n v="0.44534952701108005"/>
    <n v="0.17776321462854189"/>
    <m/>
  </r>
  <r>
    <x v="85"/>
    <s v="SOFT CARE "/>
    <s v="SANO LTD"/>
    <x v="458"/>
    <s v="BAGS"/>
    <s v="HYPOALLERGENIC"/>
    <s v="72"/>
    <n v="2.9096000000000002"/>
    <n v="6.0198"/>
    <n v="5.5109000000000004"/>
    <n v="55.366500000000002"/>
    <n v="108.4705"/>
    <n v="98.710099999999997"/>
    <n v="14.440300000000001"/>
    <n v="1.0689441847676655"/>
    <n v="0.95913593960246712"/>
    <n v="0.10980824516519838"/>
    <m/>
  </r>
  <r>
    <x v="86"/>
    <s v="HOPS "/>
    <s v="SAPRO TEMIZLIK"/>
    <x v="459"/>
    <s v="BAGS"/>
    <s v="PH BALANCED"/>
    <s v="72"/>
    <n v="0"/>
    <n v="0"/>
    <n v="9.1999999999999998E-3"/>
    <n v="0"/>
    <n v="0"/>
    <n v="0.30320000000000003"/>
    <n v="9.1999999999999998E-3"/>
    <n v="0"/>
    <n v="0"/>
    <n v="0"/>
    <m/>
  </r>
  <r>
    <x v="87"/>
    <s v="MAXIMENS "/>
    <s v="SARIHAN TEMIZLIK"/>
    <x v="460"/>
    <s v="BAGS"/>
    <s v="PH BALANCED"/>
    <s v="72"/>
    <n v="0"/>
    <n v="0"/>
    <n v="0"/>
    <n v="0"/>
    <n v="0"/>
    <n v="0"/>
    <n v="0"/>
    <n v="0"/>
    <n v="0"/>
    <n v="0"/>
    <m/>
  </r>
  <r>
    <x v="88"/>
    <s v="DOCTOR "/>
    <s v="SC EUROPACK MEDIA SRL"/>
    <x v="461"/>
    <s v="BAGS"/>
    <s v="PH BALANCED"/>
    <s v="60"/>
    <n v="0.35610000000000003"/>
    <n v="0"/>
    <n v="0"/>
    <n v="5.6227"/>
    <n v="0"/>
    <n v="0"/>
    <n v="0.35610000000000003"/>
    <n v="-1"/>
    <n v="-1"/>
    <n v="0"/>
    <m/>
  </r>
  <r>
    <x v="88"/>
    <s v="DOCTOR "/>
    <s v="SC EUROPACK MEDIA SRL"/>
    <x v="462"/>
    <s v="BAGS"/>
    <s v="WITHOUT EXTRA PROTECTCARE INDICATION"/>
    <s v="72"/>
    <n v="1.3764000000000001"/>
    <n v="2.7699999999999999E-2"/>
    <n v="0"/>
    <n v="28.943100000000001"/>
    <n v="0.64290000000000003"/>
    <n v="0"/>
    <n v="1.4041000000000001"/>
    <n v="-0.97987503632664918"/>
    <n v="-0.97778745193154837"/>
    <n v="-2.0875843951008166E-3"/>
    <m/>
  </r>
  <r>
    <x v="88"/>
    <s v="MEDPROFFESIONAL "/>
    <s v="SC EUROPACK MEDIA SRL"/>
    <x v="463"/>
    <s v="BAGS"/>
    <s v="ALCOHOL FREE"/>
    <s v="24"/>
    <n v="6.7664999999999997"/>
    <n v="0.54779999999999995"/>
    <n v="0"/>
    <n v="162.6651"/>
    <n v="12.7288"/>
    <n v="0"/>
    <n v="7.3142999999999994"/>
    <n v="-0.91904234094435833"/>
    <n v="-0.92174842667542078"/>
    <n v="2.7060857310624575E-3"/>
    <m/>
  </r>
  <r>
    <x v="88"/>
    <s v="MEDPROFFESIONAL "/>
    <s v="SC EUROPACK MEDIA SRL"/>
    <x v="464"/>
    <s v="BAGS"/>
    <s v="ALCOHOL FREE"/>
    <s v="60"/>
    <n v="14.513400000000001"/>
    <n v="11.551399999999999"/>
    <n v="8.6715"/>
    <n v="383.46769999999998"/>
    <n v="307.81580000000002"/>
    <n v="255.3304"/>
    <n v="34.7363"/>
    <n v="-0.2040872572932601"/>
    <n v="-0.19728363040746316"/>
    <n v="-6.8036268857969429E-3"/>
    <m/>
  </r>
  <r>
    <x v="88"/>
    <s v="MEDPROFFESIONAL "/>
    <s v="SC EUROPACK MEDIA SRL"/>
    <x v="465"/>
    <s v="BAGS"/>
    <s v="ALCOHOL FREE"/>
    <s v="60"/>
    <n v="17.654699999999998"/>
    <n v="12.539"/>
    <n v="4.6113"/>
    <n v="482.61590000000001"/>
    <n v="340.10579999999999"/>
    <n v="153.12389999999999"/>
    <n v="34.805"/>
    <n v="-0.28976419876859982"/>
    <n v="-0.29528679017827641"/>
    <n v="5.5225914096765916E-3"/>
    <m/>
  </r>
  <r>
    <x v="88"/>
    <s v="SPRING LINE "/>
    <s v="SC EUROPACK MEDIA SRL"/>
    <x v="466"/>
    <s v="BAGS"/>
    <s v="WITHOUT EXTRA PROTECTCARE INDICATION"/>
    <s v="120"/>
    <n v="20.231999999999999"/>
    <n v="11.313700000000001"/>
    <n v="0"/>
    <n v="583.67819999999995"/>
    <n v="345.19709999999998"/>
    <n v="0"/>
    <n v="31.5457"/>
    <n v="-0.44080170027678917"/>
    <n v="-0.40858318847611574"/>
    <n v="-3.2218511800673422E-2"/>
    <m/>
  </r>
  <r>
    <x v="88"/>
    <s v="SPRING LINE "/>
    <s v="SC EUROPACK MEDIA SRL"/>
    <x v="467"/>
    <s v="BAGS"/>
    <s v="PH BALANCED"/>
    <s v="72"/>
    <n v="0"/>
    <n v="0"/>
    <n v="0"/>
    <n v="0"/>
    <n v="0"/>
    <n v="0"/>
    <n v="0"/>
    <n v="0"/>
    <n v="0"/>
    <n v="0"/>
    <m/>
  </r>
  <r>
    <x v="89"/>
    <s v="GIAN "/>
    <s v="SCK ZETA COMPANY"/>
    <x v="468"/>
    <s v="BAGS"/>
    <s v="PH BALANCED"/>
    <s v="120"/>
    <n v="0"/>
    <n v="20.586300000000001"/>
    <n v="29.262499999999999"/>
    <n v="0"/>
    <n v="1265.0245"/>
    <n v="1657.2372"/>
    <n v="49.848799999999997"/>
    <n v="0"/>
    <n v="0"/>
    <n v="0"/>
    <m/>
  </r>
  <r>
    <x v="89"/>
    <s v="GIAN "/>
    <s v="SCK ZETA COMPANY"/>
    <x v="469"/>
    <s v="BAGS"/>
    <s v="PH BALANCED"/>
    <s v="72"/>
    <n v="26.3474"/>
    <n v="52.005499999999998"/>
    <n v="32.744900000000001"/>
    <n v="920.46799999999996"/>
    <n v="1819.1769999999999"/>
    <n v="1062.7058999999999"/>
    <n v="111.09780000000001"/>
    <n v="0.9738380257634528"/>
    <n v="0.97636093813147229"/>
    <n v="-2.522912368019492E-3"/>
    <m/>
  </r>
  <r>
    <x v="90"/>
    <s v="SEBAMED "/>
    <s v="SEBAPHARMA"/>
    <x v="470"/>
    <s v="BAGS"/>
    <s v="WITHOUT EXTRA PROTECTCARE INDICATION"/>
    <s v="72"/>
    <n v="0.1701"/>
    <n v="0.71989999999999998"/>
    <n v="4.9299999999999997E-2"/>
    <n v="1.008"/>
    <n v="3.8765000000000001"/>
    <n v="0.28799999999999998"/>
    <n v="0.93930000000000002"/>
    <n v="3.2322163433274542"/>
    <n v="2.845734126984127"/>
    <n v="0.38648221634332725"/>
    <m/>
  </r>
  <r>
    <x v="90"/>
    <s v="SEBAMED "/>
    <s v="SEBAPHARMA"/>
    <x v="471"/>
    <s v="BOX"/>
    <s v="WITHOUT EXTRA PROTECTCARE INDICATION"/>
    <s v="70"/>
    <n v="0.8034"/>
    <n v="0.64690000000000003"/>
    <n v="0.2069"/>
    <n v="3.92"/>
    <n v="3.48"/>
    <n v="1.1399999999999999"/>
    <n v="1.6572"/>
    <n v="-0.19479711227284038"/>
    <n v="-0.11224489795918366"/>
    <n v="-8.2552214313656724E-2"/>
    <m/>
  </r>
  <r>
    <x v="91"/>
    <s v="MAMMI "/>
    <s v="SEMA TREYD ODD"/>
    <x v="472"/>
    <s v="BAGS"/>
    <s v="PH BALANCED"/>
    <s v="72"/>
    <n v="16.393699999999999"/>
    <n v="13.5199"/>
    <n v="5.5843999999999996"/>
    <n v="841.14940000000001"/>
    <n v="693.07759999999996"/>
    <n v="305.17070000000001"/>
    <n v="35.497999999999998"/>
    <n v="-0.17529904780494943"/>
    <n v="-0.17603507771627733"/>
    <n v="7.3602991132790119E-4"/>
    <m/>
  </r>
  <r>
    <x v="91"/>
    <s v="MAMMI "/>
    <s v="SEMA TREYD ODD"/>
    <x v="473"/>
    <s v="BAGS"/>
    <s v="PH BALANCED"/>
    <s v="72"/>
    <n v="2.1175000000000002"/>
    <n v="0.66620000000000001"/>
    <n v="0"/>
    <n v="137.34479999999999"/>
    <n v="41.348700000000001"/>
    <n v="0"/>
    <n v="2.7837000000000001"/>
    <n v="-0.68538370720188913"/>
    <n v="-0.6989423698603805"/>
    <n v="1.3558662658491372E-2"/>
    <m/>
  </r>
  <r>
    <x v="79"/>
    <s v="ASALI "/>
    <s v="SEPA MENSUCAT"/>
    <x v="474"/>
    <s v="BAGS"/>
    <s v="PH BALANCED"/>
    <s v="120"/>
    <n v="1.9984999999999999"/>
    <n v="3.2300000000000002E-2"/>
    <n v="0"/>
    <n v="141.71469999999999"/>
    <n v="1.9971000000000001"/>
    <n v="0"/>
    <n v="2.0308000000000002"/>
    <n v="-0.98383787840880665"/>
    <n v="-0.98590760168140645"/>
    <n v="2.0697232725997994E-3"/>
    <m/>
  </r>
  <r>
    <x v="79"/>
    <s v="COTTON SOFT "/>
    <s v="SEPA MENSUCAT"/>
    <x v="475"/>
    <s v="BAGS"/>
    <s v="ALCOHOL FREE"/>
    <s v="100"/>
    <n v="136.17420000000001"/>
    <n v="152.24180000000001"/>
    <n v="70.924899999999994"/>
    <n v="7155.8876"/>
    <n v="7606.2596000000003"/>
    <n v="3236.7058000000002"/>
    <n v="359.34090000000003"/>
    <n v="0.11799298251798063"/>
    <n v="6.2937265811721294E-2"/>
    <n v="5.5055716706259333E-2"/>
    <m/>
  </r>
  <r>
    <x v="4"/>
    <s v="PAMPERS "/>
    <s v="PROCTER &amp; GAMBLE"/>
    <x v="476"/>
    <s v="BAGS"/>
    <s v="ALCOHOL FREE"/>
    <s v="52"/>
    <n v="171.4581"/>
    <n v="146.56880000000001"/>
    <n v="94.527100000000004"/>
    <n v="5827.8176999999996"/>
    <n v="5036.4476000000004"/>
    <n v="3121.8564000000001"/>
    <n v="412.55400000000003"/>
    <n v="-0.14516257907908692"/>
    <n v="-0.13579184194454114"/>
    <n v="-9.3707371345457813E-3"/>
    <m/>
  </r>
  <r>
    <x v="79"/>
    <s v="COTTON SOFT "/>
    <s v="SEPA MENSUCAT"/>
    <x v="477"/>
    <s v="BAGS"/>
    <s v="PH BALANCED"/>
    <s v="72"/>
    <n v="7.4499999999999997E-2"/>
    <n v="0"/>
    <n v="0"/>
    <n v="5.2851999999999997"/>
    <n v="0"/>
    <n v="0"/>
    <n v="7.4499999999999997E-2"/>
    <n v="-1"/>
    <n v="-1"/>
    <n v="0"/>
    <m/>
  </r>
  <r>
    <x v="79"/>
    <s v="COTTON SOFT "/>
    <s v="SEPA MENSUCAT"/>
    <x v="478"/>
    <s v="BAGS"/>
    <s v="WITHOUT EXTRA PROTECTCARE INDICATION"/>
    <s v="72"/>
    <n v="4.2912999999999997"/>
    <n v="3.2158000000000002"/>
    <n v="0.39529999999999998"/>
    <n v="253.55109999999999"/>
    <n v="179.24690000000001"/>
    <n v="19.092600000000001"/>
    <n v="7.9023999999999992"/>
    <n v="-0.25062335422832233"/>
    <n v="-0.29305414174894129"/>
    <n v="4.2430787520618962E-2"/>
    <m/>
  </r>
  <r>
    <x v="79"/>
    <s v="ELVIM "/>
    <s v="SEPA MENSUCAT"/>
    <x v="479"/>
    <s v="BAGS"/>
    <s v="SENSITIVE"/>
    <s v="120"/>
    <n v="12.5473"/>
    <n v="21.5989"/>
    <n v="10.3498"/>
    <n v="734.85479999999995"/>
    <n v="1234.4389000000001"/>
    <n v="587.04769999999996"/>
    <n v="44.496000000000002"/>
    <n v="0.72139822910108153"/>
    <n v="0.67984056170008034"/>
    <n v="4.1557667401001197E-2"/>
    <m/>
  </r>
  <r>
    <x v="79"/>
    <s v="ELVIM "/>
    <s v="SEPA MENSUCAT"/>
    <x v="480"/>
    <s v="BAGS"/>
    <s v="SENSITIVE"/>
    <s v="70"/>
    <n v="0.68669999999999998"/>
    <n v="0"/>
    <n v="0"/>
    <n v="52.465899999999998"/>
    <n v="0"/>
    <n v="0"/>
    <n v="0.68669999999999998"/>
    <n v="-1"/>
    <n v="-1"/>
    <n v="0"/>
    <m/>
  </r>
  <r>
    <x v="79"/>
    <s v="ELVIM "/>
    <s v="SEPA MENSUCAT"/>
    <x v="481"/>
    <s v="BAGS"/>
    <s v="PH BALANCED"/>
    <s v="72"/>
    <n v="0"/>
    <n v="0"/>
    <n v="0"/>
    <n v="0"/>
    <n v="0"/>
    <n v="0"/>
    <n v="0"/>
    <n v="0"/>
    <n v="0"/>
    <n v="0"/>
    <m/>
  </r>
  <r>
    <x v="79"/>
    <s v="ELVIM "/>
    <s v="SEPA MENSUCAT"/>
    <x v="482"/>
    <s v="BAGS"/>
    <s v="SENSITIVE"/>
    <s v="72"/>
    <n v="37.213999999999999"/>
    <n v="7.2126999999999999"/>
    <n v="0"/>
    <n v="2501.2190000000001"/>
    <n v="451.55340000000001"/>
    <n v="0"/>
    <n v="44.426699999999997"/>
    <n v="-0.80618315687644437"/>
    <n v="-0.81946666805265767"/>
    <n v="1.3283511176213292E-2"/>
    <m/>
  </r>
  <r>
    <x v="79"/>
    <s v="ELVIM "/>
    <s v="SEPA MENSUCAT"/>
    <x v="483"/>
    <s v="BAGS"/>
    <s v="SENSITIVE"/>
    <s v="90"/>
    <n v="2.7111999999999998"/>
    <n v="0"/>
    <n v="0"/>
    <n v="136.8194"/>
    <n v="0"/>
    <n v="0"/>
    <n v="2.7111999999999998"/>
    <n v="-1"/>
    <n v="-1"/>
    <n v="0"/>
    <m/>
  </r>
  <r>
    <x v="79"/>
    <s v="FLAMINGO "/>
    <s v="SEPA MENSUCAT"/>
    <x v="484"/>
    <s v="BAGS"/>
    <s v="SENSITIVE"/>
    <s v="70"/>
    <n v="0"/>
    <n v="19.032699999999998"/>
    <n v="19.713699999999999"/>
    <n v="0"/>
    <n v="1111.0531000000001"/>
    <n v="1063.3096"/>
    <n v="38.746399999999994"/>
    <n v="0"/>
    <n v="0"/>
    <n v="0"/>
    <m/>
  </r>
  <r>
    <x v="79"/>
    <s v="INCI "/>
    <s v="SEPA MENSUCAT"/>
    <x v="485"/>
    <s v="BAGS"/>
    <s v="ALCOHOL FREE"/>
    <s v="100"/>
    <n v="1.0042"/>
    <n v="0"/>
    <n v="0"/>
    <n v="76.638000000000005"/>
    <n v="0"/>
    <n v="0"/>
    <n v="1.0042"/>
    <n v="-1"/>
    <n v="-1"/>
    <n v="0"/>
    <m/>
  </r>
  <r>
    <x v="79"/>
    <s v="COTTON SOFT "/>
    <s v="SEPA MENSUCAT"/>
    <x v="486"/>
    <s v="BAGS"/>
    <s v="PH BALANCED"/>
    <s v="120"/>
    <n v="166.38550000000001"/>
    <n v="154.19909999999999"/>
    <n v="78.409199999999998"/>
    <n v="8805.9477000000006"/>
    <n v="8032.0802000000003"/>
    <n v="3983.7687000000001"/>
    <n v="398.99380000000002"/>
    <n v="-7.3241959185145464E-2"/>
    <n v="-8.7880092678724431E-2"/>
    <n v="1.4638133493578967E-2"/>
    <m/>
  </r>
  <r>
    <x v="79"/>
    <s v="INCI "/>
    <s v="SEPA MENSUCAT"/>
    <x v="487"/>
    <s v="BAGS"/>
    <s v="ALCOHOL FREE"/>
    <s v="144"/>
    <n v="15.856"/>
    <n v="22.015000000000001"/>
    <n v="3.4060000000000001"/>
    <n v="1023.9475"/>
    <n v="1391.8684000000001"/>
    <n v="229.50649999999999"/>
    <n v="41.277000000000001"/>
    <n v="0.38843340060544906"/>
    <n v="0.3593161758781579"/>
    <n v="2.9117224727291169E-2"/>
    <m/>
  </r>
  <r>
    <x v="79"/>
    <s v="INCI "/>
    <s v="SEPA MENSUCAT"/>
    <x v="488"/>
    <s v="BAGS"/>
    <s v="PH BALANCED"/>
    <s v="60"/>
    <n v="0"/>
    <n v="0"/>
    <n v="0.28920000000000001"/>
    <n v="0"/>
    <n v="0"/>
    <n v="17.3521"/>
    <n v="0.28920000000000001"/>
    <n v="0"/>
    <n v="0"/>
    <n v="0"/>
    <m/>
  </r>
  <r>
    <x v="79"/>
    <s v="INCI "/>
    <s v="SEPA MENSUCAT"/>
    <x v="489"/>
    <s v="BAGS"/>
    <s v="PH BALANCED"/>
    <s v="72"/>
    <n v="2.5535999999999999"/>
    <n v="3.8500999999999999"/>
    <n v="0.82650000000000001"/>
    <n v="126.3817"/>
    <n v="174.249"/>
    <n v="46.762"/>
    <n v="7.2302"/>
    <n v="0.50771459899749372"/>
    <n v="0.37875182878533842"/>
    <n v="0.1289627702121553"/>
    <m/>
  </r>
  <r>
    <x v="79"/>
    <s v="INCI "/>
    <s v="SEPA MENSUCAT"/>
    <x v="490"/>
    <s v="BAGS"/>
    <s v="PH BALANCED"/>
    <s v="72"/>
    <n v="0"/>
    <n v="0.25659999999999999"/>
    <n v="0"/>
    <n v="0"/>
    <n v="13.196899999999999"/>
    <n v="0"/>
    <n v="0.25659999999999999"/>
    <n v="0"/>
    <n v="0"/>
    <n v="0"/>
    <m/>
  </r>
  <r>
    <x v="92"/>
    <s v="SEPTONA "/>
    <s v="SEPTONA SA"/>
    <x v="491"/>
    <s v="BAGS"/>
    <s v="ALCOHOL FREE"/>
    <s v="12"/>
    <n v="0"/>
    <n v="0.5504"/>
    <n v="0.74670000000000003"/>
    <n v="0"/>
    <n v="6.7556000000000003"/>
    <n v="9.0073000000000008"/>
    <n v="1.2970999999999999"/>
    <n v="0"/>
    <n v="0"/>
    <n v="0"/>
    <m/>
  </r>
  <r>
    <x v="92"/>
    <s v="SEPTONA "/>
    <s v="SEPTONA SA"/>
    <x v="492"/>
    <s v="BAGS"/>
    <s v="ALCOHOL FREE"/>
    <s v="20"/>
    <n v="4.7511999999999999"/>
    <n v="3.7549000000000001"/>
    <n v="1.1405000000000001"/>
    <n v="70.328999999999994"/>
    <n v="55.465600000000002"/>
    <n v="16.475899999999999"/>
    <n v="9.6465999999999994"/>
    <n v="-0.20969439299545373"/>
    <n v="-0.21134098309374502"/>
    <n v="1.6465900982912951E-3"/>
    <m/>
  </r>
  <r>
    <x v="92"/>
    <s v="SEPTONA "/>
    <s v="SEPTONA SA"/>
    <x v="493"/>
    <s v="BAGS"/>
    <s v="WITHOUT EXTRA PROTECTCARE INDICATION"/>
    <s v="20"/>
    <n v="1.23E-2"/>
    <n v="2.7799999999999998E-2"/>
    <n v="0"/>
    <n v="0.18"/>
    <n v="0.46179999999999999"/>
    <n v="0"/>
    <n v="4.0099999999999997E-2"/>
    <n v="1.2601626016260161"/>
    <n v="1.5655555555555556"/>
    <n v="-0.30539295392953947"/>
    <m/>
  </r>
  <r>
    <x v="92"/>
    <s v="SEPTONA "/>
    <s v="SEPTONA SA"/>
    <x v="494"/>
    <s v="BAGS"/>
    <s v="SENSITIVE"/>
    <s v="20"/>
    <n v="11.1968"/>
    <n v="6.3734000000000002"/>
    <n v="1.3038000000000001"/>
    <n v="170.3914"/>
    <n v="94.576999999999998"/>
    <n v="19.252400000000002"/>
    <n v="18.873999999999999"/>
    <n v="-0.43078379537010569"/>
    <n v="-0.44494264381887821"/>
    <n v="1.4158848448772521E-2"/>
    <m/>
  </r>
  <r>
    <x v="92"/>
    <s v="SEPTONA "/>
    <s v="SEPTONA SA"/>
    <x v="495"/>
    <s v="BAGS"/>
    <s v="SENSITIVE"/>
    <s v="54"/>
    <n v="0"/>
    <n v="0.89970000000000006"/>
    <n v="2.4813999999999998"/>
    <n v="0"/>
    <n v="21.057300000000001"/>
    <n v="55.505499999999998"/>
    <n v="3.3811"/>
    <n v="0"/>
    <n v="0"/>
    <n v="0"/>
    <m/>
  </r>
  <r>
    <x v="92"/>
    <s v="SEPTONA "/>
    <s v="SEPTONA SA"/>
    <x v="496"/>
    <s v="BAGS"/>
    <s v="ALCOHOL FREE"/>
    <s v="57"/>
    <n v="2.3999999999999998E-3"/>
    <n v="0"/>
    <n v="0"/>
    <n v="5.7000000000000002E-2"/>
    <n v="0"/>
    <n v="0"/>
    <n v="2.3999999999999998E-3"/>
    <n v="-1"/>
    <n v="-1"/>
    <n v="0"/>
    <m/>
  </r>
  <r>
    <x v="92"/>
    <s v="SEPTONA "/>
    <s v="SEPTONA SA"/>
    <x v="497"/>
    <s v="BAGS"/>
    <s v="WITHOUT EXTRA PROTECTCARE INDICATION"/>
    <s v="64"/>
    <n v="0.22650000000000001"/>
    <n v="0"/>
    <n v="0"/>
    <n v="7.2465999999999999"/>
    <n v="0"/>
    <n v="0"/>
    <n v="0.22650000000000001"/>
    <n v="-1"/>
    <n v="-1"/>
    <n v="0"/>
    <m/>
  </r>
  <r>
    <x v="92"/>
    <s v="SEPTONA "/>
    <s v="SEPTONA SA"/>
    <x v="498"/>
    <s v="BAGS"/>
    <s v="PH BALANCED"/>
    <s v="64"/>
    <n v="0.74809999999999999"/>
    <n v="0"/>
    <n v="0"/>
    <n v="25.650500000000001"/>
    <n v="0"/>
    <n v="0"/>
    <n v="0.74809999999999999"/>
    <n v="-1"/>
    <n v="-1"/>
    <n v="0"/>
    <m/>
  </r>
  <r>
    <x v="92"/>
    <s v="SEPTONA "/>
    <s v="SEPTONA SA"/>
    <x v="499"/>
    <s v="BAGS"/>
    <s v="PH BALANCED"/>
    <s v="64"/>
    <n v="7.1352000000000002"/>
    <n v="0.98229999999999995"/>
    <n v="0.17499999999999999"/>
    <n v="199.79089999999999"/>
    <n v="31.398199999999999"/>
    <n v="5.5553999999999997"/>
    <n v="8.2925000000000004"/>
    <n v="-0.86233041820831935"/>
    <n v="-0.84284469412771046"/>
    <n v="-1.948572408060889E-2"/>
    <m/>
  </r>
  <r>
    <x v="92"/>
    <s v="SEPTONA "/>
    <s v="SEPTONA SA"/>
    <x v="500"/>
    <s v="BAGS"/>
    <s v="PH BALANCED"/>
    <s v="64"/>
    <n v="38.636499999999998"/>
    <n v="25.403500000000001"/>
    <n v="9.4920000000000009"/>
    <n v="1064.7156"/>
    <n v="712.85350000000005"/>
    <n v="244.268"/>
    <n v="73.531999999999996"/>
    <n v="-0.34249996764717294"/>
    <n v="-0.3304751991987343"/>
    <n v="-1.2024768448438639E-2"/>
    <m/>
  </r>
  <r>
    <x v="92"/>
    <s v="SEPTONA "/>
    <s v="SEPTONA SA"/>
    <x v="501"/>
    <s v="BAGS"/>
    <s v="SENSITIVE"/>
    <s v="64"/>
    <n v="0"/>
    <n v="0"/>
    <n v="0"/>
    <n v="0"/>
    <n v="0"/>
    <n v="0"/>
    <n v="0"/>
    <n v="0"/>
    <n v="0"/>
    <n v="0"/>
    <m/>
  </r>
  <r>
    <x v="92"/>
    <s v="SEPTONA "/>
    <s v="SEPTONA SA"/>
    <x v="502"/>
    <s v="BAGS"/>
    <s v="SENSITIVE"/>
    <s v="64"/>
    <n v="3.0739999999999998"/>
    <n v="0.314"/>
    <n v="6.4199999999999993E-2"/>
    <n v="79.571700000000007"/>
    <n v="7.3994999999999997"/>
    <n v="1.5809"/>
    <n v="3.4521999999999999"/>
    <n v="-0.89785296031229667"/>
    <n v="-0.90700839620116191"/>
    <n v="9.1554358888652487E-3"/>
    <m/>
  </r>
  <r>
    <x v="92"/>
    <s v="SEPTONA "/>
    <s v="SEPTONA SA"/>
    <x v="503"/>
    <s v="BAGS"/>
    <s v="SENSITIVE"/>
    <s v="64"/>
    <n v="57.373899999999999"/>
    <n v="28.978999999999999"/>
    <n v="4.5244999999999997"/>
    <n v="1605.2121"/>
    <n v="798.29169999999999"/>
    <n v="128.11799999999999"/>
    <n v="90.877400000000009"/>
    <n v="-0.49490970632988174"/>
    <n v="-0.50268771335576157"/>
    <n v="7.7780070258798295E-3"/>
    <m/>
  </r>
  <r>
    <x v="92"/>
    <s v="SEPTONA "/>
    <s v="SEPTONA SA"/>
    <x v="504"/>
    <s v="BAGS"/>
    <s v="ALCOHOL FREE"/>
    <s v="72"/>
    <n v="0.84319999999999995"/>
    <n v="0"/>
    <n v="0"/>
    <n v="38.896500000000003"/>
    <n v="0"/>
    <n v="0"/>
    <n v="0.84319999999999995"/>
    <n v="-1"/>
    <n v="-1"/>
    <n v="0"/>
    <m/>
  </r>
  <r>
    <x v="92"/>
    <s v="SEPTONA "/>
    <s v="SEPTONA SA"/>
    <x v="505"/>
    <s v="BAGS"/>
    <s v="ALCOHOL FREE"/>
    <s v="75"/>
    <n v="0.32700000000000001"/>
    <n v="7.9399999999999998E-2"/>
    <n v="0"/>
    <n v="8.1380999999999997"/>
    <n v="2.0009000000000001"/>
    <n v="0"/>
    <n v="0.40639999999999998"/>
    <n v="-0.75718654434250765"/>
    <n v="-0.75413179980585154"/>
    <n v="-3.0547445366561066E-3"/>
    <m/>
  </r>
  <r>
    <x v="92"/>
    <s v="SEPTONA "/>
    <s v="SEPTONA SA"/>
    <x v="506"/>
    <s v="BAGS"/>
    <s v="ALCOHOL FREE"/>
    <s v="80"/>
    <n v="30.607399999999998"/>
    <n v="87.617999999999995"/>
    <n v="25.586099999999998"/>
    <n v="1468.2443000000001"/>
    <n v="4062.0709999999999"/>
    <n v="1119.9051999999999"/>
    <n v="143.8115"/>
    <n v="1.8626410606585335"/>
    <n v="1.7666179259132826"/>
    <n v="9.6023134745250927E-2"/>
    <m/>
  </r>
  <r>
    <x v="93"/>
    <s v="IASSMIN "/>
    <s v="SEVIMLER"/>
    <x v="507"/>
    <s v="BAGS"/>
    <s v="PH BALANCED"/>
    <s v="72"/>
    <n v="0.26200000000000001"/>
    <n v="0.1656"/>
    <n v="0"/>
    <n v="18.860299999999999"/>
    <n v="11.920500000000001"/>
    <n v="0"/>
    <n v="0.42759999999999998"/>
    <n v="-0.36793893129770994"/>
    <n v="-0.36795809186492257"/>
    <n v="1.9160567212628266E-5"/>
    <m/>
  </r>
  <r>
    <x v="93"/>
    <s v="JUNIOR &amp; TOMMY "/>
    <s v="SEVIMLER"/>
    <x v="508"/>
    <s v="BAGS"/>
    <s v="SENSITIVE"/>
    <s v="120"/>
    <n v="8.2482000000000006"/>
    <n v="0.97330000000000005"/>
    <n v="0"/>
    <n v="505.78250000000003"/>
    <n v="58.400799999999997"/>
    <n v="0"/>
    <n v="9.2215000000000007"/>
    <n v="-0.8819984966416915"/>
    <n v="-0.88453376698482056"/>
    <n v="2.5352703431290591E-3"/>
    <m/>
  </r>
  <r>
    <x v="93"/>
    <s v="JUNIOR &amp; TOMMY "/>
    <s v="SEVIMLER"/>
    <x v="509"/>
    <s v="BAGS"/>
    <s v="SENSITIVE"/>
    <s v="72"/>
    <n v="0"/>
    <n v="0"/>
    <n v="0"/>
    <n v="0"/>
    <n v="0"/>
    <n v="0"/>
    <n v="0"/>
    <n v="0"/>
    <n v="0"/>
    <n v="0"/>
    <m/>
  </r>
  <r>
    <x v="93"/>
    <s v="JUNIOR &amp; TOMMY "/>
    <s v="SEVIMLER"/>
    <x v="510"/>
    <s v="BAGS"/>
    <s v="SENSITIVE"/>
    <s v="72"/>
    <n v="0"/>
    <n v="0"/>
    <n v="0"/>
    <n v="0"/>
    <n v="0"/>
    <n v="0"/>
    <n v="0"/>
    <n v="0"/>
    <n v="0"/>
    <n v="0"/>
    <m/>
  </r>
  <r>
    <x v="93"/>
    <s v="LADY FRESH "/>
    <s v="SEVIMLER"/>
    <x v="511"/>
    <s v="BAGS"/>
    <s v="ALCOHOL FREE"/>
    <s v="100"/>
    <n v="0"/>
    <n v="0"/>
    <n v="0"/>
    <n v="0"/>
    <n v="0"/>
    <n v="0"/>
    <n v="0"/>
    <n v="0"/>
    <n v="0"/>
    <n v="0"/>
    <m/>
  </r>
  <r>
    <x v="93"/>
    <s v="NIK &amp; SI "/>
    <s v="SEVIMLER"/>
    <x v="512"/>
    <s v="BAGS"/>
    <s v="PH BALANCED"/>
    <s v="72"/>
    <n v="0"/>
    <n v="0"/>
    <n v="0"/>
    <n v="0"/>
    <n v="0"/>
    <n v="0"/>
    <n v="0"/>
    <n v="0"/>
    <n v="0"/>
    <n v="0"/>
    <m/>
  </r>
  <r>
    <x v="93"/>
    <s v="NIKI "/>
    <s v="SEVIMLER"/>
    <x v="513"/>
    <s v="BAGS"/>
    <s v="ALCOHOL FREE"/>
    <s v="120"/>
    <n v="5.7763"/>
    <n v="9.2917000000000005"/>
    <n v="0.95250000000000001"/>
    <n v="311.05720000000002"/>
    <n v="539.97619999999995"/>
    <n v="61.781700000000001"/>
    <n v="16.020500000000002"/>
    <n v="0.60859027405086308"/>
    <n v="0.73593859907438219"/>
    <n v="-0.12734832502351912"/>
    <m/>
  </r>
  <r>
    <x v="93"/>
    <s v="PEPINO "/>
    <s v="SEVIMLER"/>
    <x v="514"/>
    <s v="BAGS"/>
    <s v="PH BALANCED"/>
    <s v="100"/>
    <n v="55.7286"/>
    <n v="53.311300000000003"/>
    <n v="19.850100000000001"/>
    <n v="3644.6801999999998"/>
    <n v="3675.9913999999999"/>
    <n v="1253.7541000000001"/>
    <n v="128.89000000000001"/>
    <n v="-4.3376291527151181E-2"/>
    <n v="8.5909320658641326E-3"/>
    <n v="-5.196722359301531E-2"/>
    <m/>
  </r>
  <r>
    <x v="93"/>
    <s v="PEPINO "/>
    <s v="SEVIMLER"/>
    <x v="515"/>
    <s v="BAGS"/>
    <s v="ALCOHOL FREE"/>
    <s v="120"/>
    <n v="0"/>
    <n v="4.4955999999999996"/>
    <n v="0"/>
    <n v="0"/>
    <n v="365.2654"/>
    <n v="0"/>
    <n v="4.4955999999999996"/>
    <n v="0"/>
    <n v="0"/>
    <n v="0"/>
    <m/>
  </r>
  <r>
    <x v="93"/>
    <s v="PEPINO "/>
    <s v="SEVIMLER"/>
    <x v="516"/>
    <s v="BAGS"/>
    <s v="PH BALANCED"/>
    <s v="70"/>
    <n v="5.5199999999999999E-2"/>
    <n v="0"/>
    <n v="0"/>
    <n v="3.36"/>
    <n v="0"/>
    <n v="0"/>
    <n v="5.5199999999999999E-2"/>
    <n v="-1"/>
    <n v="-1"/>
    <n v="0"/>
    <m/>
  </r>
  <r>
    <x v="93"/>
    <s v="RENKLI "/>
    <s v="SEVIMLER"/>
    <x v="517"/>
    <s v="BAGS"/>
    <s v="PH BALANCED"/>
    <s v="120"/>
    <n v="5.3959999999999999"/>
    <n v="7.0095999999999998"/>
    <n v="3.0608"/>
    <n v="290.08819999999997"/>
    <n v="393.84969999999998"/>
    <n v="158.0343"/>
    <n v="15.4664"/>
    <n v="0.29903632320237211"/>
    <n v="0.35768948892095587"/>
    <n v="-5.8653165718583755E-2"/>
    <m/>
  </r>
  <r>
    <x v="93"/>
    <s v="RENKLI "/>
    <s v="SEVIMLER"/>
    <x v="518"/>
    <s v="BAGS"/>
    <s v="ALCOHOL FREE"/>
    <s v="130"/>
    <n v="39.775100000000002"/>
    <n v="29.160399999999999"/>
    <n v="6.0876999999999999"/>
    <n v="2342.4566"/>
    <n v="1534.7882999999999"/>
    <n v="287.5865"/>
    <n v="75.023200000000003"/>
    <n v="-0.26686796513396577"/>
    <n v="-0.34479541691402099"/>
    <n v="7.7927451780055224E-2"/>
    <m/>
  </r>
  <r>
    <x v="93"/>
    <s v="RENKLI "/>
    <s v="SEVIMLER"/>
    <x v="519"/>
    <s v="BAGS"/>
    <s v="PH BALANCED"/>
    <s v="72"/>
    <n v="73.361099999999993"/>
    <n v="57.603700000000003"/>
    <n v="12.2355"/>
    <n v="4307.2969000000003"/>
    <n v="3235.6705999999999"/>
    <n v="650.06870000000004"/>
    <n v="143.2003"/>
    <n v="-0.21479230818512796"/>
    <n v="-0.24879322806839721"/>
    <n v="3.4000919883269254E-2"/>
    <m/>
  </r>
  <r>
    <x v="93"/>
    <s v="RENKLI "/>
    <s v="SEVIMLER"/>
    <x v="520"/>
    <s v="BAGS"/>
    <s v="PH BALANCED"/>
    <s v="72"/>
    <n v="7.6637000000000004"/>
    <n v="5.7187999999999999"/>
    <n v="3.4293999999999998"/>
    <n v="412.75630000000001"/>
    <n v="314.68810000000002"/>
    <n v="185.42320000000001"/>
    <n v="16.811900000000001"/>
    <n v="-0.25378081083549725"/>
    <n v="-0.23759346616877802"/>
    <n v="-1.6187344666719228E-2"/>
    <m/>
  </r>
  <r>
    <x v="93"/>
    <s v="RENKLI "/>
    <s v="SEVIMLER"/>
    <x v="521"/>
    <s v="BAGS"/>
    <s v="PH BALANCED"/>
    <s v="72"/>
    <n v="97.800700000000006"/>
    <n v="61.680799999999998"/>
    <n v="23.825800000000001"/>
    <n v="4426.3535000000002"/>
    <n v="2861.6763999999998"/>
    <n v="975.65369999999996"/>
    <n v="183.3073"/>
    <n v="-0.36932148747401611"/>
    <n v="-0.35349122025613189"/>
    <n v="-1.583026721788422E-2"/>
    <m/>
  </r>
  <r>
    <x v="93"/>
    <s v="RENKLI "/>
    <s v="SEVIMLER"/>
    <x v="522"/>
    <s v="BAGS"/>
    <s v="PH BALANCED"/>
    <s v="80"/>
    <n v="137.74010000000001"/>
    <n v="71.2029"/>
    <n v="36.735799999999998"/>
    <n v="9592.0316999999995"/>
    <n v="4713.7775000000001"/>
    <n v="2155.8667"/>
    <n v="245.67880000000002"/>
    <n v="-0.48306339257776065"/>
    <n v="-0.50857361115685218"/>
    <n v="2.5510218579091526E-2"/>
    <m/>
  </r>
  <r>
    <x v="93"/>
    <s v="RENKLI "/>
    <s v="SEVIMLER"/>
    <x v="523"/>
    <s v="BAGS"/>
    <s v="ALCOHOL FREE"/>
    <s v="80"/>
    <n v="34.508099999999999"/>
    <n v="21.348800000000001"/>
    <n v="13.753299999999999"/>
    <n v="2073.3334"/>
    <n v="1342.2397000000001"/>
    <n v="736.28099999999995"/>
    <n v="69.610199999999992"/>
    <n v="-0.38133945363552324"/>
    <n v="-0.35261752885474179"/>
    <n v="-2.8721924780781449E-2"/>
    <m/>
  </r>
  <r>
    <x v="93"/>
    <s v="SEMI "/>
    <s v="SEVIMLER"/>
    <x v="524"/>
    <s v="BAGS"/>
    <s v="PH BALANCED"/>
    <s v="72"/>
    <n v="0"/>
    <n v="0"/>
    <n v="0"/>
    <n v="0"/>
    <n v="0"/>
    <n v="0"/>
    <n v="0"/>
    <n v="0"/>
    <n v="0"/>
    <n v="0"/>
    <m/>
  </r>
  <r>
    <x v="93"/>
    <s v="SWEET "/>
    <s v="SEVIMLER"/>
    <x v="525"/>
    <s v="BAGS"/>
    <s v="PH BALANCED"/>
    <s v="72"/>
    <n v="0"/>
    <n v="3.1300000000000001E-2"/>
    <n v="0"/>
    <n v="0"/>
    <n v="1.2579"/>
    <n v="0"/>
    <n v="3.1300000000000001E-2"/>
    <n v="0"/>
    <n v="0"/>
    <n v="0"/>
    <m/>
  </r>
  <r>
    <x v="94"/>
    <s v="FARMACOTONE "/>
    <s v="SISMA S.P.A."/>
    <x v="526"/>
    <s v="BAGS"/>
    <s v="SENSITIVE"/>
    <s v="60"/>
    <n v="7.7399999999999997E-2"/>
    <n v="0.20100000000000001"/>
    <n v="1.1599999999999999E-2"/>
    <n v="1.2943"/>
    <n v="3.8485999999999998"/>
    <n v="0.1971"/>
    <n v="0.28999999999999998"/>
    <n v="1.5968992248062017"/>
    <n v="1.9734991887506756"/>
    <n v="-0.37659996394447393"/>
    <m/>
  </r>
  <r>
    <x v="94"/>
    <s v="FARMACOTONE "/>
    <s v="SISMA S.P.A."/>
    <x v="527"/>
    <s v="BAGS"/>
    <s v="PH BALANCED"/>
    <s v="72"/>
    <n v="6.8400000000000002E-2"/>
    <n v="9.8500000000000004E-2"/>
    <n v="3.8800000000000001E-2"/>
    <n v="1.5943000000000001"/>
    <n v="2.7256999999999998"/>
    <n v="0.93600000000000005"/>
    <n v="0.20569999999999999"/>
    <n v="0.44005847953216376"/>
    <n v="0.70965313930878737"/>
    <n v="-0.26959465977662361"/>
    <m/>
  </r>
  <r>
    <x v="95"/>
    <s v="VOI "/>
    <s v="SMILE COSMETICS"/>
    <x v="528"/>
    <s v="BAGS"/>
    <s v="PH BALANCED"/>
    <s v="100"/>
    <n v="1.2095"/>
    <n v="0"/>
    <n v="0"/>
    <n v="58.601599999999998"/>
    <n v="0"/>
    <n v="0"/>
    <n v="1.2095"/>
    <n v="-1"/>
    <n v="-1"/>
    <n v="0"/>
    <m/>
  </r>
  <r>
    <x v="95"/>
    <s v="VOI "/>
    <s v="SMILE COSMETICS"/>
    <x v="529"/>
    <s v="BAGS"/>
    <s v="PH BALANCED"/>
    <s v="100"/>
    <n v="0"/>
    <n v="0"/>
    <n v="0"/>
    <n v="0"/>
    <n v="0"/>
    <n v="0"/>
    <n v="0"/>
    <n v="0"/>
    <n v="0"/>
    <n v="0"/>
    <m/>
  </r>
  <r>
    <x v="95"/>
    <s v="VOI "/>
    <s v="SMILE COSMETICS"/>
    <x v="530"/>
    <s v="BAGS"/>
    <s v="PH BALANCED"/>
    <s v="120"/>
    <n v="3.4049"/>
    <n v="0"/>
    <n v="0"/>
    <n v="181.5942"/>
    <n v="0"/>
    <n v="0"/>
    <n v="3.4049"/>
    <n v="-1"/>
    <n v="-1"/>
    <n v="0"/>
    <m/>
  </r>
  <r>
    <x v="95"/>
    <s v="VOI "/>
    <s v="SMILE COSMETICS"/>
    <x v="531"/>
    <s v="BAGS"/>
    <s v="PH BALANCED"/>
    <s v="72"/>
    <n v="0.27539999999999998"/>
    <n v="0"/>
    <n v="0"/>
    <n v="11.6632"/>
    <n v="0"/>
    <n v="0"/>
    <n v="0.27539999999999998"/>
    <n v="-1"/>
    <n v="-1"/>
    <n v="0"/>
    <m/>
  </r>
  <r>
    <x v="95"/>
    <s v="VOI "/>
    <s v="SMILE COSMETICS"/>
    <x v="532"/>
    <s v="BAGS"/>
    <s v="PH BALANCED"/>
    <s v="72"/>
    <n v="0.36249999999999999"/>
    <n v="0"/>
    <n v="0"/>
    <n v="17.400500000000001"/>
    <n v="0"/>
    <n v="0"/>
    <n v="0.36249999999999999"/>
    <n v="-1"/>
    <n v="-1"/>
    <n v="0"/>
    <m/>
  </r>
  <r>
    <x v="96"/>
    <s v="NATURAVERDE "/>
    <s v="SO.DI.CO - SOCIETA DISTRIBU"/>
    <x v="533"/>
    <s v="BAGS"/>
    <s v="WITHOUT EXTRA PROTECTCARE INDICATION"/>
    <s v="20"/>
    <n v="0"/>
    <n v="0"/>
    <n v="0"/>
    <n v="0"/>
    <n v="0"/>
    <n v="0"/>
    <n v="0"/>
    <n v="0"/>
    <n v="0"/>
    <n v="0"/>
    <m/>
  </r>
  <r>
    <x v="96"/>
    <s v="NATURAVERDE "/>
    <s v="SO.DI.CO - SOCIETA DISTRIBU"/>
    <x v="534"/>
    <s v="BAGS"/>
    <s v="WITHOUT EXTRA PROTECTCARE INDICATION"/>
    <s v="72"/>
    <n v="0"/>
    <n v="0"/>
    <n v="0"/>
    <n v="0"/>
    <n v="0"/>
    <n v="0"/>
    <n v="0"/>
    <n v="0"/>
    <n v="0"/>
    <n v="0"/>
    <m/>
  </r>
  <r>
    <x v="97"/>
    <s v="TOVA "/>
    <s v="STANQUEEN INVESTMENT"/>
    <x v="535"/>
    <s v="BAGS"/>
    <s v="PH BALANCED"/>
    <s v="120"/>
    <n v="0"/>
    <n v="0"/>
    <n v="3.1633"/>
    <n v="0"/>
    <n v="0"/>
    <n v="171.71680000000001"/>
    <n v="3.1633"/>
    <n v="0"/>
    <n v="0"/>
    <n v="0"/>
    <m/>
  </r>
  <r>
    <x v="98"/>
    <s v="ALVESTA "/>
    <s v="SWORDSON LTD"/>
    <x v="536"/>
    <s v="BAGS"/>
    <s v="PH BALANCED"/>
    <s v="120"/>
    <n v="0"/>
    <n v="10.313499999999999"/>
    <n v="10.635400000000001"/>
    <n v="0"/>
    <n v="475.9119"/>
    <n v="461.80500000000001"/>
    <n v="20.948900000000002"/>
    <n v="0"/>
    <n v="0"/>
    <n v="0"/>
    <m/>
  </r>
  <r>
    <x v="98"/>
    <s v="ALVESTA "/>
    <s v="SWORDSON LTD"/>
    <x v="537"/>
    <s v="BAGS"/>
    <s v="PH BALANCED"/>
    <s v="72"/>
    <n v="54.988799999999998"/>
    <n v="32.909799999999997"/>
    <n v="13.822900000000001"/>
    <n v="1994.8981000000001"/>
    <n v="1164.6792"/>
    <n v="463.84859999999998"/>
    <n v="101.72149999999999"/>
    <n v="-0.40151812732774678"/>
    <n v="-0.41617108162066024"/>
    <n v="1.4652954292913467E-2"/>
    <m/>
  </r>
  <r>
    <x v="98"/>
    <s v="MIS MAK "/>
    <s v="SWORDSON LTD"/>
    <x v="538"/>
    <s v="BAGS"/>
    <s v="PH BALANCED"/>
    <s v="72"/>
    <n v="0.1076"/>
    <n v="0.1249"/>
    <n v="7.1900000000000006E-2"/>
    <n v="5.5374999999999996"/>
    <n v="6.4203000000000001"/>
    <n v="3.698"/>
    <n v="0.3044"/>
    <n v="0.16078066914498138"/>
    <n v="0.15942212189616262"/>
    <n v="1.3585472488187589E-3"/>
    <m/>
  </r>
  <r>
    <x v="99"/>
    <s v="BIVY "/>
    <s v="TAHA KIMYA KOZMETIK"/>
    <x v="539"/>
    <s v="BAGS"/>
    <s v="ALCOHOL FREE"/>
    <s v="60"/>
    <n v="0.30349999999999999"/>
    <n v="7.7100000000000002E-2"/>
    <n v="0"/>
    <n v="10.7111"/>
    <n v="2.9864999999999999"/>
    <n v="0"/>
    <n v="0.38059999999999999"/>
    <n v="-0.74596375617792421"/>
    <n v="-0.72117709665673935"/>
    <n v="-2.4786659521184862E-2"/>
    <m/>
  </r>
  <r>
    <x v="99"/>
    <s v="BIVY "/>
    <s v="TAHA KIMYA KOZMETIK"/>
    <x v="540"/>
    <s v="BAGS"/>
    <s v="ALCOHOL FREE"/>
    <s v="72"/>
    <n v="34.620800000000003"/>
    <n v="13.6218"/>
    <n v="2.1793999999999998"/>
    <n v="2351.0409"/>
    <n v="917.37919999999997"/>
    <n v="151.65029999999999"/>
    <n v="50.422000000000004"/>
    <n v="-0.60654288751270913"/>
    <n v="-0.60979870660693314"/>
    <n v="3.2558190942240106E-3"/>
    <m/>
  </r>
  <r>
    <x v="100"/>
    <s v="DAISY "/>
    <s v="TEKSAN"/>
    <x v="541"/>
    <s v="BAGS"/>
    <s v="WITHOUT EXTRA PROTECTCARE INDICATION"/>
    <s v="120"/>
    <n v="0"/>
    <n v="0"/>
    <n v="1.9407000000000001"/>
    <n v="0"/>
    <n v="0"/>
    <n v="110.1146"/>
    <n v="1.9407000000000001"/>
    <n v="0"/>
    <n v="0"/>
    <n v="0"/>
    <m/>
  </r>
  <r>
    <x v="101"/>
    <s v="BEBECAN "/>
    <s v="TNCR GIDA"/>
    <x v="542"/>
    <s v="BAGS"/>
    <s v="PH BALANCED"/>
    <s v="72"/>
    <n v="2.0785999999999998"/>
    <n v="7.1199999999999999E-2"/>
    <n v="0"/>
    <n v="104.04649999999999"/>
    <n v="3.8216000000000001"/>
    <n v="0"/>
    <n v="2.1497999999999999"/>
    <n v="-0.96574617531030493"/>
    <n v="-0.96327026858183595"/>
    <n v="-2.4759067284689795E-3"/>
    <m/>
  </r>
  <r>
    <x v="102"/>
    <s v="HUGO BABY "/>
    <s v="TRUVA KOZMETIK"/>
    <x v="543"/>
    <s v="BAGS"/>
    <s v="ALCOHOL FREE"/>
    <s v="120"/>
    <n v="0"/>
    <n v="0"/>
    <n v="0.1532"/>
    <n v="0"/>
    <n v="0"/>
    <n v="9.1946999999999992"/>
    <n v="0.1532"/>
    <n v="0"/>
    <n v="0"/>
    <n v="0"/>
    <m/>
  </r>
  <r>
    <x v="102"/>
    <s v="PROSOFT "/>
    <s v="TRUVA KOZMETIK TIC"/>
    <x v="544"/>
    <s v="BAGS"/>
    <s v="ALCOHOL FREE"/>
    <s v="72"/>
    <n v="0"/>
    <n v="2.8000000000000001E-2"/>
    <n v="14.061199999999999"/>
    <n v="0"/>
    <n v="1.8513999999999999"/>
    <n v="850.57989999999995"/>
    <n v="14.0892"/>
    <n v="0"/>
    <n v="0"/>
    <n v="0"/>
    <m/>
  </r>
  <r>
    <x v="102"/>
    <s v="PROSOFT "/>
    <s v="TRUVA KOZMETIK TIC"/>
    <x v="545"/>
    <s v="BAGS"/>
    <s v="ALCOHOL FREE"/>
    <s v="72"/>
    <n v="0"/>
    <n v="3.1899999999999998E-2"/>
    <n v="8.1054999999999993"/>
    <n v="0"/>
    <n v="2.1086"/>
    <n v="502.96"/>
    <n v="8.1373999999999995"/>
    <n v="0"/>
    <n v="0"/>
    <n v="0"/>
    <m/>
  </r>
  <r>
    <x v="103"/>
    <s v="BAMBINO "/>
    <s v="ULTRA COSMETICS"/>
    <x v="546"/>
    <s v="BAGS"/>
    <s v="SENSITIVE"/>
    <s v="100"/>
    <n v="0"/>
    <n v="0"/>
    <n v="0"/>
    <n v="0"/>
    <n v="0"/>
    <n v="0"/>
    <n v="0"/>
    <n v="0"/>
    <n v="0"/>
    <n v="0"/>
    <m/>
  </r>
  <r>
    <x v="104"/>
    <s v="UNAC "/>
    <s v="UNAC GROUP KOZMETIK SAN."/>
    <x v="547"/>
    <s v="BAGS"/>
    <s v="ALCOHOL FREE"/>
    <s v="120"/>
    <n v="25.839099999999998"/>
    <n v="9.0121000000000002"/>
    <n v="10.0204"/>
    <n v="1539.4739"/>
    <n v="509.45670000000001"/>
    <n v="585.52229999999997"/>
    <n v="44.871600000000001"/>
    <n v="-0.65122237229624869"/>
    <n v="-0.66907090792510349"/>
    <n v="1.78485356288548E-2"/>
    <m/>
  </r>
  <r>
    <x v="105"/>
    <s v="DOVE "/>
    <s v="UNILEVER"/>
    <x v="548"/>
    <s v="BAGS"/>
    <s v="ALCOHOL FREE &amp; HYPOALLERGENIC"/>
    <s v="50"/>
    <n v="9.0969999999999995"/>
    <n v="13.0891"/>
    <n v="4.6460999999999997"/>
    <n v="134.3818"/>
    <n v="186.4109"/>
    <n v="56.316099999999999"/>
    <n v="26.8322"/>
    <n v="0.43883697922392007"/>
    <n v="0.38717370953507096"/>
    <n v="5.1663269688849101E-2"/>
    <m/>
  </r>
  <r>
    <x v="105"/>
    <s v="DOVE "/>
    <s v="UNILEVER"/>
    <x v="549"/>
    <s v="BAGS"/>
    <s v="SENSITIVE"/>
    <s v="50"/>
    <n v="10.3986"/>
    <n v="26.6724"/>
    <n v="21.6234"/>
    <n v="151.6679"/>
    <n v="465.6979"/>
    <n v="443.52179999999998"/>
    <n v="58.694400000000002"/>
    <n v="1.564999134498875"/>
    <n v="2.0705106354080196"/>
    <n v="-0.50551150090914465"/>
    <m/>
  </r>
  <r>
    <x v="106"/>
    <s v="BEBECAN "/>
    <s v="YESIL ILGAZ"/>
    <x v="550"/>
    <s v="BAGS"/>
    <s v="PH BALANCED"/>
    <s v="72"/>
    <n v="1.8396999999999999"/>
    <n v="4.3616000000000001"/>
    <n v="0"/>
    <n v="115.49760000000001"/>
    <n v="300.46589999999998"/>
    <n v="0"/>
    <n v="6.2012999999999998"/>
    <n v="1.3708213295646032"/>
    <n v="1.6014904205801677"/>
    <n v="-0.2306690910155644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68404C-AD28-4CBA-8279-65CFB2A83D67}" name="PivotTable_salesbymanufacturer" cacheId="2" applyNumberFormats="0" applyBorderFormats="0" applyFontFormats="0" applyPatternFormats="0" applyAlignmentFormats="0" applyWidthHeightFormats="1" dataCaption="Values" tag="c8bcb62e-f80e-4596-93f3-fa0df1342bea" updatedVersion="8" minRefreshableVersion="3" useAutoFormatting="1" subtotalHiddenItems="1" itemPrintTitles="1" createdVersion="8" indent="0" outline="1" outlineData="1" multipleFieldFilters="0" chartFormat="57">
  <location ref="A3:E9" firstHeaderRow="0" firstDataRow="1" firstDataCol="1"/>
  <pivotFields count="9">
    <pivotField axis="axisRow" allDrilled="1" subtotalTop="0" showAll="0" measureFilter="1" nonAutoSortDefault="1" defaultSubtotal="0" defaultAttributeDrillState="1">
      <items count="5">
        <item x="4"/>
        <item x="2"/>
        <item x="0"/>
        <item x="3"/>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dataFields count="4">
    <dataField name="Sum of Value 2022" fld="1" baseField="0" baseItem="0"/>
    <dataField name="Sum of Value 2023" fld="2" baseField="0" baseItem="0"/>
    <dataField name="Sum of Value YTD 2024" fld="3" baseField="0" baseItem="0"/>
    <dataField name="Sum of Total Value" fld="4" baseField="0" baseItem="0"/>
  </dataFields>
  <formats count="1">
    <format dxfId="120">
      <pivotArea dataOnly="0" labelOnly="1" fieldPosition="0">
        <references count="1">
          <reference field="0" count="0"/>
        </references>
      </pivotArea>
    </format>
  </formats>
  <conditionalFormats count="1">
    <conditionalFormat scope="field" priority="2">
      <pivotAreas count="1">
        <pivotArea outline="0" collapsedLevelsAreSubtotals="1" fieldPosition="0">
          <references count="2">
            <reference field="4294967294" count="1" selected="0">
              <x v="3"/>
            </reference>
            <reference field="0" count="0" selected="0"/>
          </references>
        </pivotArea>
      </pivotAreas>
    </conditionalFormat>
  </conditionalFormats>
  <chartFormats count="1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44" format="8" series="1">
      <pivotArea type="data" outline="0" fieldPosition="0">
        <references count="1">
          <reference field="4294967294" count="1" selected="0">
            <x v="0"/>
          </reference>
        </references>
      </pivotArea>
    </chartFormat>
    <chartFormat chart="44" format="9" series="1">
      <pivotArea type="data" outline="0" fieldPosition="0">
        <references count="1">
          <reference field="4294967294" count="1" selected="0">
            <x v="1"/>
          </reference>
        </references>
      </pivotArea>
    </chartFormat>
    <chartFormat chart="44" format="10" series="1">
      <pivotArea type="data" outline="0" fieldPosition="0">
        <references count="1">
          <reference field="4294967294" count="1" selected="0">
            <x v="2"/>
          </reference>
        </references>
      </pivotArea>
    </chartFormat>
    <chartFormat chart="44" format="11" series="1">
      <pivotArea type="data" outline="0" fieldPosition="0">
        <references count="1">
          <reference field="4294967294" count="1" selected="0">
            <x v="3"/>
          </reference>
        </references>
      </pivotArea>
    </chartFormat>
    <chartFormat chart="55" format="8" series="1">
      <pivotArea type="data" outline="0" fieldPosition="0">
        <references count="1">
          <reference field="4294967294" count="1" selected="0">
            <x v="0"/>
          </reference>
        </references>
      </pivotArea>
    </chartFormat>
    <chartFormat chart="55" format="9" series="1">
      <pivotArea type="data" outline="0" fieldPosition="0">
        <references count="1">
          <reference field="4294967294" count="1" selected="0">
            <x v="1"/>
          </reference>
        </references>
      </pivotArea>
    </chartFormat>
    <chartFormat chart="55" format="10" series="1">
      <pivotArea type="data" outline="0" fieldPosition="0">
        <references count="1">
          <reference field="4294967294" count="1" selected="0">
            <x v="2"/>
          </reference>
        </references>
      </pivotArea>
    </chartFormat>
    <chartFormat chart="55" format="11" series="1">
      <pivotArea type="data" outline="0" fieldPosition="0">
        <references count="1">
          <reference field="4294967294" count="1" selected="0">
            <x v="3"/>
          </reference>
        </references>
      </pivotArea>
    </chartFormat>
  </chartFormats>
  <pivotHierarchies count="1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6" level="1">
        <member name="[Table2].[PACKAGE SIZE].&amp;[10]"/>
        <member name="[Table2].[PACKAGE SIZE].&amp;[100]"/>
        <member name="[Table2].[PACKAGE SIZE].&amp;[102]"/>
        <member name="[Table2].[PACKAGE SIZE].&amp;[110]"/>
        <member name="[Table2].[PACKAGE SIZE].&amp;[12]"/>
        <member name="[Table2].[PACKAGE SIZE].&amp;[120]"/>
        <member name="[Table2].[PACKAGE SIZE].&amp;[130]"/>
        <member name="[Table2].[PACKAGE SIZE].&amp;[140]"/>
        <member name="[Table2].[PACKAGE SIZE].&amp;[144]"/>
        <member name="[Table2].[PACKAGE SIZE].&amp;[15]"/>
        <member name="[Table2].[PACKAGE SIZE].&amp;[20]"/>
        <member name="[Table2].[PACKAGE SIZE].&amp;[24]"/>
        <member name="[Table2].[PACKAGE SIZE].&amp;[240]"/>
        <member name="[Table2].[PACKAGE SIZE].&amp;[25]"/>
        <member name="[Table2].[PACKAGE SIZE].&amp;[28]"/>
        <member name="[Table2].[PACKAGE SIZE].&amp;[30]"/>
        <member name="[Table2].[PACKAGE SIZE].&amp;[37]"/>
        <member name="[Table2].[PACKAGE SIZE].&amp;[40]"/>
        <member name="[Table2].[PACKAGE SIZE].&amp;[42.0000]"/>
        <member name="[Table2].[PACKAGE SIZE].&amp;[48]"/>
        <member name="[Table2].[PACKAGE SIZE].&amp;[50]"/>
        <member name="[Table2].[PACKAGE SIZE].&amp;[52]"/>
        <member name="[Table2].[PACKAGE SIZE].&amp;[54]"/>
        <member name="[Table2].[PACKAGE SIZE].&amp;[56]"/>
        <member name="[Table2].[PACKAGE SIZE].&amp;[57]"/>
        <member name="[Table2].[PACKAGE SIZE].&amp;[60]"/>
        <member name="[Table2].[PACKAGE SIZE].&amp;[63]"/>
        <member name="[Table2].[PACKAGE SIZE].&amp;[64]"/>
        <member name="[Table2].[PACKAGE SIZE].&amp;[66]"/>
        <member name="[Table2].[PACKAGE SIZE].&amp;[70]"/>
        <member name="[Table2].[PACKAGE SIZE].&amp;[72]"/>
        <member name="[Table2].[PACKAGE SIZE].&amp;[75]"/>
        <member name="[Table2].[PACKAGE SIZE].&amp;[80]"/>
        <member name="[Table2].[PACKAGE SIZE].&amp;[88]"/>
        <member name="[Table2].[PACKAGE SIZE].&amp;[90]"/>
        <member name="[Table2].[PACKAGE SIZE].&amp;[9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Value 2022"/>
    <pivotHierarchy dragToData="1" caption="Sum of Value 2023"/>
    <pivotHierarchy dragToData="1" caption="Sum of Value YTD 20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75">
      <autoFilter ref="A1">
        <filterColumn colId="0">
          <top10 val="5" filterVal="5"/>
        </filterColumn>
      </autoFilter>
    </filter>
  </filters>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46E080-A783-4BC6-AA08-F708A0A01F3B}"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A15:F21" firstHeaderRow="0" firstDataRow="1" firstDataCol="1"/>
  <pivotFields count="1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4"/>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2"/>
    </i>
    <i>
      <x/>
    </i>
    <i>
      <x v="3"/>
    </i>
    <i>
      <x v="1"/>
    </i>
    <i t="grand">
      <x/>
    </i>
  </rowItems>
  <colFields count="1">
    <field x="-2"/>
  </colFields>
  <colItems count="5">
    <i>
      <x/>
    </i>
    <i i="1">
      <x v="1"/>
    </i>
    <i i="2">
      <x v="2"/>
    </i>
    <i i="3">
      <x v="3"/>
    </i>
    <i i="4">
      <x v="4"/>
    </i>
  </colItems>
  <dataFields count="5">
    <dataField name="Sum of Volume 2022" fld="1" baseField="0" baseItem="0"/>
    <dataField name="Sum of Volume 2023" fld="2" baseField="0" baseItem="0"/>
    <dataField name="Sum of Volume 2024" fld="3" baseField="0" baseItem="0"/>
    <dataField name="Sum of Average Volume" fld="4" baseField="0" baseItem="0"/>
    <dataField name="Sum of Total Value" fld="5" baseField="0" baseItem="0"/>
  </dataFields>
  <formats count="1">
    <format dxfId="121">
      <pivotArea dataOnly="0" labelOnly="1" fieldPosition="0">
        <references count="1">
          <reference field="0" count="0"/>
        </references>
      </pivotArea>
    </format>
  </formats>
  <conditionalFormats count="1">
    <conditionalFormat priority="1">
      <pivotAreas count="1">
        <pivotArea type="data" collapsedLevelsAreSubtotals="1" fieldPosition="0">
          <references count="2">
            <reference field="4294967294" count="1" selected="0">
              <x v="3"/>
            </reference>
            <reference field="0" count="5">
              <x v="0"/>
              <x v="1"/>
              <x v="2"/>
              <x v="3"/>
              <x v="4"/>
            </reference>
          </references>
        </pivotArea>
      </pivotAreas>
    </conditionalFormat>
  </conditionalFormats>
  <chartFormats count="10">
    <chartFormat chart="28" format="23" series="1">
      <pivotArea type="data" outline="0" fieldPosition="0">
        <references count="1">
          <reference field="4294967294" count="1" selected="0">
            <x v="0"/>
          </reference>
        </references>
      </pivotArea>
    </chartFormat>
    <chartFormat chart="28" format="24" series="1">
      <pivotArea type="data" outline="0" fieldPosition="0">
        <references count="1">
          <reference field="4294967294" count="1" selected="0">
            <x v="1"/>
          </reference>
        </references>
      </pivotArea>
    </chartFormat>
    <chartFormat chart="28" format="25" series="1">
      <pivotArea type="data" outline="0" fieldPosition="0">
        <references count="1">
          <reference field="4294967294" count="1" selected="0">
            <x v="2"/>
          </reference>
        </references>
      </pivotArea>
    </chartFormat>
    <chartFormat chart="28" format="26" series="1">
      <pivotArea type="data" outline="0" fieldPosition="0">
        <references count="1">
          <reference field="4294967294" count="1" selected="0">
            <x v="3"/>
          </reference>
        </references>
      </pivotArea>
    </chartFormat>
    <chartFormat chart="30" format="19" series="1">
      <pivotArea type="data" outline="0" fieldPosition="0">
        <references count="1">
          <reference field="4294967294" count="1" selected="0">
            <x v="0"/>
          </reference>
        </references>
      </pivotArea>
    </chartFormat>
    <chartFormat chart="30" format="20" series="1">
      <pivotArea type="data" outline="0" fieldPosition="0">
        <references count="1">
          <reference field="4294967294" count="1" selected="0">
            <x v="1"/>
          </reference>
        </references>
      </pivotArea>
    </chartFormat>
    <chartFormat chart="30" format="21" series="1">
      <pivotArea type="data" outline="0" fieldPosition="0">
        <references count="1">
          <reference field="4294967294" count="1" selected="0">
            <x v="2"/>
          </reference>
        </references>
      </pivotArea>
    </chartFormat>
    <chartFormat chart="30" format="22" series="1">
      <pivotArea type="data" outline="0" fieldPosition="0">
        <references count="1">
          <reference field="4294967294" count="1" selected="0">
            <x v="3"/>
          </reference>
        </references>
      </pivotArea>
    </chartFormat>
    <chartFormat chart="30" format="23" series="1">
      <pivotArea type="data" outline="0" fieldPosition="0">
        <references count="1">
          <reference field="4294967294" count="1" selected="0">
            <x v="4"/>
          </reference>
        </references>
      </pivotArea>
    </chartFormat>
    <chartFormat chart="28" format="27" series="1">
      <pivotArea type="data" outline="0" fieldPosition="0">
        <references count="1">
          <reference field="4294967294" count="1" selected="0">
            <x v="4"/>
          </reference>
        </references>
      </pivotArea>
    </chartFormat>
  </chartFormats>
  <pivotHierarchies count="1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6" level="1">
        <member name="[Table2].[PACKAGE SIZE].&amp;[10]"/>
        <member name="[Table2].[PACKAGE SIZE].&amp;[100]"/>
        <member name="[Table2].[PACKAGE SIZE].&amp;[102]"/>
        <member name="[Table2].[PACKAGE SIZE].&amp;[110]"/>
        <member name="[Table2].[PACKAGE SIZE].&amp;[12]"/>
        <member name="[Table2].[PACKAGE SIZE].&amp;[120]"/>
        <member name="[Table2].[PACKAGE SIZE].&amp;[130]"/>
        <member name="[Table2].[PACKAGE SIZE].&amp;[140]"/>
        <member name="[Table2].[PACKAGE SIZE].&amp;[144]"/>
        <member name="[Table2].[PACKAGE SIZE].&amp;[15]"/>
        <member name="[Table2].[PACKAGE SIZE].&amp;[20]"/>
        <member name="[Table2].[PACKAGE SIZE].&amp;[24]"/>
        <member name="[Table2].[PACKAGE SIZE].&amp;[240]"/>
        <member name="[Table2].[PACKAGE SIZE].&amp;[25]"/>
        <member name="[Table2].[PACKAGE SIZE].&amp;[28]"/>
        <member name="[Table2].[PACKAGE SIZE].&amp;[30]"/>
        <member name="[Table2].[PACKAGE SIZE].&amp;[37]"/>
        <member name="[Table2].[PACKAGE SIZE].&amp;[40]"/>
        <member name="[Table2].[PACKAGE SIZE].&amp;[42.0000]"/>
        <member name="[Table2].[PACKAGE SIZE].&amp;[48]"/>
        <member name="[Table2].[PACKAGE SIZE].&amp;[50]"/>
        <member name="[Table2].[PACKAGE SIZE].&amp;[52]"/>
        <member name="[Table2].[PACKAGE SIZE].&amp;[54]"/>
        <member name="[Table2].[PACKAGE SIZE].&amp;[56]"/>
        <member name="[Table2].[PACKAGE SIZE].&amp;[57]"/>
        <member name="[Table2].[PACKAGE SIZE].&amp;[60]"/>
        <member name="[Table2].[PACKAGE SIZE].&amp;[63]"/>
        <member name="[Table2].[PACKAGE SIZE].&amp;[64]"/>
        <member name="[Table2].[PACKAGE SIZE].&amp;[66]"/>
        <member name="[Table2].[PACKAGE SIZE].&amp;[70]"/>
        <member name="[Table2].[PACKAGE SIZE].&amp;[72]"/>
        <member name="[Table2].[PACKAGE SIZE].&amp;[75]"/>
        <member name="[Table2].[PACKAGE SIZE].&amp;[80]"/>
        <member name="[Table2].[PACKAGE SIZE].&amp;[88]"/>
        <member name="[Table2].[PACKAGE SIZE].&amp;[90]"/>
        <member name="[Table2].[PACKAGE SIZE].&amp;[9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75">
      <autoFilter ref="A1">
        <filterColumn colId="0">
          <top10 val="5" filterVal="5"/>
        </filterColumn>
      </autoFilter>
    </filter>
  </filters>
  <rowHierarchiesUsage count="1">
    <rowHierarchyUsage hierarchyUsage="4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_1]"/>
        <x15:activeTabTopLevelEntity name="[Table4]"/>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2FD45F-93C9-4FB7-A253-3D8A22115F0D}"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8:F24" firstHeaderRow="0" firstDataRow="1" firstDataCol="1"/>
  <pivotFields count="13">
    <pivotField axis="axisRow" showAll="0" measureFilter="1" sortType="descending">
      <items count="160">
        <item x="31"/>
        <item x="35"/>
        <item x="104"/>
        <item x="90"/>
        <item x="151"/>
        <item x="99"/>
        <item x="9"/>
        <item x="132"/>
        <item x="0"/>
        <item x="49"/>
        <item x="43"/>
        <item x="158"/>
        <item x="138"/>
        <item x="152"/>
        <item x="103"/>
        <item x="84"/>
        <item x="148"/>
        <item x="110"/>
        <item x="32"/>
        <item x="93"/>
        <item x="100"/>
        <item x="38"/>
        <item x="71"/>
        <item x="126"/>
        <item x="50"/>
        <item x="121"/>
        <item x="86"/>
        <item x="91"/>
        <item x="25"/>
        <item x="113"/>
        <item x="131"/>
        <item x="108"/>
        <item x="7"/>
        <item x="105"/>
        <item x="107"/>
        <item x="37"/>
        <item x="20"/>
        <item x="36"/>
        <item x="3"/>
        <item x="45"/>
        <item x="117"/>
        <item x="77"/>
        <item x="57"/>
        <item x="146"/>
        <item x="82"/>
        <item x="52"/>
        <item x="66"/>
        <item x="56"/>
        <item x="150"/>
        <item x="5"/>
        <item x="28"/>
        <item x="34"/>
        <item x="109"/>
        <item x="42"/>
        <item x="72"/>
        <item x="73"/>
        <item x="26"/>
        <item x="144"/>
        <item x="141"/>
        <item x="14"/>
        <item x="115"/>
        <item x="149"/>
        <item x="129"/>
        <item x="118"/>
        <item x="12"/>
        <item x="59"/>
        <item x="78"/>
        <item x="46"/>
        <item x="15"/>
        <item x="96"/>
        <item x="85"/>
        <item x="134"/>
        <item x="137"/>
        <item x="154"/>
        <item x="142"/>
        <item x="4"/>
        <item x="76"/>
        <item x="2"/>
        <item x="48"/>
        <item x="147"/>
        <item x="75"/>
        <item x="83"/>
        <item x="65"/>
        <item x="58"/>
        <item x="153"/>
        <item x="40"/>
        <item x="13"/>
        <item x="81"/>
        <item x="55"/>
        <item x="47"/>
        <item x="125"/>
        <item x="6"/>
        <item x="70"/>
        <item x="51"/>
        <item x="33"/>
        <item x="112"/>
        <item x="54"/>
        <item x="157"/>
        <item x="122"/>
        <item x="16"/>
        <item x="44"/>
        <item x="155"/>
        <item x="68"/>
        <item x="23"/>
        <item x="139"/>
        <item x="80"/>
        <item x="1"/>
        <item x="119"/>
        <item x="22"/>
        <item x="124"/>
        <item x="29"/>
        <item x="123"/>
        <item x="143"/>
        <item x="10"/>
        <item x="89"/>
        <item x="30"/>
        <item x="111"/>
        <item x="74"/>
        <item x="120"/>
        <item x="79"/>
        <item x="67"/>
        <item x="97"/>
        <item x="95"/>
        <item x="88"/>
        <item x="140"/>
        <item x="19"/>
        <item x="8"/>
        <item x="39"/>
        <item x="98"/>
        <item x="92"/>
        <item x="156"/>
        <item x="130"/>
        <item x="17"/>
        <item x="127"/>
        <item x="21"/>
        <item x="116"/>
        <item x="102"/>
        <item x="106"/>
        <item x="69"/>
        <item x="145"/>
        <item x="128"/>
        <item x="63"/>
        <item x="136"/>
        <item x="60"/>
        <item x="101"/>
        <item x="18"/>
        <item x="114"/>
        <item x="94"/>
        <item x="133"/>
        <item x="64"/>
        <item x="53"/>
        <item x="135"/>
        <item x="62"/>
        <item x="24"/>
        <item x="87"/>
        <item x="11"/>
        <item x="61"/>
        <item x="27"/>
        <item x="41"/>
        <item t="default"/>
      </items>
      <autoSortScope>
        <pivotArea dataOnly="0" outline="0" fieldPosition="0">
          <references count="1">
            <reference field="4294967294" count="1" selected="0">
              <x v="3"/>
            </reference>
          </references>
        </pivotArea>
      </autoSortScope>
    </pivotField>
    <pivotField showAll="0"/>
    <pivotField showAll="0"/>
    <pivotField showAll="0"/>
    <pivotField dataField="1" showAll="0"/>
    <pivotField dataField="1" showAll="0"/>
    <pivotField dataField="1" showAll="0"/>
    <pivotField dataField="1" showAll="0"/>
    <pivotField dataField="1" showAll="0"/>
    <pivotField numFmtId="10" showAll="0"/>
    <pivotField numFmtId="10" showAll="0"/>
    <pivotField numFmtId="10" showAll="0"/>
    <pivotField showAll="0"/>
  </pivotFields>
  <rowFields count="1">
    <field x="0"/>
  </rowFields>
  <rowItems count="6">
    <i>
      <x v="8"/>
    </i>
    <i>
      <x v="106"/>
    </i>
    <i>
      <x v="77"/>
    </i>
    <i>
      <x v="38"/>
    </i>
    <i>
      <x v="75"/>
    </i>
    <i t="grand">
      <x/>
    </i>
  </rowItems>
  <colFields count="1">
    <field x="-2"/>
  </colFields>
  <colItems count="5">
    <i>
      <x/>
    </i>
    <i i="1">
      <x v="1"/>
    </i>
    <i i="2">
      <x v="2"/>
    </i>
    <i i="3">
      <x v="3"/>
    </i>
    <i i="4">
      <x v="4"/>
    </i>
  </colItems>
  <dataFields count="5">
    <dataField name="Sum of Volume 2022" fld="4" baseField="0" baseItem="0"/>
    <dataField name="Sum of Volume 2023" fld="5" baseField="0" baseItem="0"/>
    <dataField name="Sum of Volume YTD 2024" fld="6" baseField="0" baseItem="0"/>
    <dataField name="Sum of Total Value" fld="8" baseField="0" baseItem="0"/>
    <dataField name="Sum of Total Volume" fld="7" baseField="0" baseItem="0"/>
  </dataFields>
  <formats count="8">
    <format dxfId="70">
      <pivotArea type="all" dataOnly="0" outline="0" fieldPosition="0"/>
    </format>
    <format dxfId="69">
      <pivotArea dataOnly="0" labelOnly="1" fieldPosition="0">
        <references count="1">
          <reference field="0" count="5">
            <x v="8"/>
            <x v="38"/>
            <x v="75"/>
            <x v="77"/>
            <x v="106"/>
          </reference>
        </references>
      </pivotArea>
    </format>
    <format dxfId="68">
      <pivotArea type="all" dataOnly="0" outline="0" fieldPosition="0"/>
    </format>
    <format dxfId="67">
      <pivotArea outline="0" collapsedLevelsAreSubtotals="1" fieldPosition="0"/>
    </format>
    <format dxfId="66">
      <pivotArea field="0" type="button" dataOnly="0" labelOnly="1" outline="0" axis="axisRow" fieldPosition="0"/>
    </format>
    <format dxfId="65">
      <pivotArea dataOnly="0" labelOnly="1" fieldPosition="0">
        <references count="1">
          <reference field="0" count="5">
            <x v="8"/>
            <x v="38"/>
            <x v="75"/>
            <x v="77"/>
            <x v="106"/>
          </reference>
        </references>
      </pivotArea>
    </format>
    <format dxfId="64">
      <pivotArea dataOnly="0" labelOnly="1" grandRow="1" outline="0" fieldPosition="0"/>
    </format>
    <format dxfId="63">
      <pivotArea dataOnly="0" labelOnly="1" outline="0" fieldPosition="0">
        <references count="1">
          <reference field="4294967294" count="5">
            <x v="0"/>
            <x v="1"/>
            <x v="2"/>
            <x v="3"/>
            <x v="4"/>
          </reference>
        </references>
      </pivotArea>
    </format>
  </formats>
  <conditionalFormats count="1">
    <conditionalFormat scope="field" priority="3">
      <pivotAreas count="1">
        <pivotArea outline="0" collapsedLevelsAreSubtotals="1" fieldPosition="0">
          <references count="2">
            <reference field="4294967294" count="1" selected="0">
              <x v="4"/>
            </reference>
            <reference field="0" count="0" selected="0"/>
          </references>
        </pivotArea>
      </pivotAreas>
    </conditionalFormat>
  </conditionalFormats>
  <chartFormats count="5">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 chart="13" format="12" series="1">
      <pivotArea type="data" outline="0" fieldPosition="0">
        <references count="1">
          <reference field="4294967294" count="1" selected="0">
            <x v="2"/>
          </reference>
        </references>
      </pivotArea>
    </chartFormat>
    <chartFormat chart="13" format="13" series="1">
      <pivotArea type="data" outline="0" fieldPosition="0">
        <references count="1">
          <reference field="4294967294" count="1" selected="0">
            <x v="3"/>
          </reference>
        </references>
      </pivotArea>
    </chartFormat>
    <chartFormat chart="1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filters count="1">
    <filter fld="0" type="count" evalOrder="-1" id="5" iMeasureFld="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4C386F-6D17-45EE-A4BB-22DBAB07334E}" name="salesbybrand" cacheId="3" applyNumberFormats="0" applyBorderFormats="0" applyFontFormats="0" applyPatternFormats="0" applyAlignmentFormats="0" applyWidthHeightFormats="1" dataCaption="Values" tag="6e98d913-30fa-41e4-94f7-aab4411506ee" updatedVersion="8" minRefreshableVersion="3" useAutoFormatting="1" subtotalHiddenItems="1" itemPrintTitles="1" createdVersion="8" indent="0" outline="1" outlineData="1" multipleFieldFilters="0" chartFormat="53" rowHeaderCaption="  ">
  <location ref="A4:E10" firstHeaderRow="0" firstDataRow="1" firstDataCol="1" rowPageCount="2" colPageCount="1"/>
  <pivotFields count="11">
    <pivotField axis="axisRow" allDrilled="1" subtotalTop="0" showAll="0" measureFilter="1" sortType="descending" defaultSubtotal="0" defaultAttributeDrillState="1">
      <items count="1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s>
      <autoSortScope>
        <pivotArea dataOnly="0" outline="0" fieldPosition="0">
          <references count="1">
            <reference field="4294967294" count="1" selected="0">
              <x v="3"/>
            </reference>
          </references>
        </pivotArea>
      </autoSortScope>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4"/>
    </i>
    <i>
      <x v="3"/>
    </i>
    <i>
      <x v="1"/>
    </i>
    <i>
      <x v="2"/>
    </i>
    <i t="grand">
      <x/>
    </i>
  </rowItems>
  <colFields count="1">
    <field x="-2"/>
  </colFields>
  <colItems count="4">
    <i>
      <x/>
    </i>
    <i i="1">
      <x v="1"/>
    </i>
    <i i="2">
      <x v="2"/>
    </i>
    <i i="3">
      <x v="3"/>
    </i>
  </colItems>
  <pageFields count="2">
    <pageField fld="6" hier="16" name="[Table2].[PACKAGE TYPE].[All]" cap="All"/>
    <pageField fld="7" hier="17" name="[Table2].[PROTECTION / CARE].[All]" cap="All"/>
  </pageFields>
  <dataFields count="4">
    <dataField name="Sum of 2022" fld="2" baseField="0" baseItem="0"/>
    <dataField name="Sum of 2023" fld="3" baseField="0" baseItem="0"/>
    <dataField name="Sum of YTD 2024" fld="4" baseField="0" baseItem="0"/>
    <dataField name="Sum of Total Value" fld="5" baseField="0" baseItem="0"/>
  </dataFields>
  <formats count="19">
    <format dxfId="89">
      <pivotArea type="all" dataOnly="0" outline="0" fieldPosition="0"/>
    </format>
    <format dxfId="88">
      <pivotArea type="all" dataOnly="0" outline="0" fieldPosition="0"/>
    </format>
    <format dxfId="87">
      <pivotArea dataOnly="0" labelOnly="1" fieldPosition="0">
        <references count="1">
          <reference field="0" count="50">
            <x v="0"/>
            <x v="1"/>
            <x v="5"/>
            <x v="6"/>
            <x v="7"/>
            <x v="10"/>
            <x v="11"/>
            <x v="12"/>
            <x v="13"/>
            <x v="14"/>
            <x v="15"/>
            <x v="16"/>
            <x v="17"/>
            <x v="18"/>
            <x v="19"/>
            <x v="20"/>
            <x v="21"/>
            <x v="22"/>
            <x v="23"/>
            <x v="24"/>
            <x v="25"/>
            <x v="26"/>
            <x v="27"/>
            <x v="28"/>
            <x v="29"/>
            <x v="30"/>
            <x v="31"/>
            <x v="32"/>
            <x v="33"/>
            <x v="34"/>
            <x v="35"/>
            <x v="36"/>
            <x v="37"/>
            <x v="38"/>
            <x v="39"/>
            <x v="40"/>
            <x v="41"/>
            <x v="42"/>
            <x v="43"/>
            <x v="44"/>
            <x v="45"/>
            <x v="46"/>
            <x v="47"/>
            <x v="48"/>
            <x v="49"/>
            <x v="50"/>
            <x v="51"/>
            <x v="52"/>
            <x v="53"/>
            <x v="54"/>
          </reference>
        </references>
      </pivotArea>
    </format>
    <format dxfId="86">
      <pivotArea dataOnly="0" labelOnly="1" fieldPosition="0">
        <references count="1">
          <reference field="0" count="50">
            <x v="2"/>
            <x v="3"/>
            <x v="8"/>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85">
      <pivotArea dataOnly="0" labelOnly="1" fieldPosition="0">
        <references count="1">
          <reference field="0" count="50">
            <x v="4"/>
            <x v="9"/>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4">
      <pivotArea dataOnly="0" labelOnly="1" fieldPosition="0">
        <references count="1">
          <reference field="0" count="9">
            <x v="150"/>
            <x v="151"/>
            <x v="152"/>
            <x v="153"/>
            <x v="154"/>
            <x v="155"/>
            <x v="156"/>
            <x v="157"/>
            <x v="158"/>
          </reference>
        </references>
      </pivotArea>
    </format>
    <format dxfId="83">
      <pivotArea type="all" dataOnly="0" outline="0" fieldPosition="0"/>
    </format>
    <format dxfId="82">
      <pivotArea field="0" type="button" dataOnly="0" labelOnly="1" outline="0" axis="axisRow" fieldPosition="0"/>
    </format>
    <format dxfId="81">
      <pivotArea dataOnly="0" labelOnly="1" fieldPosition="0">
        <references count="1">
          <reference field="0" count="5">
            <x v="0"/>
            <x v="1"/>
            <x v="2"/>
            <x v="3"/>
            <x v="4"/>
          </reference>
        </references>
      </pivotArea>
    </format>
    <format dxfId="80">
      <pivotArea grandRow="1" outline="0" collapsedLevelsAreSubtotals="1" fieldPosition="0"/>
    </format>
    <format dxfId="79">
      <pivotArea dataOnly="0" labelOnly="1" grandRow="1" outline="0" fieldPosition="0"/>
    </format>
    <format dxfId="78">
      <pivotArea grandRow="1" outline="0" collapsedLevelsAreSubtotals="1" fieldPosition="0"/>
    </format>
    <format dxfId="77">
      <pivotArea dataOnly="0" labelOnly="1" outline="0" fieldPosition="0">
        <references count="1">
          <reference field="4294967294" count="4">
            <x v="0"/>
            <x v="1"/>
            <x v="2"/>
            <x v="3"/>
          </reference>
        </references>
      </pivotArea>
    </format>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5">
            <x v="0"/>
            <x v="1"/>
            <x v="2"/>
            <x v="3"/>
            <x v="4"/>
          </reference>
        </references>
      </pivotArea>
    </format>
    <format dxfId="72">
      <pivotArea dataOnly="0" labelOnly="1" grandRow="1" outline="0" fieldPosition="0"/>
    </format>
    <format dxfId="71">
      <pivotArea dataOnly="0" labelOnly="1" outline="0" fieldPosition="0">
        <references count="1">
          <reference field="4294967294" count="4">
            <x v="0"/>
            <x v="1"/>
            <x v="2"/>
            <x v="3"/>
          </reference>
        </references>
      </pivotArea>
    </format>
  </formats>
  <conditionalFormats count="1">
    <conditionalFormat priority="1">
      <pivotAreas count="1">
        <pivotArea type="data" collapsedLevelsAreSubtotals="1" fieldPosition="0">
          <references count="2">
            <reference field="4294967294" count="1" selected="0">
              <x v="3"/>
            </reference>
            <reference field="0" count="6">
              <x v="0"/>
              <x v="1"/>
              <x v="2"/>
              <x v="3"/>
              <x v="4"/>
              <x v="5"/>
            </reference>
          </references>
        </pivotArea>
      </pivotAreas>
    </conditionalFormat>
  </conditionalFormats>
  <chartFormats count="8">
    <chartFormat chart="42" format="9"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42" format="10"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1"/>
          </reference>
        </references>
      </pivotArea>
    </chartFormat>
    <chartFormat chart="42" format="11" series="1">
      <pivotArea type="data" outline="0" fieldPosition="0">
        <references count="1">
          <reference field="4294967294" count="1" selected="0">
            <x v="2"/>
          </reference>
        </references>
      </pivotArea>
    </chartFormat>
    <chartFormat chart="9" format="9" series="1">
      <pivotArea type="data" outline="0" fieldPosition="0">
        <references count="1">
          <reference field="4294967294" count="1" selected="0">
            <x v="2"/>
          </reference>
        </references>
      </pivotArea>
    </chartFormat>
    <chartFormat chart="42" format="12" series="1">
      <pivotArea type="data" outline="0" fieldPosition="0">
        <references count="1">
          <reference field="4294967294" count="1" selected="0">
            <x v="3"/>
          </reference>
        </references>
      </pivotArea>
    </chartFormat>
    <chartFormat chart="9" format="10" series="1">
      <pivotArea type="data" outline="0" fieldPosition="0">
        <references count="1">
          <reference field="4294967294" count="1" selected="0">
            <x v="3"/>
          </reference>
        </references>
      </pivotArea>
    </chartFormat>
  </chartFormats>
  <pivotHierarchies count="1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36" level="1">
        <member name="[Table2].[PACKAGE SIZE].&amp;[10]"/>
        <member name="[Table2].[PACKAGE SIZE].&amp;[100]"/>
        <member name="[Table2].[PACKAGE SIZE].&amp;[102]"/>
        <member name="[Table2].[PACKAGE SIZE].&amp;[110]"/>
        <member name="[Table2].[PACKAGE SIZE].&amp;[12]"/>
        <member name="[Table2].[PACKAGE SIZE].&amp;[120]"/>
        <member name="[Table2].[PACKAGE SIZE].&amp;[130]"/>
        <member name="[Table2].[PACKAGE SIZE].&amp;[140]"/>
        <member name="[Table2].[PACKAGE SIZE].&amp;[144]"/>
        <member name="[Table2].[PACKAGE SIZE].&amp;[15]"/>
        <member name="[Table2].[PACKAGE SIZE].&amp;[20]"/>
        <member name="[Table2].[PACKAGE SIZE].&amp;[24]"/>
        <member name="[Table2].[PACKAGE SIZE].&amp;[240]"/>
        <member name="[Table2].[PACKAGE SIZE].&amp;[25]"/>
        <member name="[Table2].[PACKAGE SIZE].&amp;[28]"/>
        <member name="[Table2].[PACKAGE SIZE].&amp;[30]"/>
        <member name="[Table2].[PACKAGE SIZE].&amp;[37]"/>
        <member name="[Table2].[PACKAGE SIZE].&amp;[40]"/>
        <member name="[Table2].[PACKAGE SIZE].&amp;[42.0000]"/>
        <member name="[Table2].[PACKAGE SIZE].&amp;[48]"/>
        <member name="[Table2].[PACKAGE SIZE].&amp;[50]"/>
        <member name="[Table2].[PACKAGE SIZE].&amp;[52]"/>
        <member name="[Table2].[PACKAGE SIZE].&amp;[54]"/>
        <member name="[Table2].[PACKAGE SIZE].&amp;[56]"/>
        <member name="[Table2].[PACKAGE SIZE].&amp;[57]"/>
        <member name="[Table2].[PACKAGE SIZE].&amp;[60]"/>
        <member name="[Table2].[PACKAGE SIZE].&amp;[63]"/>
        <member name="[Table2].[PACKAGE SIZE].&amp;[64]"/>
        <member name="[Table2].[PACKAGE SIZE].&amp;[66]"/>
        <member name="[Table2].[PACKAGE SIZE].&amp;[70]"/>
        <member name="[Table2].[PACKAGE SIZE].&amp;[72]"/>
        <member name="[Table2].[PACKAGE SIZE].&amp;[75]"/>
        <member name="[Table2].[PACKAGE SIZE].&amp;[80]"/>
        <member name="[Table2].[PACKAGE SIZE].&amp;[88]"/>
        <member name="[Table2].[PACKAGE SIZE].&amp;[90]"/>
        <member name="[Table2].[PACKAGE SIZE].&amp;[9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Value 2022"/>
    <pivotHierarchy dragToData="1" caption="Sum of Value 2023"/>
    <pivotHierarchy dragToData="1" caption="Sum of Value YTD 20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6" iMeasureHier="87">
      <autoFilter ref="A1">
        <filterColumn colId="0">
          <top10 val="5" filterVal="5"/>
        </filterColumn>
      </autoFilter>
    </filter>
  </filters>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AC263A-19BB-4EAA-B190-09DB60C27406}" name="PivotTable9" cacheId="4" applyNumberFormats="0" applyBorderFormats="0" applyFontFormats="0" applyPatternFormats="0" applyAlignmentFormats="0" applyWidthHeightFormats="1" dataCaption="Values" tag="cefe92f2-0eb6-44fc-b577-bac13095061f" updatedVersion="8" minRefreshableVersion="3" showDrill="0" useAutoFormatting="1" subtotalHiddenItems="1" itemPrintTitles="1" createdVersion="8" indent="0" outline="1" outlineData="1" multipleFieldFilters="0" chartFormat="10">
  <location ref="A3:B40" firstHeaderRow="1" firstDataRow="1" firstDataCol="1"/>
  <pivotFields count="6">
    <pivotField allDrilled="1" subtotalTop="0" showAll="0" dataSourceSort="1" defaultSubtotal="0" defaultAttributeDrillState="1"/>
    <pivotField axis="axisRow" allDrilled="1" subtotalTop="0" showAll="0" sortType="descending" defaultSubtotal="0" defaultAttributeDrillState="1">
      <items count="36">
        <item s="1" x="0"/>
        <item s="1" x="1"/>
        <item s="1" x="2"/>
        <item s="1" x="3"/>
        <item s="1" x="4"/>
        <item s="1" x="5"/>
        <item s="1" x="6"/>
        <item s="1" x="7"/>
        <item s="1" x="8"/>
        <item s="1" x="9"/>
        <item s="1" x="10"/>
        <item s="1" x="11"/>
        <item s="1" x="12"/>
        <item s="1" x="13"/>
        <item s="1" x="14"/>
        <item s="1" x="15"/>
        <item s="1" x="16"/>
        <item s="1" x="17"/>
        <item n="42" s="1" x="18"/>
        <item s="1" x="19"/>
        <item s="1" x="20"/>
        <item s="1" x="21"/>
        <item s="1" x="22"/>
        <item s="1" x="23"/>
        <item s="1" x="24"/>
        <item s="1" x="25"/>
        <item s="1" x="26"/>
        <item s="1" x="27"/>
        <item s="1" x="28"/>
        <item s="1" x="29"/>
        <item s="1" x="30"/>
        <item s="1" x="31"/>
        <item s="1" x="32"/>
        <item s="1" x="33"/>
        <item s="1" x="34"/>
        <item s="1" x="3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7">
    <i>
      <x v="30"/>
    </i>
    <i>
      <x v="5"/>
    </i>
    <i>
      <x v="27"/>
    </i>
    <i>
      <x v="23"/>
    </i>
    <i>
      <x v="1"/>
    </i>
    <i>
      <x v="21"/>
    </i>
    <i>
      <x v="25"/>
    </i>
    <i>
      <x v="32"/>
    </i>
    <i>
      <x v="29"/>
    </i>
    <i>
      <x v="10"/>
    </i>
    <i>
      <x v="34"/>
    </i>
    <i>
      <x v="20"/>
    </i>
    <i>
      <x v="26"/>
    </i>
    <i>
      <x v="4"/>
    </i>
    <i>
      <x v="9"/>
    </i>
    <i>
      <x v="13"/>
    </i>
    <i>
      <x v="22"/>
    </i>
    <i>
      <x v="17"/>
    </i>
    <i>
      <x/>
    </i>
    <i>
      <x v="11"/>
    </i>
    <i>
      <x v="19"/>
    </i>
    <i>
      <x v="18"/>
    </i>
    <i>
      <x v="8"/>
    </i>
    <i>
      <x v="2"/>
    </i>
    <i>
      <x v="7"/>
    </i>
    <i>
      <x v="24"/>
    </i>
    <i>
      <x v="16"/>
    </i>
    <i>
      <x v="14"/>
    </i>
    <i>
      <x v="15"/>
    </i>
    <i>
      <x v="31"/>
    </i>
    <i>
      <x v="35"/>
    </i>
    <i>
      <x v="3"/>
    </i>
    <i>
      <x v="33"/>
    </i>
    <i>
      <x v="6"/>
    </i>
    <i>
      <x v="28"/>
    </i>
    <i>
      <x v="12"/>
    </i>
    <i t="grand">
      <x/>
    </i>
  </rowItems>
  <colItems count="1">
    <i/>
  </colItems>
  <dataFields count="1">
    <dataField name="Count of Volume 2022" fld="2" subtotal="count" baseField="1" baseItem="13"/>
  </dataFields>
  <conditionalFormats count="1">
    <conditionalFormat scope="data" priority="9">
      <pivotAreas count="1">
        <pivotArea outline="0" fieldPosition="0">
          <references count="1">
            <reference field="4294967294" count="1" selected="0">
              <x v="0"/>
            </reference>
          </references>
        </pivotArea>
      </pivotAreas>
    </conditionalFormat>
  </conditionalFormats>
  <pivotHierarchies count="1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2].[PROTECTION / CARE].&amp;"/>
        <member name="[Table2].[PROTECTION / CARE].&amp;[ALCOHOL FREE]"/>
        <member name="[Table2].[PROTECTION / CARE].&amp;[WITHOUT EXTRA PROTECTCARE INDICA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Volume 2022"/>
    <pivotHierarchy dragToData="1"/>
    <pivotHierarchy dragToData="1"/>
    <pivotHierarchy dragToData="1" caption="Average of 2023"/>
    <pivotHierarchy dragToData="1"/>
    <pivotHierarchy dragToData="1"/>
    <pivotHierarchy dragToData="1" caption="Average of YTD 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Volume 2022"/>
    <pivotHierarchy dragToData="1" caption="Count of 2022"/>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470009-CA17-445B-8459-C52EEBCBFE68}" name="PivotTable_salesbyprote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3:E10" firstHeaderRow="0" firstDataRow="1" firstDataCol="1"/>
  <pivotFields count="14">
    <pivotField showAll="0">
      <items count="552">
        <item x="536"/>
        <item x="537"/>
        <item x="104"/>
        <item x="105"/>
        <item x="108"/>
        <item x="110"/>
        <item x="107"/>
        <item x="109"/>
        <item x="106"/>
        <item x="474"/>
        <item x="111"/>
        <item x="112"/>
        <item x="340"/>
        <item x="297"/>
        <item x="298"/>
        <item x="299"/>
        <item x="301"/>
        <item x="302"/>
        <item x="303"/>
        <item x="300"/>
        <item x="304"/>
        <item x="8"/>
        <item x="15"/>
        <item x="29"/>
        <item x="19"/>
        <item x="7"/>
        <item x="9"/>
        <item x="12"/>
        <item x="16"/>
        <item x="30"/>
        <item x="20"/>
        <item x="21"/>
        <item x="13"/>
        <item x="14"/>
        <item x="22"/>
        <item x="23"/>
        <item x="10"/>
        <item x="17"/>
        <item x="5"/>
        <item x="24"/>
        <item x="11"/>
        <item x="25"/>
        <item x="306"/>
        <item x="307"/>
        <item x="102"/>
        <item x="0"/>
        <item x="93"/>
        <item x="18"/>
        <item x="26"/>
        <item x="27"/>
        <item x="28"/>
        <item x="6"/>
        <item x="305"/>
        <item x="308"/>
        <item x="309"/>
        <item x="310"/>
        <item x="546"/>
        <item x="3"/>
        <item x="1"/>
        <item x="2"/>
        <item x="4"/>
        <item x="550"/>
        <item x="448"/>
        <item x="226"/>
        <item x="542"/>
        <item x="343"/>
        <item x="342"/>
        <item x="455"/>
        <item x="456"/>
        <item x="149"/>
        <item x="150"/>
        <item x="346"/>
        <item x="347"/>
        <item x="315"/>
        <item x="316"/>
        <item x="313"/>
        <item x="314"/>
        <item x="449"/>
        <item x="450"/>
        <item x="451"/>
        <item x="452"/>
        <item x="209"/>
        <item x="539"/>
        <item x="540"/>
        <item x="339"/>
        <item x="71"/>
        <item x="70"/>
        <item x="184"/>
        <item x="185"/>
        <item x="186"/>
        <item x="94"/>
        <item x="98"/>
        <item x="95"/>
        <item x="99"/>
        <item x="96"/>
        <item x="97"/>
        <item x="100"/>
        <item x="290"/>
        <item x="291"/>
        <item x="292"/>
        <item x="103"/>
        <item x="114"/>
        <item x="113"/>
        <item x="475"/>
        <item x="476"/>
        <item x="477"/>
        <item x="478"/>
        <item x="541"/>
        <item x="461"/>
        <item x="462"/>
        <item x="548"/>
        <item x="549"/>
        <item x="136"/>
        <item x="479"/>
        <item x="481"/>
        <item x="482"/>
        <item x="483"/>
        <item x="480"/>
        <item x="73"/>
        <item x="74"/>
        <item x="79"/>
        <item x="77"/>
        <item x="78"/>
        <item x="80"/>
        <item x="81"/>
        <item x="75"/>
        <item x="82"/>
        <item x="76"/>
        <item x="83"/>
        <item x="145"/>
        <item x="143"/>
        <item x="144"/>
        <item x="146"/>
        <item x="526"/>
        <item x="527"/>
        <item x="147"/>
        <item x="148"/>
        <item x="484"/>
        <item x="121"/>
        <item x="352"/>
        <item x="353"/>
        <item x="354"/>
        <item x="326"/>
        <item x="324"/>
        <item x="327"/>
        <item x="335"/>
        <item x="323"/>
        <item x="355"/>
        <item x="325"/>
        <item x="162"/>
        <item x="154"/>
        <item x="156"/>
        <item x="157"/>
        <item x="158"/>
        <item x="159"/>
        <item x="155"/>
        <item x="160"/>
        <item x="161"/>
        <item x="163"/>
        <item x="152"/>
        <item x="151"/>
        <item x="153"/>
        <item x="336"/>
        <item x="230"/>
        <item x="229"/>
        <item x="468"/>
        <item x="469"/>
        <item x="328"/>
        <item x="329"/>
        <item x="164"/>
        <item x="317"/>
        <item x="61"/>
        <item x="62"/>
        <item x="197"/>
        <item x="199"/>
        <item x="198"/>
        <item x="200"/>
        <item x="203"/>
        <item x="204"/>
        <item x="201"/>
        <item x="205"/>
        <item x="202"/>
        <item x="206"/>
        <item x="207"/>
        <item x="208"/>
        <item x="57"/>
        <item x="459"/>
        <item x="236"/>
        <item x="242"/>
        <item x="243"/>
        <item x="237"/>
        <item x="245"/>
        <item x="238"/>
        <item x="244"/>
        <item x="239"/>
        <item x="240"/>
        <item x="241"/>
        <item x="46"/>
        <item x="311"/>
        <item x="543"/>
        <item x="507"/>
        <item x="487"/>
        <item x="485"/>
        <item x="486"/>
        <item x="488"/>
        <item x="489"/>
        <item x="490"/>
        <item x="218"/>
        <item x="219"/>
        <item x="217"/>
        <item x="220"/>
        <item x="221"/>
        <item x="223"/>
        <item x="224"/>
        <item x="222"/>
        <item x="508"/>
        <item x="509"/>
        <item x="510"/>
        <item x="68"/>
        <item x="67"/>
        <item x="69"/>
        <item x="165"/>
        <item x="348"/>
        <item x="349"/>
        <item x="350"/>
        <item x="351"/>
        <item x="247"/>
        <item x="246"/>
        <item x="341"/>
        <item x="228"/>
        <item x="227"/>
        <item x="511"/>
        <item x="137"/>
        <item x="257"/>
        <item x="276"/>
        <item x="277"/>
        <item x="258"/>
        <item x="264"/>
        <item x="273"/>
        <item x="284"/>
        <item x="265"/>
        <item x="259"/>
        <item x="266"/>
        <item x="278"/>
        <item x="287"/>
        <item x="267"/>
        <item x="260"/>
        <item x="261"/>
        <item x="268"/>
        <item x="279"/>
        <item x="280"/>
        <item x="274"/>
        <item x="281"/>
        <item x="262"/>
        <item x="269"/>
        <item x="285"/>
        <item x="272"/>
        <item x="282"/>
        <item x="283"/>
        <item x="286"/>
        <item x="263"/>
        <item x="270"/>
        <item x="271"/>
        <item x="275"/>
        <item x="139"/>
        <item x="140"/>
        <item x="141"/>
        <item x="142"/>
        <item x="32"/>
        <item x="33"/>
        <item x="34"/>
        <item x="35"/>
        <item x="36"/>
        <item x="37"/>
        <item x="38"/>
        <item x="39"/>
        <item x="43"/>
        <item x="40"/>
        <item x="41"/>
        <item x="31"/>
        <item x="42"/>
        <item x="166"/>
        <item x="167"/>
        <item x="45"/>
        <item x="44"/>
        <item x="312"/>
        <item x="225"/>
        <item x="472"/>
        <item x="473"/>
        <item x="460"/>
        <item x="464"/>
        <item x="465"/>
        <item x="463"/>
        <item x="357"/>
        <item x="176"/>
        <item x="115"/>
        <item x="293"/>
        <item x="294"/>
        <item x="295"/>
        <item x="538"/>
        <item x="190"/>
        <item x="191"/>
        <item x="192"/>
        <item x="193"/>
        <item x="194"/>
        <item x="195"/>
        <item x="196"/>
        <item x="189"/>
        <item x="318"/>
        <item x="249"/>
        <item x="250"/>
        <item x="253"/>
        <item x="254"/>
        <item x="255"/>
        <item x="256"/>
        <item x="251"/>
        <item x="252"/>
        <item x="116"/>
        <item x="117"/>
        <item x="330"/>
        <item x="175"/>
        <item x="533"/>
        <item x="534"/>
        <item x="321"/>
        <item x="322"/>
        <item x="170"/>
        <item x="171"/>
        <item x="168"/>
        <item x="169"/>
        <item x="172"/>
        <item x="118"/>
        <item x="512"/>
        <item x="513"/>
        <item x="88"/>
        <item x="89"/>
        <item x="86"/>
        <item x="90"/>
        <item x="87"/>
        <item x="101"/>
        <item x="122"/>
        <item x="123"/>
        <item x="442"/>
        <item x="366"/>
        <item x="367"/>
        <item x="358"/>
        <item x="359"/>
        <item x="360"/>
        <item x="368"/>
        <item x="369"/>
        <item x="364"/>
        <item x="418"/>
        <item x="371"/>
        <item x="372"/>
        <item x="419"/>
        <item x="373"/>
        <item x="374"/>
        <item x="375"/>
        <item x="376"/>
        <item x="377"/>
        <item x="378"/>
        <item x="379"/>
        <item x="380"/>
        <item x="381"/>
        <item x="382"/>
        <item x="383"/>
        <item x="384"/>
        <item x="385"/>
        <item x="386"/>
        <item x="387"/>
        <item x="388"/>
        <item x="389"/>
        <item x="390"/>
        <item x="391"/>
        <item x="420"/>
        <item x="421"/>
        <item x="422"/>
        <item x="423"/>
        <item x="392"/>
        <item x="424"/>
        <item x="393"/>
        <item x="394"/>
        <item x="436"/>
        <item x="425"/>
        <item x="426"/>
        <item x="427"/>
        <item x="428"/>
        <item x="429"/>
        <item x="438"/>
        <item x="439"/>
        <item x="430"/>
        <item x="431"/>
        <item x="432"/>
        <item x="433"/>
        <item x="434"/>
        <item x="435"/>
        <item x="440"/>
        <item x="441"/>
        <item x="400"/>
        <item x="401"/>
        <item x="370"/>
        <item x="399"/>
        <item x="402"/>
        <item x="403"/>
        <item x="404"/>
        <item x="405"/>
        <item x="406"/>
        <item x="407"/>
        <item x="408"/>
        <item x="409"/>
        <item x="410"/>
        <item x="411"/>
        <item x="443"/>
        <item x="412"/>
        <item x="413"/>
        <item x="361"/>
        <item x="414"/>
        <item x="362"/>
        <item x="395"/>
        <item x="396"/>
        <item x="397"/>
        <item x="398"/>
        <item x="437"/>
        <item x="363"/>
        <item x="415"/>
        <item x="416"/>
        <item x="417"/>
        <item x="365"/>
        <item x="344"/>
        <item x="47"/>
        <item x="48"/>
        <item x="49"/>
        <item x="50"/>
        <item x="55"/>
        <item x="51"/>
        <item x="52"/>
        <item x="53"/>
        <item x="54"/>
        <item x="56"/>
        <item x="215"/>
        <item x="514"/>
        <item x="515"/>
        <item x="516"/>
        <item x="216"/>
        <item x="345"/>
        <item x="187"/>
        <item x="188"/>
        <item x="58"/>
        <item x="59"/>
        <item x="180"/>
        <item x="181"/>
        <item x="182"/>
        <item x="183"/>
        <item x="173"/>
        <item x="445"/>
        <item x="444"/>
        <item x="179"/>
        <item x="177"/>
        <item x="178"/>
        <item x="544"/>
        <item x="545"/>
        <item x="331"/>
        <item x="337"/>
        <item x="288"/>
        <item x="124"/>
        <item x="174"/>
        <item x="234"/>
        <item x="519"/>
        <item x="520"/>
        <item x="522"/>
        <item x="523"/>
        <item x="517"/>
        <item x="518"/>
        <item x="521"/>
        <item x="235"/>
        <item x="232"/>
        <item x="233"/>
        <item x="231"/>
        <item x="471"/>
        <item x="470"/>
        <item x="457"/>
        <item x="524"/>
        <item x="296"/>
        <item x="497"/>
        <item x="492"/>
        <item x="491"/>
        <item x="496"/>
        <item x="505"/>
        <item x="506"/>
        <item x="493"/>
        <item x="498"/>
        <item x="499"/>
        <item x="500"/>
        <item x="504"/>
        <item x="494"/>
        <item x="501"/>
        <item x="502"/>
        <item x="495"/>
        <item x="503"/>
        <item x="138"/>
        <item x="133"/>
        <item x="126"/>
        <item x="127"/>
        <item x="131"/>
        <item x="128"/>
        <item x="129"/>
        <item x="132"/>
        <item x="125"/>
        <item x="130"/>
        <item x="356"/>
        <item x="91"/>
        <item x="458"/>
        <item x="92"/>
        <item x="338"/>
        <item x="466"/>
        <item x="467"/>
        <item x="525"/>
        <item x="248"/>
        <item x="84"/>
        <item x="85"/>
        <item x="333"/>
        <item x="332"/>
        <item x="334"/>
        <item x="289"/>
        <item x="535"/>
        <item x="60"/>
        <item x="63"/>
        <item x="65"/>
        <item x="64"/>
        <item x="66"/>
        <item x="547"/>
        <item x="72"/>
        <item x="446"/>
        <item x="447"/>
        <item x="453"/>
        <item x="454"/>
        <item x="531"/>
        <item x="530"/>
        <item x="532"/>
        <item x="528"/>
        <item x="529"/>
        <item x="210"/>
        <item x="211"/>
        <item x="212"/>
        <item x="213"/>
        <item x="214"/>
        <item x="119"/>
        <item x="120"/>
        <item x="319"/>
        <item x="320"/>
        <item x="134"/>
        <item x="135"/>
        <item t="default"/>
      </items>
    </pivotField>
    <pivotField showAll="0">
      <items count="153">
        <item x="143"/>
        <item x="25"/>
        <item x="124"/>
        <item x="26"/>
        <item x="98"/>
        <item x="0"/>
        <item x="76"/>
        <item x="20"/>
        <item x="2"/>
        <item x="23"/>
        <item x="83"/>
        <item x="149"/>
        <item x="1"/>
        <item x="110"/>
        <item x="67"/>
        <item x="100"/>
        <item x="113"/>
        <item x="42"/>
        <item x="103"/>
        <item x="85"/>
        <item x="111"/>
        <item x="61"/>
        <item x="145"/>
        <item x="97"/>
        <item x="13"/>
        <item x="56"/>
        <item x="21"/>
        <item x="80"/>
        <item x="24"/>
        <item x="27"/>
        <item x="125"/>
        <item x="146"/>
        <item x="118"/>
        <item x="151"/>
        <item x="37"/>
        <item x="126"/>
        <item x="15"/>
        <item x="40"/>
        <item x="139"/>
        <item x="41"/>
        <item x="127"/>
        <item x="32"/>
        <item x="94"/>
        <item x="89"/>
        <item x="43"/>
        <item x="95"/>
        <item x="44"/>
        <item x="121"/>
        <item x="90"/>
        <item x="45"/>
        <item x="10"/>
        <item x="59"/>
        <item x="60"/>
        <item x="7"/>
        <item x="116"/>
        <item x="71"/>
        <item x="5"/>
        <item x="147"/>
        <item x="130"/>
        <item x="128"/>
        <item x="65"/>
        <item x="131"/>
        <item x="12"/>
        <item x="46"/>
        <item x="104"/>
        <item x="72"/>
        <item x="99"/>
        <item x="68"/>
        <item x="132"/>
        <item x="75"/>
        <item x="77"/>
        <item x="39"/>
        <item x="3"/>
        <item x="47"/>
        <item x="48"/>
        <item x="4"/>
        <item x="84"/>
        <item x="66"/>
        <item x="123"/>
        <item x="117"/>
        <item x="119"/>
        <item x="106"/>
        <item x="52"/>
        <item x="28"/>
        <item x="81"/>
        <item x="144"/>
        <item x="58"/>
        <item x="86"/>
        <item x="74"/>
        <item x="29"/>
        <item x="91"/>
        <item x="51"/>
        <item x="141"/>
        <item x="88"/>
        <item x="49"/>
        <item x="30"/>
        <item x="133"/>
        <item x="134"/>
        <item x="17"/>
        <item x="22"/>
        <item x="33"/>
        <item x="107"/>
        <item x="101"/>
        <item x="6"/>
        <item x="63"/>
        <item x="135"/>
        <item x="64"/>
        <item x="102"/>
        <item x="57"/>
        <item x="8"/>
        <item x="54"/>
        <item x="55"/>
        <item x="50"/>
        <item x="108"/>
        <item x="53"/>
        <item x="148"/>
        <item x="92"/>
        <item x="78"/>
        <item x="34"/>
        <item x="136"/>
        <item x="70"/>
        <item x="122"/>
        <item x="114"/>
        <item x="137"/>
        <item x="82"/>
        <item x="129"/>
        <item x="38"/>
        <item x="35"/>
        <item x="105"/>
        <item x="18"/>
        <item x="69"/>
        <item x="115"/>
        <item x="19"/>
        <item x="96"/>
        <item x="120"/>
        <item x="138"/>
        <item x="73"/>
        <item x="16"/>
        <item x="93"/>
        <item x="79"/>
        <item x="142"/>
        <item x="9"/>
        <item x="11"/>
        <item x="150"/>
        <item x="14"/>
        <item x="109"/>
        <item x="112"/>
        <item x="140"/>
        <item x="62"/>
        <item x="31"/>
        <item x="87"/>
        <item x="36"/>
        <item t="default"/>
      </items>
    </pivotField>
    <pivotField showAll="0">
      <items count="108">
        <item x="15"/>
        <item x="5"/>
        <item x="7"/>
        <item x="6"/>
        <item x="9"/>
        <item x="12"/>
        <item x="35"/>
        <item x="13"/>
        <item x="1"/>
        <item x="16"/>
        <item x="98"/>
        <item x="4"/>
        <item x="48"/>
        <item x="17"/>
        <item x="47"/>
        <item x="42"/>
        <item x="21"/>
        <item x="37"/>
        <item x="19"/>
        <item x="20"/>
        <item x="83"/>
        <item x="52"/>
        <item x="22"/>
        <item x="23"/>
        <item x="10"/>
        <item x="70"/>
        <item x="11"/>
        <item x="72"/>
        <item x="24"/>
        <item x="25"/>
        <item x="26"/>
        <item x="27"/>
        <item x="29"/>
        <item x="87"/>
        <item x="30"/>
        <item x="75"/>
        <item x="31"/>
        <item x="101"/>
        <item x="8"/>
        <item x="32"/>
        <item x="59"/>
        <item x="57"/>
        <item x="33"/>
        <item x="106"/>
        <item x="95"/>
        <item x="73"/>
        <item x="41"/>
        <item x="3"/>
        <item x="43"/>
        <item x="45"/>
        <item x="46"/>
        <item x="50"/>
        <item x="53"/>
        <item x="54"/>
        <item x="55"/>
        <item x="56"/>
        <item x="38"/>
        <item x="93"/>
        <item x="103"/>
        <item x="60"/>
        <item x="61"/>
        <item x="62"/>
        <item x="63"/>
        <item x="39"/>
        <item x="64"/>
        <item x="66"/>
        <item x="51"/>
        <item x="68"/>
        <item x="67"/>
        <item x="69"/>
        <item x="71"/>
        <item x="74"/>
        <item x="77"/>
        <item x="58"/>
        <item x="79"/>
        <item x="78"/>
        <item x="80"/>
        <item x="14"/>
        <item x="76"/>
        <item x="94"/>
        <item x="97"/>
        <item x="82"/>
        <item x="81"/>
        <item x="36"/>
        <item x="84"/>
        <item x="85"/>
        <item x="28"/>
        <item x="89"/>
        <item x="91"/>
        <item x="92"/>
        <item x="88"/>
        <item x="90"/>
        <item x="49"/>
        <item x="96"/>
        <item x="34"/>
        <item x="40"/>
        <item x="99"/>
        <item x="100"/>
        <item x="44"/>
        <item x="18"/>
        <item x="102"/>
        <item x="104"/>
        <item x="105"/>
        <item x="2"/>
        <item x="65"/>
        <item x="86"/>
        <item x="0"/>
        <item t="default"/>
      </items>
    </pivotField>
    <pivotField showAll="0">
      <items count="115">
        <item x="23"/>
        <item x="10"/>
        <item x="26"/>
        <item x="15"/>
        <item x="5"/>
        <item x="7"/>
        <item x="6"/>
        <item x="9"/>
        <item x="12"/>
        <item x="13"/>
        <item x="1"/>
        <item x="16"/>
        <item x="4"/>
        <item x="17"/>
        <item x="21"/>
        <item x="19"/>
        <item x="20"/>
        <item x="11"/>
        <item x="24"/>
        <item x="25"/>
        <item x="27"/>
        <item x="28"/>
        <item x="30"/>
        <item x="31"/>
        <item x="32"/>
        <item x="8"/>
        <item x="33"/>
        <item x="34"/>
        <item x="35"/>
        <item x="36"/>
        <item x="37"/>
        <item x="38"/>
        <item x="39"/>
        <item x="40"/>
        <item x="41"/>
        <item x="42"/>
        <item x="43"/>
        <item x="3"/>
        <item x="44"/>
        <item x="45"/>
        <item x="46"/>
        <item x="47"/>
        <item x="48"/>
        <item x="49"/>
        <item x="50"/>
        <item x="51"/>
        <item x="52"/>
        <item x="53"/>
        <item x="54"/>
        <item x="55"/>
        <item x="56"/>
        <item x="58"/>
        <item x="59"/>
        <item x="57"/>
        <item x="60"/>
        <item x="61"/>
        <item x="62"/>
        <item x="63"/>
        <item x="64"/>
        <item x="65"/>
        <item x="66"/>
        <item x="67"/>
        <item x="68"/>
        <item x="22"/>
        <item x="69"/>
        <item x="70"/>
        <item x="0"/>
        <item x="71"/>
        <item x="72"/>
        <item x="74"/>
        <item x="73"/>
        <item x="75"/>
        <item x="76"/>
        <item x="77"/>
        <item x="78"/>
        <item x="79"/>
        <item x="80"/>
        <item x="81"/>
        <item x="82"/>
        <item x="83"/>
        <item x="84"/>
        <item x="85"/>
        <item x="86"/>
        <item x="14"/>
        <item x="87"/>
        <item x="88"/>
        <item x="89"/>
        <item x="90"/>
        <item x="91"/>
        <item x="92"/>
        <item x="93"/>
        <item x="94"/>
        <item x="29"/>
        <item x="95"/>
        <item x="96"/>
        <item x="97"/>
        <item x="98"/>
        <item x="99"/>
        <item x="100"/>
        <item x="101"/>
        <item x="102"/>
        <item x="103"/>
        <item x="104"/>
        <item x="105"/>
        <item x="106"/>
        <item x="107"/>
        <item x="18"/>
        <item x="108"/>
        <item x="109"/>
        <item x="110"/>
        <item x="111"/>
        <item x="112"/>
        <item x="2"/>
        <item x="113"/>
        <item t="default"/>
      </items>
    </pivotField>
    <pivotField showAll="0">
      <items count="3">
        <item x="0"/>
        <item x="1"/>
        <item t="default"/>
      </items>
    </pivotField>
    <pivotField axis="axisRow" showAll="0" sortType="descending">
      <items count="7">
        <item x="2"/>
        <item x="5"/>
        <item x="4"/>
        <item x="1"/>
        <item x="3"/>
        <item x="0"/>
        <item t="default"/>
      </items>
      <autoSortScope>
        <pivotArea dataOnly="0" outline="0" fieldPosition="0">
          <references count="1">
            <reference field="4294967294" count="1" selected="0">
              <x v="3"/>
            </reference>
          </references>
        </pivotArea>
      </autoSortScope>
    </pivotField>
    <pivotField showAll="0">
      <items count="37">
        <item x="1"/>
        <item x="26"/>
        <item x="6"/>
        <item x="0"/>
        <item x="24"/>
        <item x="15"/>
        <item x="23"/>
        <item x="16"/>
        <item x="29"/>
        <item x="7"/>
        <item x="31"/>
        <item x="30"/>
        <item x="2"/>
        <item x="21"/>
        <item x="27"/>
        <item x="8"/>
        <item x="33"/>
        <item x="13"/>
        <item x="17"/>
        <item x="9"/>
        <item x="18"/>
        <item x="20"/>
        <item x="10"/>
        <item x="34"/>
        <item x="3"/>
        <item x="28"/>
        <item x="11"/>
        <item x="25"/>
        <item x="4"/>
        <item x="12"/>
        <item x="19"/>
        <item x="5"/>
        <item x="35"/>
        <item x="14"/>
        <item x="32"/>
        <item x="22"/>
        <item t="default"/>
      </items>
    </pivotField>
    <pivotField dataField="1" showAll="0"/>
    <pivotField dataField="1" showAll="0"/>
    <pivotField dataField="1" showAll="0"/>
    <pivotField showAll="0"/>
    <pivotField showAll="0"/>
    <pivotField showAll="0"/>
    <pivotField dataField="1" showAll="0"/>
  </pivotFields>
  <rowFields count="1">
    <field x="5"/>
  </rowFields>
  <rowItems count="7">
    <i>
      <x v="3"/>
    </i>
    <i>
      <x/>
    </i>
    <i>
      <x v="5"/>
    </i>
    <i>
      <x v="4"/>
    </i>
    <i>
      <x v="2"/>
    </i>
    <i>
      <x v="1"/>
    </i>
    <i t="grand">
      <x/>
    </i>
  </rowItems>
  <colFields count="1">
    <field x="-2"/>
  </colFields>
  <colItems count="4">
    <i>
      <x/>
    </i>
    <i i="1">
      <x v="1"/>
    </i>
    <i i="2">
      <x v="2"/>
    </i>
    <i i="3">
      <x v="3"/>
    </i>
  </colItems>
  <dataFields count="4">
    <dataField name="Sum of 2022" fld="7" baseField="0" baseItem="0"/>
    <dataField name="Sum of 2023" fld="8" baseField="0" baseItem="0"/>
    <dataField name="Sum of YTD 2024" fld="9" baseField="0" baseItem="0"/>
    <dataField name="Sum of Total Value" fld="13" baseField="0" baseItem="0"/>
  </dataFields>
  <conditionalFormats count="1">
    <conditionalFormat priority="1">
      <pivotAreas count="1">
        <pivotArea type="data" collapsedLevelsAreSubtotals="1" fieldPosition="0">
          <references count="2">
            <reference field="4294967294" count="1" selected="0">
              <x v="3"/>
            </reference>
            <reference field="5" count="6">
              <x v="0"/>
              <x v="1"/>
              <x v="2"/>
              <x v="3"/>
              <x v="4"/>
              <x v="5"/>
            </reference>
          </references>
        </pivotArea>
      </pivotAreas>
    </conditionalFormat>
  </conditionalFormat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50" format="8" series="1">
      <pivotArea type="data" outline="0" fieldPosition="0">
        <references count="1">
          <reference field="4294967294" count="1" selected="0">
            <x v="0"/>
          </reference>
        </references>
      </pivotArea>
    </chartFormat>
    <chartFormat chart="50" format="9" series="1">
      <pivotArea type="data" outline="0" fieldPosition="0">
        <references count="1">
          <reference field="4294967294" count="1" selected="0">
            <x v="1"/>
          </reference>
        </references>
      </pivotArea>
    </chartFormat>
    <chartFormat chart="50" format="10" series="1">
      <pivotArea type="data" outline="0" fieldPosition="0">
        <references count="1">
          <reference field="4294967294" count="1" selected="0">
            <x v="2"/>
          </reference>
        </references>
      </pivotArea>
    </chartFormat>
    <chartFormat chart="50"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908AF8-8745-490A-8AB7-000D588E59DE}"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4:B15" firstHeaderRow="1" firstDataRow="1" firstDataCol="1" rowPageCount="1" colPageCount="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hideNewItems="1"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8"/>
    </i>
    <i>
      <x v="6"/>
    </i>
    <i>
      <x v="3"/>
    </i>
    <i>
      <x v="5"/>
    </i>
    <i>
      <x v="4"/>
    </i>
    <i>
      <x v="7"/>
    </i>
    <i>
      <x v="2"/>
    </i>
    <i>
      <x v="9"/>
    </i>
    <i>
      <x/>
    </i>
    <i t="grand">
      <x/>
    </i>
  </rowItems>
  <colItems count="1">
    <i/>
  </colItems>
  <pageFields count="1">
    <pageField fld="1" hier="0" name="[Table1].[MANUFACTURER2].[All]" cap="All"/>
  </pageFields>
  <dataFields count="1">
    <dataField name="Sum of Total Value" fld="2" showDataAs="percentOfTotal" baseField="0" baseItem="1" numFmtId="10"/>
  </dataFields>
  <chartFormats count="23">
    <chartFormat chart="5"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 chart="10" format="3">
      <pivotArea type="data" outline="0" fieldPosition="0">
        <references count="2">
          <reference field="4294967294" count="1" selected="0">
            <x v="0"/>
          </reference>
          <reference field="0" count="1" selected="0">
            <x v="8"/>
          </reference>
        </references>
      </pivotArea>
    </chartFormat>
    <chartFormat chart="10" format="4">
      <pivotArea type="data" outline="0" fieldPosition="0">
        <references count="2">
          <reference field="4294967294" count="1" selected="0">
            <x v="0"/>
          </reference>
          <reference field="0" count="1" selected="0">
            <x v="6"/>
          </reference>
        </references>
      </pivotArea>
    </chartFormat>
    <chartFormat chart="10" format="5">
      <pivotArea type="data" outline="0" fieldPosition="0">
        <references count="2">
          <reference field="4294967294" count="1" selected="0">
            <x v="0"/>
          </reference>
          <reference field="0" count="1" selected="0">
            <x v="3"/>
          </reference>
        </references>
      </pivotArea>
    </chartFormat>
    <chartFormat chart="10" format="6">
      <pivotArea type="data" outline="0" fieldPosition="0">
        <references count="2">
          <reference field="4294967294" count="1" selected="0">
            <x v="0"/>
          </reference>
          <reference field="0" count="1" selected="0">
            <x v="5"/>
          </reference>
        </references>
      </pivotArea>
    </chartFormat>
    <chartFormat chart="10" format="7">
      <pivotArea type="data" outline="0" fieldPosition="0">
        <references count="2">
          <reference field="4294967294" count="1" selected="0">
            <x v="0"/>
          </reference>
          <reference field="0" count="1" selected="0">
            <x v="4"/>
          </reference>
        </references>
      </pivotArea>
    </chartFormat>
    <chartFormat chart="10" format="8">
      <pivotArea type="data" outline="0" fieldPosition="0">
        <references count="2">
          <reference field="4294967294" count="1" selected="0">
            <x v="0"/>
          </reference>
          <reference field="0" count="1" selected="0">
            <x v="7"/>
          </reference>
        </references>
      </pivotArea>
    </chartFormat>
    <chartFormat chart="10" format="9">
      <pivotArea type="data" outline="0" fieldPosition="0">
        <references count="2">
          <reference field="4294967294" count="1" selected="0">
            <x v="0"/>
          </reference>
          <reference field="0" count="1" selected="0">
            <x v="2"/>
          </reference>
        </references>
      </pivotArea>
    </chartFormat>
    <chartFormat chart="10" format="10">
      <pivotArea type="data" outline="0" fieldPosition="0">
        <references count="2">
          <reference field="4294967294" count="1" selected="0">
            <x v="0"/>
          </reference>
          <reference field="0" count="1" selected="0">
            <x v="9"/>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1" format="23"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
          </reference>
        </references>
      </pivotArea>
    </chartFormat>
    <chartFormat chart="5" format="2">
      <pivotArea type="data" outline="0" fieldPosition="0">
        <references count="2">
          <reference field="4294967294" count="1" selected="0">
            <x v="0"/>
          </reference>
          <reference field="0" count="1" selected="0">
            <x v="8"/>
          </reference>
        </references>
      </pivotArea>
    </chartFormat>
    <chartFormat chart="5" format="3">
      <pivotArea type="data" outline="0" fieldPosition="0">
        <references count="2">
          <reference field="4294967294" count="1" selected="0">
            <x v="0"/>
          </reference>
          <reference field="0" count="1" selected="0">
            <x v="6"/>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5" format="5">
      <pivotArea type="data" outline="0" fieldPosition="0">
        <references count="2">
          <reference field="4294967294" count="1" selected="0">
            <x v="0"/>
          </reference>
          <reference field="0" count="1" selected="0">
            <x v="5"/>
          </reference>
        </references>
      </pivotArea>
    </chartFormat>
    <chartFormat chart="5" format="6">
      <pivotArea type="data" outline="0" fieldPosition="0">
        <references count="2">
          <reference field="4294967294" count="1" selected="0">
            <x v="0"/>
          </reference>
          <reference field="0" count="1" selected="0">
            <x v="4"/>
          </reference>
        </references>
      </pivotArea>
    </chartFormat>
    <chartFormat chart="5" format="7">
      <pivotArea type="data" outline="0" fieldPosition="0">
        <references count="2">
          <reference field="4294967294" count="1" selected="0">
            <x v="0"/>
          </reference>
          <reference field="0" count="1" selected="0">
            <x v="7"/>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5" format="9">
      <pivotArea type="data" outline="0" fieldPosition="0">
        <references count="2">
          <reference field="4294967294" count="1" selected="0">
            <x v="0"/>
          </reference>
          <reference field="0" count="1" selected="0">
            <x v="9"/>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s>
  <pivotHierarchies count="1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6" level="1">
        <member name="[Table2].[PACKAGE SIZE].&amp;[10]"/>
        <member name="[Table2].[PACKAGE SIZE].&amp;[100]"/>
        <member name="[Table2].[PACKAGE SIZE].&amp;[102]"/>
        <member name="[Table2].[PACKAGE SIZE].&amp;[110]"/>
        <member name="[Table2].[PACKAGE SIZE].&amp;[12]"/>
        <member name="[Table2].[PACKAGE SIZE].&amp;[120]"/>
        <member name="[Table2].[PACKAGE SIZE].&amp;[130]"/>
        <member name="[Table2].[PACKAGE SIZE].&amp;[140]"/>
        <member name="[Table2].[PACKAGE SIZE].&amp;[144]"/>
        <member name="[Table2].[PACKAGE SIZE].&amp;[15]"/>
        <member name="[Table2].[PACKAGE SIZE].&amp;[20]"/>
        <member name="[Table2].[PACKAGE SIZE].&amp;[24]"/>
        <member name="[Table2].[PACKAGE SIZE].&amp;[240]"/>
        <member name="[Table2].[PACKAGE SIZE].&amp;[25]"/>
        <member name="[Table2].[PACKAGE SIZE].&amp;[28]"/>
        <member name="[Table2].[PACKAGE SIZE].&amp;[30]"/>
        <member name="[Table2].[PACKAGE SIZE].&amp;[37]"/>
        <member name="[Table2].[PACKAGE SIZE].&amp;[40]"/>
        <member name="[Table2].[PACKAGE SIZE].&amp;[42.0000]"/>
        <member name="[Table2].[PACKAGE SIZE].&amp;[48]"/>
        <member name="[Table2].[PACKAGE SIZE].&amp;[50]"/>
        <member name="[Table2].[PACKAGE SIZE].&amp;[52]"/>
        <member name="[Table2].[PACKAGE SIZE].&amp;[54]"/>
        <member name="[Table2].[PACKAGE SIZE].&amp;[56]"/>
        <member name="[Table2].[PACKAGE SIZE].&amp;[57]"/>
        <member name="[Table2].[PACKAGE SIZE].&amp;[60]"/>
        <member name="[Table2].[PACKAGE SIZE].&amp;[63]"/>
        <member name="[Table2].[PACKAGE SIZE].&amp;[64]"/>
        <member name="[Table2].[PACKAGE SIZE].&amp;[66]"/>
        <member name="[Table2].[PACKAGE SIZE].&amp;[70]"/>
        <member name="[Table2].[PACKAGE SIZE].&amp;[72]"/>
        <member name="[Table2].[PACKAGE SIZE].&amp;[75]"/>
        <member name="[Table2].[PACKAGE SIZE].&amp;[80]"/>
        <member name="[Table2].[PACKAGE SIZE].&amp;[88]"/>
        <member name="[Table2].[PACKAGE SIZE].&amp;[90]"/>
        <member name="[Table2].[PACKAGE SIZE].&amp;[9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8">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C6A584-D0C4-4AD0-9872-3B753B7D53AE}"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C23" firstHeaderRow="0" firstDataRow="1" firstDataCol="1"/>
  <pivotFields count="18">
    <pivotField showAll="0"/>
    <pivotField showAll="0"/>
    <pivotField showAll="0"/>
    <pivotField axis="axisRow" showAll="0" measureFilter="1" sortType="descending">
      <items count="552">
        <item x="536"/>
        <item x="537"/>
        <item x="104"/>
        <item x="105"/>
        <item x="108"/>
        <item x="110"/>
        <item x="107"/>
        <item x="109"/>
        <item x="106"/>
        <item x="474"/>
        <item x="111"/>
        <item x="112"/>
        <item x="340"/>
        <item x="297"/>
        <item x="298"/>
        <item x="299"/>
        <item x="301"/>
        <item x="302"/>
        <item x="303"/>
        <item x="300"/>
        <item x="304"/>
        <item x="8"/>
        <item x="15"/>
        <item x="29"/>
        <item x="19"/>
        <item x="7"/>
        <item x="9"/>
        <item x="12"/>
        <item x="16"/>
        <item x="30"/>
        <item x="20"/>
        <item x="21"/>
        <item x="13"/>
        <item x="14"/>
        <item x="22"/>
        <item x="23"/>
        <item x="10"/>
        <item x="17"/>
        <item x="5"/>
        <item x="24"/>
        <item x="11"/>
        <item x="398"/>
        <item x="306"/>
        <item x="307"/>
        <item x="102"/>
        <item x="0"/>
        <item x="93"/>
        <item x="18"/>
        <item x="26"/>
        <item x="27"/>
        <item x="6"/>
        <item x="437"/>
        <item x="305"/>
        <item x="308"/>
        <item x="309"/>
        <item x="310"/>
        <item x="546"/>
        <item x="3"/>
        <item x="1"/>
        <item x="2"/>
        <item x="4"/>
        <item x="550"/>
        <item x="448"/>
        <item x="226"/>
        <item x="542"/>
        <item x="343"/>
        <item x="342"/>
        <item x="455"/>
        <item x="456"/>
        <item x="149"/>
        <item x="150"/>
        <item x="346"/>
        <item x="347"/>
        <item x="315"/>
        <item x="316"/>
        <item x="313"/>
        <item x="314"/>
        <item x="449"/>
        <item x="450"/>
        <item x="451"/>
        <item x="452"/>
        <item x="209"/>
        <item x="539"/>
        <item x="540"/>
        <item x="339"/>
        <item x="71"/>
        <item x="70"/>
        <item x="184"/>
        <item x="185"/>
        <item x="186"/>
        <item x="94"/>
        <item x="98"/>
        <item x="95"/>
        <item x="99"/>
        <item x="96"/>
        <item x="97"/>
        <item x="100"/>
        <item x="290"/>
        <item x="291"/>
        <item x="292"/>
        <item x="103"/>
        <item x="114"/>
        <item x="113"/>
        <item x="475"/>
        <item x="486"/>
        <item x="477"/>
        <item x="478"/>
        <item x="541"/>
        <item x="461"/>
        <item x="462"/>
        <item x="548"/>
        <item x="549"/>
        <item x="136"/>
        <item x="479"/>
        <item x="481"/>
        <item x="482"/>
        <item x="483"/>
        <item x="480"/>
        <item x="155"/>
        <item x="74"/>
        <item x="79"/>
        <item x="77"/>
        <item x="78"/>
        <item x="80"/>
        <item x="81"/>
        <item x="75"/>
        <item x="82"/>
        <item x="76"/>
        <item x="83"/>
        <item x="145"/>
        <item x="143"/>
        <item x="144"/>
        <item x="146"/>
        <item x="526"/>
        <item x="527"/>
        <item x="147"/>
        <item x="148"/>
        <item x="484"/>
        <item x="121"/>
        <item x="352"/>
        <item x="353"/>
        <item x="354"/>
        <item x="326"/>
        <item x="324"/>
        <item x="327"/>
        <item x="335"/>
        <item x="323"/>
        <item x="355"/>
        <item x="325"/>
        <item x="162"/>
        <item x="154"/>
        <item x="156"/>
        <item x="157"/>
        <item x="158"/>
        <item x="159"/>
        <item x="25"/>
        <item x="160"/>
        <item x="161"/>
        <item x="163"/>
        <item x="152"/>
        <item x="151"/>
        <item x="153"/>
        <item x="336"/>
        <item x="230"/>
        <item x="229"/>
        <item x="468"/>
        <item x="469"/>
        <item x="328"/>
        <item x="329"/>
        <item x="164"/>
        <item x="317"/>
        <item x="61"/>
        <item x="62"/>
        <item x="197"/>
        <item x="199"/>
        <item x="198"/>
        <item x="200"/>
        <item x="203"/>
        <item x="204"/>
        <item x="201"/>
        <item x="205"/>
        <item x="202"/>
        <item x="206"/>
        <item x="207"/>
        <item x="208"/>
        <item x="57"/>
        <item x="459"/>
        <item x="236"/>
        <item x="242"/>
        <item x="243"/>
        <item x="237"/>
        <item x="245"/>
        <item x="238"/>
        <item x="244"/>
        <item x="239"/>
        <item x="240"/>
        <item x="241"/>
        <item x="46"/>
        <item x="311"/>
        <item x="543"/>
        <item x="507"/>
        <item x="487"/>
        <item x="485"/>
        <item x="372"/>
        <item x="488"/>
        <item x="489"/>
        <item x="490"/>
        <item x="218"/>
        <item x="219"/>
        <item x="217"/>
        <item x="220"/>
        <item x="221"/>
        <item x="223"/>
        <item x="224"/>
        <item x="222"/>
        <item x="508"/>
        <item x="509"/>
        <item x="510"/>
        <item x="68"/>
        <item x="67"/>
        <item x="69"/>
        <item x="436"/>
        <item x="348"/>
        <item x="349"/>
        <item x="350"/>
        <item x="351"/>
        <item x="247"/>
        <item x="246"/>
        <item x="341"/>
        <item x="228"/>
        <item x="227"/>
        <item x="511"/>
        <item x="137"/>
        <item x="257"/>
        <item x="276"/>
        <item x="277"/>
        <item x="258"/>
        <item x="264"/>
        <item x="273"/>
        <item x="284"/>
        <item x="265"/>
        <item x="259"/>
        <item x="266"/>
        <item x="278"/>
        <item x="287"/>
        <item x="267"/>
        <item x="260"/>
        <item x="261"/>
        <item x="268"/>
        <item x="279"/>
        <item x="280"/>
        <item x="274"/>
        <item x="281"/>
        <item x="262"/>
        <item x="269"/>
        <item x="285"/>
        <item x="272"/>
        <item x="282"/>
        <item x="283"/>
        <item x="286"/>
        <item x="263"/>
        <item x="270"/>
        <item x="271"/>
        <item x="275"/>
        <item x="139"/>
        <item x="140"/>
        <item x="141"/>
        <item x="142"/>
        <item x="32"/>
        <item x="33"/>
        <item x="34"/>
        <item x="35"/>
        <item x="36"/>
        <item x="37"/>
        <item x="38"/>
        <item x="39"/>
        <item x="43"/>
        <item x="40"/>
        <item x="41"/>
        <item x="31"/>
        <item x="42"/>
        <item x="166"/>
        <item x="167"/>
        <item x="45"/>
        <item x="44"/>
        <item x="312"/>
        <item x="225"/>
        <item x="472"/>
        <item x="473"/>
        <item x="460"/>
        <item x="464"/>
        <item x="465"/>
        <item x="463"/>
        <item x="373"/>
        <item x="176"/>
        <item x="115"/>
        <item x="293"/>
        <item x="294"/>
        <item x="295"/>
        <item x="538"/>
        <item x="190"/>
        <item x="191"/>
        <item x="192"/>
        <item x="73"/>
        <item x="194"/>
        <item x="195"/>
        <item x="196"/>
        <item x="189"/>
        <item x="318"/>
        <item x="249"/>
        <item x="250"/>
        <item x="253"/>
        <item x="254"/>
        <item x="255"/>
        <item x="256"/>
        <item x="251"/>
        <item x="252"/>
        <item x="116"/>
        <item x="117"/>
        <item x="330"/>
        <item x="175"/>
        <item x="533"/>
        <item x="534"/>
        <item x="321"/>
        <item x="322"/>
        <item x="170"/>
        <item x="171"/>
        <item x="168"/>
        <item x="169"/>
        <item x="172"/>
        <item x="118"/>
        <item x="512"/>
        <item x="513"/>
        <item x="88"/>
        <item x="89"/>
        <item x="86"/>
        <item x="90"/>
        <item x="87"/>
        <item x="101"/>
        <item x="122"/>
        <item x="123"/>
        <item x="442"/>
        <item x="366"/>
        <item x="367"/>
        <item x="358"/>
        <item x="359"/>
        <item x="360"/>
        <item x="368"/>
        <item x="28"/>
        <item x="364"/>
        <item x="418"/>
        <item x="371"/>
        <item x="476"/>
        <item x="419"/>
        <item x="193"/>
        <item x="374"/>
        <item x="375"/>
        <item x="376"/>
        <item x="377"/>
        <item x="378"/>
        <item x="379"/>
        <item x="380"/>
        <item x="381"/>
        <item x="382"/>
        <item x="383"/>
        <item x="384"/>
        <item x="385"/>
        <item x="386"/>
        <item x="387"/>
        <item x="388"/>
        <item x="389"/>
        <item x="390"/>
        <item x="391"/>
        <item x="420"/>
        <item x="421"/>
        <item x="422"/>
        <item x="423"/>
        <item x="369"/>
        <item x="424"/>
        <item x="393"/>
        <item x="394"/>
        <item x="188"/>
        <item x="425"/>
        <item x="426"/>
        <item x="427"/>
        <item x="428"/>
        <item x="429"/>
        <item x="438"/>
        <item x="439"/>
        <item x="430"/>
        <item x="431"/>
        <item x="432"/>
        <item x="433"/>
        <item x="434"/>
        <item x="435"/>
        <item x="440"/>
        <item x="441"/>
        <item x="400"/>
        <item x="401"/>
        <item x="370"/>
        <item x="399"/>
        <item x="402"/>
        <item x="403"/>
        <item x="404"/>
        <item x="405"/>
        <item x="406"/>
        <item x="407"/>
        <item x="408"/>
        <item x="409"/>
        <item x="410"/>
        <item x="411"/>
        <item x="443"/>
        <item x="412"/>
        <item x="413"/>
        <item x="361"/>
        <item x="414"/>
        <item x="362"/>
        <item x="395"/>
        <item x="396"/>
        <item x="397"/>
        <item x="392"/>
        <item x="213"/>
        <item x="363"/>
        <item x="415"/>
        <item x="416"/>
        <item x="417"/>
        <item x="365"/>
        <item x="344"/>
        <item x="47"/>
        <item x="48"/>
        <item x="49"/>
        <item x="50"/>
        <item x="55"/>
        <item x="51"/>
        <item x="52"/>
        <item x="53"/>
        <item x="54"/>
        <item x="56"/>
        <item x="215"/>
        <item x="514"/>
        <item x="515"/>
        <item x="516"/>
        <item x="216"/>
        <item x="345"/>
        <item x="187"/>
        <item x="165"/>
        <item x="58"/>
        <item x="59"/>
        <item x="180"/>
        <item x="181"/>
        <item x="182"/>
        <item x="183"/>
        <item x="173"/>
        <item x="445"/>
        <item x="444"/>
        <item x="179"/>
        <item x="177"/>
        <item x="178"/>
        <item x="544"/>
        <item x="545"/>
        <item x="331"/>
        <item x="337"/>
        <item x="288"/>
        <item x="124"/>
        <item x="174"/>
        <item x="234"/>
        <item x="519"/>
        <item x="520"/>
        <item x="522"/>
        <item x="523"/>
        <item x="517"/>
        <item x="518"/>
        <item x="521"/>
        <item x="235"/>
        <item x="232"/>
        <item x="233"/>
        <item x="231"/>
        <item x="471"/>
        <item x="470"/>
        <item x="457"/>
        <item x="524"/>
        <item x="296"/>
        <item x="497"/>
        <item x="492"/>
        <item x="491"/>
        <item x="496"/>
        <item x="505"/>
        <item x="506"/>
        <item x="493"/>
        <item x="498"/>
        <item x="499"/>
        <item x="500"/>
        <item x="504"/>
        <item x="494"/>
        <item x="501"/>
        <item x="502"/>
        <item x="495"/>
        <item x="503"/>
        <item x="138"/>
        <item x="133"/>
        <item x="126"/>
        <item x="127"/>
        <item x="131"/>
        <item x="128"/>
        <item x="129"/>
        <item x="132"/>
        <item x="125"/>
        <item x="130"/>
        <item x="356"/>
        <item x="91"/>
        <item x="458"/>
        <item x="92"/>
        <item x="338"/>
        <item x="466"/>
        <item x="467"/>
        <item x="525"/>
        <item x="248"/>
        <item x="84"/>
        <item x="85"/>
        <item x="333"/>
        <item x="332"/>
        <item x="334"/>
        <item x="289"/>
        <item x="535"/>
        <item x="60"/>
        <item x="63"/>
        <item x="65"/>
        <item x="64"/>
        <item x="66"/>
        <item x="547"/>
        <item x="72"/>
        <item x="446"/>
        <item x="447"/>
        <item x="453"/>
        <item x="454"/>
        <item x="531"/>
        <item x="530"/>
        <item x="532"/>
        <item x="528"/>
        <item x="529"/>
        <item x="210"/>
        <item x="211"/>
        <item x="212"/>
        <item x="357"/>
        <item x="214"/>
        <item x="119"/>
        <item x="120"/>
        <item x="319"/>
        <item x="320"/>
        <item x="134"/>
        <item x="135"/>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dataField="1" numFmtId="2" showAll="0"/>
    <pivotField numFmtId="2" showAll="0"/>
    <pivotField numFmtId="2" showAll="0"/>
    <pivotField numFmtId="2" showAll="0"/>
    <pivotField numFmtId="2" showAll="0"/>
    <pivotField dataField="1" numFmtId="2" showAll="0"/>
    <pivotField numFmtId="10" showAll="0"/>
    <pivotField numFmtId="10" showAll="0"/>
    <pivotField numFmtId="10" showAll="0"/>
    <pivotField showAll="0"/>
  </pivotFields>
  <rowFields count="1">
    <field x="3"/>
  </rowFields>
  <rowItems count="6">
    <i>
      <x v="50"/>
    </i>
    <i>
      <x v="25"/>
    </i>
    <i>
      <x v="155"/>
    </i>
    <i>
      <x v="348"/>
    </i>
    <i>
      <x v="303"/>
    </i>
    <i t="grand">
      <x/>
    </i>
  </rowItems>
  <colFields count="1">
    <field x="-2"/>
  </colFields>
  <colItems count="2">
    <i>
      <x/>
    </i>
    <i i="1">
      <x v="1"/>
    </i>
  </colItems>
  <dataFields count="2">
    <dataField name="Sum of Total Value" fld="13" showDataAs="percentOfCol" baseField="3" baseItem="50" numFmtId="10"/>
    <dataField name="Sum of 2023" fld="8" baseField="0" baseItem="0" numFmtId="2"/>
  </dataFields>
  <conditionalFormats count="2">
    <conditionalFormat priority="2">
      <pivotAreas count="1">
        <pivotArea type="data" collapsedLevelsAreSubtotals="1" fieldPosition="0">
          <references count="2">
            <reference field="4294967294" count="1" selected="0">
              <x v="0"/>
            </reference>
            <reference field="3" count="20">
              <x v="25"/>
              <x v="41"/>
              <x v="50"/>
              <x v="51"/>
              <x v="104"/>
              <x v="118"/>
              <x v="155"/>
              <x v="203"/>
              <x v="221"/>
              <x v="293"/>
              <x v="303"/>
              <x v="348"/>
              <x v="352"/>
              <x v="354"/>
              <x v="377"/>
              <x v="381"/>
              <x v="420"/>
              <x v="421"/>
              <x v="445"/>
              <x v="543"/>
            </reference>
          </references>
        </pivotArea>
      </pivotAreas>
    </conditionalFormat>
    <conditionalFormat type="all" priority="1">
      <pivotAreas count="1">
        <pivotArea type="data" collapsedLevelsAreSubtotals="1" fieldPosition="0">
          <references count="2">
            <reference field="4294967294" count="1" selected="0">
              <x v="0"/>
            </reference>
            <reference field="3" count="20">
              <x v="25"/>
              <x v="41"/>
              <x v="50"/>
              <x v="51"/>
              <x v="104"/>
              <x v="118"/>
              <x v="155"/>
              <x v="203"/>
              <x v="221"/>
              <x v="293"/>
              <x v="303"/>
              <x v="348"/>
              <x v="352"/>
              <x v="354"/>
              <x v="377"/>
              <x v="381"/>
              <x v="420"/>
              <x v="421"/>
              <x v="445"/>
              <x v="543"/>
            </reference>
          </references>
        </pivotArea>
      </pivotAreas>
    </conditionalFormat>
  </conditional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3E416C-7301-40FA-928E-E95C1954128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4:E15" firstHeaderRow="1" firstDataRow="1" firstDataCol="1"/>
  <pivotFields count="18">
    <pivotField axis="axisRow" showAll="0" measureFilter="1" sortType="descending">
      <items count="108">
        <item x="18"/>
        <item x="7"/>
        <item x="9"/>
        <item x="8"/>
        <item x="11"/>
        <item x="14"/>
        <item x="38"/>
        <item x="16"/>
        <item x="1"/>
        <item x="19"/>
        <item x="98"/>
        <item x="6"/>
        <item x="49"/>
        <item x="20"/>
        <item x="48"/>
        <item x="43"/>
        <item x="24"/>
        <item x="35"/>
        <item x="22"/>
        <item x="23"/>
        <item x="84"/>
        <item x="53"/>
        <item x="25"/>
        <item x="26"/>
        <item x="12"/>
        <item x="71"/>
        <item x="13"/>
        <item x="73"/>
        <item x="27"/>
        <item x="28"/>
        <item x="29"/>
        <item x="30"/>
        <item x="32"/>
        <item x="88"/>
        <item x="33"/>
        <item x="76"/>
        <item x="34"/>
        <item x="101"/>
        <item x="10"/>
        <item x="3"/>
        <item x="60"/>
        <item x="58"/>
        <item x="36"/>
        <item x="106"/>
        <item x="95"/>
        <item x="74"/>
        <item x="42"/>
        <item x="5"/>
        <item x="44"/>
        <item x="46"/>
        <item x="47"/>
        <item x="51"/>
        <item x="54"/>
        <item x="55"/>
        <item x="56"/>
        <item x="57"/>
        <item x="15"/>
        <item x="93"/>
        <item x="103"/>
        <item x="61"/>
        <item x="62"/>
        <item x="63"/>
        <item x="64"/>
        <item x="40"/>
        <item x="65"/>
        <item x="67"/>
        <item x="52"/>
        <item x="69"/>
        <item x="68"/>
        <item x="70"/>
        <item x="72"/>
        <item x="75"/>
        <item x="78"/>
        <item x="59"/>
        <item x="4"/>
        <item x="80"/>
        <item x="81"/>
        <item x="17"/>
        <item x="77"/>
        <item x="94"/>
        <item x="97"/>
        <item x="83"/>
        <item x="82"/>
        <item x="39"/>
        <item x="85"/>
        <item x="86"/>
        <item x="31"/>
        <item x="90"/>
        <item x="79"/>
        <item x="92"/>
        <item x="89"/>
        <item x="91"/>
        <item x="50"/>
        <item x="96"/>
        <item x="37"/>
        <item x="41"/>
        <item x="99"/>
        <item x="100"/>
        <item x="45"/>
        <item x="21"/>
        <item x="102"/>
        <item x="104"/>
        <item x="105"/>
        <item x="2"/>
        <item x="66"/>
        <item x="8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dataField="1" numFmtId="2" showAll="0"/>
    <pivotField numFmtId="10" showAll="0"/>
    <pivotField numFmtId="10" showAll="0"/>
    <pivotField numFmtId="10" showAll="0"/>
    <pivotField showAll="0"/>
  </pivotFields>
  <rowFields count="1">
    <field x="0"/>
  </rowFields>
  <rowItems count="11">
    <i>
      <x v="103"/>
    </i>
    <i>
      <x v="74"/>
    </i>
    <i>
      <x v="39"/>
    </i>
    <i>
      <x v="88"/>
    </i>
    <i>
      <x v="47"/>
    </i>
    <i>
      <x v="7"/>
    </i>
    <i>
      <x v="54"/>
    </i>
    <i>
      <x v="56"/>
    </i>
    <i>
      <x v="57"/>
    </i>
    <i>
      <x v="40"/>
    </i>
    <i t="grand">
      <x/>
    </i>
  </rowItems>
  <colItems count="1">
    <i/>
  </colItems>
  <dataFields count="1">
    <dataField name="Sum of Total Value" fld="13" showDataAs="percentOfTotal" baseField="0" baseItem="103" numFmtId="10"/>
  </dataFields>
  <chartFormats count="22">
    <chartFormat chart="1" format="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103"/>
          </reference>
        </references>
      </pivotArea>
    </chartFormat>
    <chartFormat chart="8" format="14">
      <pivotArea type="data" outline="0" fieldPosition="0">
        <references count="2">
          <reference field="4294967294" count="1" selected="0">
            <x v="0"/>
          </reference>
          <reference field="0" count="1" selected="0">
            <x v="74"/>
          </reference>
        </references>
      </pivotArea>
    </chartFormat>
    <chartFormat chart="8" format="15">
      <pivotArea type="data" outline="0" fieldPosition="0">
        <references count="2">
          <reference field="4294967294" count="1" selected="0">
            <x v="0"/>
          </reference>
          <reference field="0" count="1" selected="0">
            <x v="39"/>
          </reference>
        </references>
      </pivotArea>
    </chartFormat>
    <chartFormat chart="8" format="16">
      <pivotArea type="data" outline="0" fieldPosition="0">
        <references count="2">
          <reference field="4294967294" count="1" selected="0">
            <x v="0"/>
          </reference>
          <reference field="0" count="1" selected="0">
            <x v="88"/>
          </reference>
        </references>
      </pivotArea>
    </chartFormat>
    <chartFormat chart="8" format="17">
      <pivotArea type="data" outline="0" fieldPosition="0">
        <references count="2">
          <reference field="4294967294" count="1" selected="0">
            <x v="0"/>
          </reference>
          <reference field="0" count="1" selected="0">
            <x v="47"/>
          </reference>
        </references>
      </pivotArea>
    </chartFormat>
    <chartFormat chart="8" format="18">
      <pivotArea type="data" outline="0" fieldPosition="0">
        <references count="2">
          <reference field="4294967294" count="1" selected="0">
            <x v="0"/>
          </reference>
          <reference field="0" count="1" selected="0">
            <x v="7"/>
          </reference>
        </references>
      </pivotArea>
    </chartFormat>
    <chartFormat chart="8" format="19">
      <pivotArea type="data" outline="0" fieldPosition="0">
        <references count="2">
          <reference field="4294967294" count="1" selected="0">
            <x v="0"/>
          </reference>
          <reference field="0" count="1" selected="0">
            <x v="54"/>
          </reference>
        </references>
      </pivotArea>
    </chartFormat>
    <chartFormat chart="8" format="20">
      <pivotArea type="data" outline="0" fieldPosition="0">
        <references count="2">
          <reference field="4294967294" count="1" selected="0">
            <x v="0"/>
          </reference>
          <reference field="0" count="1" selected="0">
            <x v="56"/>
          </reference>
        </references>
      </pivotArea>
    </chartFormat>
    <chartFormat chart="8" format="21">
      <pivotArea type="data" outline="0" fieldPosition="0">
        <references count="2">
          <reference field="4294967294" count="1" selected="0">
            <x v="0"/>
          </reference>
          <reference field="0" count="1" selected="0">
            <x v="57"/>
          </reference>
        </references>
      </pivotArea>
    </chartFormat>
    <chartFormat chart="8" format="22">
      <pivotArea type="data" outline="0" fieldPosition="0">
        <references count="2">
          <reference field="4294967294" count="1" selected="0">
            <x v="0"/>
          </reference>
          <reference field="0" count="1" selected="0">
            <x v="40"/>
          </reference>
        </references>
      </pivotArea>
    </chartFormat>
    <chartFormat chart="1" format="1">
      <pivotArea type="data" outline="0" fieldPosition="0">
        <references count="2">
          <reference field="4294967294" count="1" selected="0">
            <x v="0"/>
          </reference>
          <reference field="0" count="1" selected="0">
            <x v="103"/>
          </reference>
        </references>
      </pivotArea>
    </chartFormat>
    <chartFormat chart="1" format="2">
      <pivotArea type="data" outline="0" fieldPosition="0">
        <references count="2">
          <reference field="4294967294" count="1" selected="0">
            <x v="0"/>
          </reference>
          <reference field="0" count="1" selected="0">
            <x v="74"/>
          </reference>
        </references>
      </pivotArea>
    </chartFormat>
    <chartFormat chart="1" format="3">
      <pivotArea type="data" outline="0" fieldPosition="0">
        <references count="2">
          <reference field="4294967294" count="1" selected="0">
            <x v="0"/>
          </reference>
          <reference field="0" count="1" selected="0">
            <x v="39"/>
          </reference>
        </references>
      </pivotArea>
    </chartFormat>
    <chartFormat chart="1" format="4">
      <pivotArea type="data" outline="0" fieldPosition="0">
        <references count="2">
          <reference field="4294967294" count="1" selected="0">
            <x v="0"/>
          </reference>
          <reference field="0" count="1" selected="0">
            <x v="88"/>
          </reference>
        </references>
      </pivotArea>
    </chartFormat>
    <chartFormat chart="1" format="5">
      <pivotArea type="data" outline="0" fieldPosition="0">
        <references count="2">
          <reference field="4294967294" count="1" selected="0">
            <x v="0"/>
          </reference>
          <reference field="0" count="1" selected="0">
            <x v="47"/>
          </reference>
        </references>
      </pivotArea>
    </chartFormat>
    <chartFormat chart="1" format="6">
      <pivotArea type="data" outline="0" fieldPosition="0">
        <references count="2">
          <reference field="4294967294" count="1" selected="0">
            <x v="0"/>
          </reference>
          <reference field="0" count="1" selected="0">
            <x v="7"/>
          </reference>
        </references>
      </pivotArea>
    </chartFormat>
    <chartFormat chart="1" format="7">
      <pivotArea type="data" outline="0" fieldPosition="0">
        <references count="2">
          <reference field="4294967294" count="1" selected="0">
            <x v="0"/>
          </reference>
          <reference field="0" count="1" selected="0">
            <x v="54"/>
          </reference>
        </references>
      </pivotArea>
    </chartFormat>
    <chartFormat chart="1" format="8">
      <pivotArea type="data" outline="0" fieldPosition="0">
        <references count="2">
          <reference field="4294967294" count="1" selected="0">
            <x v="0"/>
          </reference>
          <reference field="0" count="1" selected="0">
            <x v="56"/>
          </reference>
        </references>
      </pivotArea>
    </chartFormat>
    <chartFormat chart="1" format="9">
      <pivotArea type="data" outline="0" fieldPosition="0">
        <references count="2">
          <reference field="4294967294" count="1" selected="0">
            <x v="0"/>
          </reference>
          <reference field="0" count="1" selected="0">
            <x v="57"/>
          </reference>
        </references>
      </pivotArea>
    </chartFormat>
    <chartFormat chart="1" format="10">
      <pivotArea type="data" outline="0" fieldPosition="0">
        <references count="2">
          <reference field="4294967294" count="1" selected="0">
            <x v="0"/>
          </reference>
          <reference field="0" count="1" selected="0">
            <x v="4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tection_Care" xr10:uid="{590BD58B-852D-45CD-B6AE-6C527877DF58}" sourceName="Protection/Care">
  <pivotTables>
    <pivotTable tabId="13" name="PivotTable_salesbyprotection"/>
  </pivotTables>
  <data>
    <tabular pivotCacheId="837604000">
      <items count="6">
        <i x="2" s="1"/>
        <i x="5" s="1"/>
        <i x="4"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_SIZE2" xr10:uid="{BFBA0E71-79AA-48F3-AD99-5FD6697B020C}" sourceName="[BabycareRaw].[PACKAGE SIZE]">
  <data>
    <olap pivotCacheId="974863459">
      <levels count="2">
        <level uniqueName="[BabycareRaw].[PACKAGE SIZE].[(All)]" sourceCaption="(All)" count="0"/>
        <level uniqueName="[BabycareRaw].[PACKAGE SIZE].[PACKAGE SIZE]" sourceCaption="PACKAGE SIZE" count="37">
          <ranges>
            <range startItem="0">
              <i n="[BabycareRaw].[PACKAGE SIZE].&amp;" c="(blank)"/>
              <i n="[BabycareRaw].[PACKAGE SIZE].&amp;[10]" c="10"/>
              <i n="[BabycareRaw].[PACKAGE SIZE].&amp;[100]" c="100"/>
              <i n="[BabycareRaw].[PACKAGE SIZE].&amp;[102]" c="102"/>
              <i n="[BabycareRaw].[PACKAGE SIZE].&amp;[110]" c="110"/>
              <i n="[BabycareRaw].[PACKAGE SIZE].&amp;[12]" c="12"/>
              <i n="[BabycareRaw].[PACKAGE SIZE].&amp;[120]" c="120"/>
              <i n="[BabycareRaw].[PACKAGE SIZE].&amp;[130]" c="130"/>
              <i n="[BabycareRaw].[PACKAGE SIZE].&amp;[140]" c="140"/>
              <i n="[BabycareRaw].[PACKAGE SIZE].&amp;[144]" c="144"/>
              <i n="[BabycareRaw].[PACKAGE SIZE].&amp;[15]" c="15"/>
              <i n="[BabycareRaw].[PACKAGE SIZE].&amp;[20]" c="20"/>
              <i n="[BabycareRaw].[PACKAGE SIZE].&amp;[24]" c="24"/>
              <i n="[BabycareRaw].[PACKAGE SIZE].&amp;[240]" c="240"/>
              <i n="[BabycareRaw].[PACKAGE SIZE].&amp;[25]" c="25"/>
              <i n="[BabycareRaw].[PACKAGE SIZE].&amp;[28]" c="28"/>
              <i n="[BabycareRaw].[PACKAGE SIZE].&amp;[30]" c="30"/>
              <i n="[BabycareRaw].[PACKAGE SIZE].&amp;[37]" c="37"/>
              <i n="[BabycareRaw].[PACKAGE SIZE].&amp;[40]" c="40"/>
              <i n="[BabycareRaw].[PACKAGE SIZE].&amp;[42.0000]" c="42.0000"/>
              <i n="[BabycareRaw].[PACKAGE SIZE].&amp;[48]" c="48"/>
              <i n="[BabycareRaw].[PACKAGE SIZE].&amp;[50]" c="50"/>
              <i n="[BabycareRaw].[PACKAGE SIZE].&amp;[52]" c="52"/>
              <i n="[BabycareRaw].[PACKAGE SIZE].&amp;[54]" c="54"/>
              <i n="[BabycareRaw].[PACKAGE SIZE].&amp;[56]" c="56"/>
              <i n="[BabycareRaw].[PACKAGE SIZE].&amp;[57]" c="57"/>
              <i n="[BabycareRaw].[PACKAGE SIZE].&amp;[60]" c="60"/>
              <i n="[BabycareRaw].[PACKAGE SIZE].&amp;[63]" c="63"/>
              <i n="[BabycareRaw].[PACKAGE SIZE].&amp;[64]" c="64"/>
              <i n="[BabycareRaw].[PACKAGE SIZE].&amp;[66]" c="66"/>
              <i n="[BabycareRaw].[PACKAGE SIZE].&amp;[70]" c="70"/>
              <i n="[BabycareRaw].[PACKAGE SIZE].&amp;[72]" c="72"/>
              <i n="[BabycareRaw].[PACKAGE SIZE].&amp;[75]" c="75"/>
              <i n="[BabycareRaw].[PACKAGE SIZE].&amp;[80]" c="80"/>
              <i n="[BabycareRaw].[PACKAGE SIZE].&amp;[88]" c="88"/>
              <i n="[BabycareRaw].[PACKAGE SIZE].&amp;[90]" c="90"/>
              <i n="[BabycareRaw].[PACKAGE SIZE].&amp;[96]" c="96"/>
            </range>
          </ranges>
        </level>
      </levels>
      <selections count="36">
        <selection n="[BabycareRaw].[PACKAGE SIZE].&amp;[10]"/>
        <selection n="[BabycareRaw].[PACKAGE SIZE].&amp;[100]"/>
        <selection n="[BabycareRaw].[PACKAGE SIZE].&amp;[102]"/>
        <selection n="[BabycareRaw].[PACKAGE SIZE].&amp;[110]"/>
        <selection n="[BabycareRaw].[PACKAGE SIZE].&amp;[12]"/>
        <selection n="[BabycareRaw].[PACKAGE SIZE].&amp;[120]"/>
        <selection n="[BabycareRaw].[PACKAGE SIZE].&amp;[130]"/>
        <selection n="[BabycareRaw].[PACKAGE SIZE].&amp;[140]"/>
        <selection n="[BabycareRaw].[PACKAGE SIZE].&amp;[144]"/>
        <selection n="[BabycareRaw].[PACKAGE SIZE].&amp;[15]"/>
        <selection n="[BabycareRaw].[PACKAGE SIZE].&amp;[20]"/>
        <selection n="[BabycareRaw].[PACKAGE SIZE].&amp;[24]"/>
        <selection n="[BabycareRaw].[PACKAGE SIZE].&amp;[240]"/>
        <selection n="[BabycareRaw].[PACKAGE SIZE].&amp;[25]"/>
        <selection n="[BabycareRaw].[PACKAGE SIZE].&amp;[28]"/>
        <selection n="[BabycareRaw].[PACKAGE SIZE].&amp;[30]"/>
        <selection n="[BabycareRaw].[PACKAGE SIZE].&amp;[37]"/>
        <selection n="[BabycareRaw].[PACKAGE SIZE].&amp;[40]"/>
        <selection n="[BabycareRaw].[PACKAGE SIZE].&amp;[42.0000]"/>
        <selection n="[BabycareRaw].[PACKAGE SIZE].&amp;[48]"/>
        <selection n="[BabycareRaw].[PACKAGE SIZE].&amp;[50]"/>
        <selection n="[BabycareRaw].[PACKAGE SIZE].&amp;[52]"/>
        <selection n="[BabycareRaw].[PACKAGE SIZE].&amp;[54]"/>
        <selection n="[BabycareRaw].[PACKAGE SIZE].&amp;[56]"/>
        <selection n="[BabycareRaw].[PACKAGE SIZE].&amp;[57]"/>
        <selection n="[BabycareRaw].[PACKAGE SIZE].&amp;[60]"/>
        <selection n="[BabycareRaw].[PACKAGE SIZE].&amp;[63]"/>
        <selection n="[BabycareRaw].[PACKAGE SIZE].&amp;[64]"/>
        <selection n="[BabycareRaw].[PACKAGE SIZE].&amp;[66]"/>
        <selection n="[BabycareRaw].[PACKAGE SIZE].&amp;[70]"/>
        <selection n="[BabycareRaw].[PACKAGE SIZE].&amp;[72]"/>
        <selection n="[BabycareRaw].[PACKAGE SIZE].&amp;[75]"/>
        <selection n="[BabycareRaw].[PACKAGE SIZE].&amp;[80]"/>
        <selection n="[BabycareRaw].[PACKAGE SIZE].&amp;[88]"/>
        <selection n="[BabycareRaw].[PACKAGE SIZE].&amp;[90]"/>
        <selection n="[BabycareRaw].[PACKAGE SIZE].&amp;[96]"/>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03FBC92-E4CC-4103-A072-ECC2DE683BA1}" sourceName="[Table1].[BRAND]">
  <pivotTables>
    <pivotTable tabId="8" name="PivotTable_salesbymanufacturer"/>
    <pivotTable tabId="8" name="PivotTable3"/>
    <pivotTable tabId="11" name="salesbybrand"/>
    <pivotTable tabId="14" name="PivotTable9"/>
    <pivotTable tabId="18" name="PivotTable1"/>
  </pivotTables>
  <data>
    <olap pivotCacheId="600683326">
      <levels count="2">
        <level uniqueName="[Table1].[BRAND].[(All)]" sourceCaption="(All)" count="0"/>
        <level uniqueName="[Table1].[BRAND].[BRAND]" sourceCaption="BRAND" count="152">
          <ranges>
            <range startItem="0">
              <i n="[Table1].[BRAND].&amp;[ALVESTA]" c="ALVESTA"/>
              <i n="[Table1].[BRAND].&amp;[AQUELLA]" c="AQUELLA"/>
              <i n="[Table1].[BRAND].&amp;[ASALI]" c="ASALI"/>
              <i n="[Table1].[BRAND].&amp;[AURA]" c="AURA"/>
              <i n="[Table1].[BRAND].&amp;[BABS &amp; BABS]" c="BABS &amp; BABS"/>
              <i n="[Table1].[BRAND].&amp;[BABY 2000]" c="BABY 2000"/>
              <i n="[Table1].[BRAND].&amp;[BABY 2258]" c="BABY 2258"/>
              <i n="[Table1].[BRAND].&amp;[BABY CARE]" c="BABY CARE"/>
              <i n="[Table1].[BRAND].&amp;[BABY CREMA]" c="BABY CREMA"/>
              <i n="[Table1].[BRAND].&amp;[BABY WISH]" c="BABY WISH"/>
              <i n="[Table1].[BRAND].&amp;[BABYLINO]" c="BABYLINO"/>
              <i n="[Table1].[BRAND].&amp;[BAMBINO]" c="BAMBINO"/>
              <i n="[Table1].[BRAND].&amp;[BAMBO]" c="BAMBO"/>
              <i n="[Table1].[BRAND].&amp;[BEBECAN]" c="BEBECAN"/>
              <i n="[Table1].[BRAND].&amp;[BEBECEN]" c="BEBECEN"/>
              <i n="[Table1].[BRAND].&amp;[BEBIKO]" c="BEBIKO"/>
              <i n="[Table1].[BRAND].&amp;[BELUX]" c="BELUX"/>
              <i n="[Table1].[BRAND].&amp;[BERFINY]" c="BERFINY"/>
              <i n="[Table1].[BRAND].&amp;[BETTY]" c="BETTY"/>
              <i n="[Table1].[BRAND].&amp;[BIG SOFT]" c="BIG SOFT"/>
              <i n="[Table1].[BRAND].&amp;[BIMBO &amp; BIMBA]" c="BIMBO &amp; BIMBA"/>
              <i n="[Table1].[BRAND].&amp;[BIONIKE]" c="BIONIKE"/>
              <i n="[Table1].[BRAND].&amp;[BIVY]" c="BIVY"/>
              <i n="[Table1].[BRAND].&amp;[CAN BEBE]" c="CAN BEBE"/>
              <i n="[Table1].[BRAND].&amp;[CHICCO]" c="CHICCO"/>
              <i n="[Table1].[BRAND].&amp;[CLEANIC]" c="CLEANIC"/>
              <i n="[Table1].[BRAND].&amp;[ClearSight]" c="ClearSight"/>
              <i n="[Table1].[BRAND].&amp;[CONFY]" c="CONFY"/>
              <i n="[Table1].[BRAND].&amp;[COSMI]" c="COSMI"/>
              <i n="[Table1].[BRAND].&amp;[COTTON BABY]" c="COTTON BABY"/>
              <i n="[Table1].[BRAND].&amp;[COTTON SOFT]" c="COTTON SOFT"/>
              <i n="[Table1].[BRAND].&amp;[DAISY]" c="DAISY"/>
              <i n="[Table1].[BRAND].&amp;[DOCTOR]" c="DOCTOR"/>
              <i n="[Table1].[BRAND].&amp;[DOVE]" c="DOVE"/>
              <i n="[Table1].[BRAND].&amp;[ELAN]" c="ELAN"/>
              <i n="[Table1].[BRAND].&amp;[ELVIM]" c="ELVIM"/>
              <i n="[Table1].[BRAND].&amp;[EVENT]" c="EVENT"/>
              <i n="[Table1].[BRAND].&amp;[EVY BABY]" c="EVY BABY"/>
              <i n="[Table1].[BRAND].&amp;[FARMACOTONE]" c="FARMACOTONE"/>
              <i n="[Table1].[BRAND].&amp;[FEMOLE]" c="FEMOLE"/>
              <i n="[Table1].[BRAND].&amp;[FLAMINGO]" c="FLAMINGO"/>
              <i n="[Table1].[BRAND].&amp;[FOMEX]" c="FOMEX"/>
              <i n="[Table1].[BRAND].&amp;[FRESH]" c="FRESH"/>
              <i n="[Table1].[BRAND].&amp;[FRESH BABY]" c="FRESH BABY"/>
              <i n="[Table1].[BRAND].&amp;[FRESH RUNY]" c="FRESH RUNY"/>
              <i n="[Table1].[BRAND].&amp;[FRESH SENSE]" c="FRESH SENSE"/>
              <i n="[Table1].[BRAND].&amp;[FRESHMAKER]" c="FRESHMAKER"/>
              <i n="[Table1].[BRAND].&amp;[GIAN]" c="GIAN"/>
              <i n="[Table1].[BRAND].&amp;[GOLDEN]" c="GOLDEN"/>
              <i n="[Table1].[BRAND].&amp;[HAPPY]" c="HAPPY"/>
              <i n="[Table1].[BRAND].&amp;[HAPPY FRESH]" c="HAPPY FRESH"/>
              <i n="[Table1].[BRAND].&amp;[HIMALAYA]" c="HIMALAYA"/>
              <i n="[Table1].[BRAND].&amp;[HIPP]" c="HIPP"/>
              <i n="[Table1].[BRAND].&amp;[HONEY BEBISH]" c="HONEY BEBISH"/>
              <i n="[Table1].[BRAND].&amp;[HOPS]" c="HOPS"/>
              <i n="[Table1].[BRAND].&amp;[HUGGIES]" c="HUGGIES"/>
              <i n="[Table1].[BRAND].&amp;[HUGGLO]" c="HUGGLO"/>
              <i n="[Table1].[BRAND].&amp;[HUGO BABY]" c="HUGO BABY"/>
              <i n="[Table1].[BRAND].&amp;[IASSMIN]" c="IASSMIN"/>
              <i n="[Table1].[BRAND].&amp;[INCI]" c="INCI"/>
              <i n="[Table1].[BRAND].&amp;[JOHNSONS]" c="JOHNSONS"/>
              <i n="[Table1].[BRAND].&amp;[JUNIOR &amp; TOMMY]" c="JUNIOR &amp; TOMMY"/>
              <i n="[Table1].[BRAND].&amp;[KANZ]" c="KANZ"/>
              <i n="[Table1].[BRAND].&amp;[KIDS]" c="KIDS"/>
              <i n="[Table1].[BRAND].&amp;[KLORANE]" c="KLORANE"/>
              <i n="[Table1].[BRAND].&amp;[KOMILI]" c="KOMILI"/>
              <i n="[Table1].[BRAND].&amp;[KOPRINA]" c="KOPRINA"/>
              <i n="[Table1].[BRAND].&amp;[KRISPA]" c="KRISPA"/>
              <i n="[Table1].[BRAND].&amp;[LADY FRESH]" c="LADY FRESH"/>
              <i n="[Table1].[BRAND].&amp;[LANSINOH]" c="LANSINOH"/>
              <i n="[Table1].[BRAND].&amp;[LARA]" c="LARA"/>
              <i n="[Table1].[BRAND].&amp;[LIBERO]" c="LIBERO"/>
              <i n="[Table1].[BRAND].&amp;[LINDY]" c="LINDY"/>
              <i n="[Table1].[BRAND].&amp;[LIO FRESH]" c="LIO FRESH"/>
              <i n="[Table1].[BRAND].&amp;[LIOLA]" c="LIOLA"/>
              <i n="[Table1].[BRAND].&amp;[LUBA]" c="LUBA"/>
              <i n="[Table1].[BRAND].&amp;[L'UNICO]" c="L'UNICO"/>
              <i n="[Table1].[BRAND].&amp;[MAIA]" c="MAIA"/>
              <i n="[Table1].[BRAND].&amp;[MAMMI]" c="MAMMI"/>
              <i n="[Table1].[BRAND].&amp;[MAXIMENS]" c="MAXIMENS"/>
              <i n="[Table1].[BRAND].&amp;[MEDPROFFESIONAL]" c="MEDPROFFESIONAL"/>
              <i n="[Table1].[BRAND].&amp;[MELANI]" c="MELANI"/>
              <i n="[Table1].[BRAND].&amp;[MIKE LINE]" c="MIKE LINE"/>
              <i n="[Table1].[BRAND].&amp;[MIMI]" c="MIMI"/>
              <i n="[Table1].[BRAND].&amp;[MIMOSA]" c="MIMOSA"/>
              <i n="[Table1].[BRAND].&amp;[MIS MAK]" c="MIS MAK"/>
              <i n="[Table1].[BRAND].&amp;[MOLFIX]" c="MOLFIX"/>
              <i n="[Table1].[BRAND].&amp;[MORS]" c="MORS"/>
              <i n="[Table1].[BRAND].&amp;[MUSTELA]" c="MUSTELA"/>
              <i n="[Table1].[BRAND].&amp;[MY COMFORT]" c="MY COMFORT"/>
              <i n="[Table1].[BRAND].&amp;[MY FIX]" c="MY FIX"/>
              <i n="[Table1].[BRAND].&amp;[NAPEEZ BY GRACIA]" c="NAPEEZ BY GRACIA"/>
              <i n="[Table1].[BRAND].&amp;[NATURAVERDE]" c="NATURAVERDE"/>
              <i n="[Table1].[BRAND].&amp;[NATY]" c="NATY"/>
              <i n="[Table1].[BRAND].&amp;[NEMDIL]" c="NEMDIL"/>
              <i n="[Table1].[BRAND].&amp;[NICE BABY]" c="NICE BABY"/>
              <i n="[Table1].[BRAND].&amp;[NIK &amp; SI]" c="NIK &amp; SI"/>
              <i n="[Table1].[BRAND].&amp;[NIKI]" c="NIKI"/>
              <i n="[Table1].[BRAND].&amp;[NIVEA]" c="NIVEA"/>
              <i n="[Table1].[BRAND].&amp;[OKIDOKI]" c="OKIDOKI"/>
              <i n="[Table1].[BRAND].&amp;[PADDLERS]" c="PADDLERS"/>
              <i n="[Table1].[BRAND].&amp;[PAMPERS]" c="PAMPERS"/>
              <i n="[Table1].[BRAND].&amp;[PAPATYA]" c="PAPATYA"/>
              <i n="[Table1].[BRAND].&amp;[PAPILION]" c="PAPILION"/>
              <i n="[Table1].[BRAND].&amp;[PAW PATROL]" c="PAW PATROL"/>
              <i n="[Table1].[BRAND].&amp;[PEPINO]" c="PEPINO"/>
              <i n="[Table1].[BRAND].&amp;[PEPPA PIG]" c="PEPPA PIG"/>
              <i n="[Table1].[BRAND].&amp;[PERFETTO]" c="PERFETTO"/>
              <i n="[Table1].[BRAND].&amp;[PETINO]" c="PETINO"/>
              <i n="[Table1].[BRAND].&amp;[PINE]" c="PINE"/>
              <i n="[Table1].[BRAND].&amp;[PONKY]" c="PONKY"/>
              <i n="[Table1].[BRAND].&amp;[POZZY]" c="POZZY"/>
              <i n="[Table1].[BRAND].&amp;[PREMIUM]" c="PREMIUM"/>
              <i n="[Table1].[BRAND].&amp;[PRIMA]" c="PRIMA"/>
              <i n="[Table1].[BRAND].&amp;[PRIME]" c="PRIME"/>
              <i n="[Table1].[BRAND].&amp;[PROSOFT]" c="PROSOFT"/>
              <i n="[Table1].[BRAND].&amp;[PUFFY]" c="PUFFY"/>
              <i n="[Table1].[BRAND].&amp;[PUFY]" c="PUFY"/>
              <i n="[Table1].[BRAND].&amp;[PURE]" c="PURE"/>
              <i n="[Table1].[BRAND].&amp;[RENKLI]" c="RENKLI"/>
              <i n="[Table1].[BRAND].&amp;[RENKLY BABY]" c="RENKLY BABY"/>
              <i n="[Table1].[BRAND].&amp;[SEBAMED]" c="SEBAMED"/>
              <i n="[Table1].[BRAND].&amp;[SECKIN]" c="SECKIN"/>
              <i n="[Table1].[BRAND].&amp;[SEMI]" c="SEMI"/>
              <i n="[Table1].[BRAND].&amp;[SENCE]" c="SENCE"/>
              <i n="[Table1].[BRAND].&amp;[SEPTONA]" c="SEPTONA"/>
              <i n="[Table1].[BRAND].&amp;[SETABLU]" c="SETABLU"/>
              <i n="[Table1].[BRAND].&amp;[SLEEPY]" c="SLEEPY"/>
              <i n="[Table1].[BRAND].&amp;[SLIPP]" c="SLIPP"/>
              <i n="[Table1].[BRAND].&amp;[SMILE]" c="SMILE"/>
              <i n="[Table1].[BRAND].&amp;[SOFT &amp; FRESH]" c="SOFT &amp; FRESH"/>
              <i n="[Table1].[BRAND].&amp;[SOFT CARE]" c="SOFT CARE"/>
              <i n="[Table1].[BRAND].&amp;[SOFTLINE]" c="SOFTLINE"/>
              <i n="[Table1].[BRAND].&amp;[SPEEDY CARE]" c="SPEEDY CARE"/>
              <i n="[Table1].[BRAND].&amp;[SPRING LINE]" c="SPRING LINE"/>
              <i n="[Table1].[BRAND].&amp;[SWEET]" c="SWEET"/>
              <i n="[Table1].[BRAND].&amp;[TANGO]" c="TANGO"/>
              <i n="[Table1].[BRAND].&amp;[TEX]" c="TEX"/>
              <i n="[Table1].[BRAND].&amp;[TITO]" c="TITO"/>
              <i n="[Table1].[BRAND].&amp;[TOP BLITZ]" c="TOP BLITZ"/>
              <i n="[Table1].[BRAND].&amp;[TOVA]" c="TOVA"/>
              <i n="[Table1].[BRAND].&amp;[TROMPY]" c="TROMPY"/>
              <i n="[Table1].[BRAND].&amp;[ULTRA COMPACT]" c="ULTRA COMPACT"/>
              <i n="[Table1].[BRAND].&amp;[UNAC]" c="UNAC"/>
              <i n="[Table1].[BRAND].&amp;[UNI]" c="UNI"/>
              <i n="[Table1].[BRAND].&amp;[URIAGE]" c="URIAGE"/>
              <i n="[Table1].[BRAND].&amp;[VIBELLE]" c="VIBELLE"/>
              <i n="[Table1].[BRAND].&amp;[VOI]" c="VOI"/>
              <i n="[Table1].[BRAND].&amp;[WATER WIPES]" c="WATER WIPES"/>
              <i n="[Table1].[BRAND].&amp;[WINEX]" c="WINEX"/>
              <i n="[Table1].[BRAND].&amp;[WIPEST]" c="WIPEST"/>
              <i n="[Table1].[BRAND].&amp;[YESS BABY]" c="YESS BABY"/>
            </range>
          </ranges>
        </level>
      </levels>
      <selections count="1">
        <selection n="[Table1].[BR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2" xr10:uid="{151C5AEE-FD62-478D-817D-CA16B398A053}" sourceName="[Table1].[MANUFACTURER2]">
  <pivotTables>
    <pivotTable tabId="8" name="PivotTable_salesbymanufacturer"/>
    <pivotTable tabId="8" name="PivotTable3"/>
    <pivotTable tabId="11" name="salesbybrand"/>
    <pivotTable tabId="14" name="PivotTable9"/>
    <pivotTable tabId="18" name="PivotTable1"/>
  </pivotTables>
  <data>
    <olap pivotCacheId="600683326">
      <levels count="2">
        <level uniqueName="[Table1].[MANUFACTURER2].[(All)]" sourceCaption="(All)" count="0"/>
        <level uniqueName="[Table1].[MANUFACTURER2].[MANUFACTURER2]" sourceCaption="MANUFACTURER2" count="107">
          <ranges>
            <range startItem="0">
              <i n="[Table1].[MANUFACTURER2].&amp;[ AlpineMeadow]" c=" AlpineMeadow"/>
              <i n="[Table1].[MANUFACTURER2].&amp;[ ArborChemistry]" c=" ArborChemistry"/>
              <i n="[Table1].[MANUFACTURER2].&amp;[ Arkana PaperCraft]" c=" Arkana PaperCraft"/>
              <i n="[Table1].[MANUFACTURER2].&amp;[ ArkPapers]" c=" ArkPapers"/>
              <i n="[Table1].[MANUFACTURER2].&amp;[ ArsenicChem]" c=" ArsenicChem"/>
              <i n="[Table1].[MANUFACTURER2].&amp;[ Ataman Industries]" c=" Ataman Industries"/>
              <i n="[Table1].[MANUFACTURER2].&amp;[ AvellinoGroup SRL]" c=" AvellinoGroup SRL"/>
              <i n="[Table1].[MANUFACTURER2].&amp;[ AxisOn Group]" c=" AxisOn Group"/>
              <i n="[Table1].[MANUFACTURER2].&amp;[ BeneCare]" c=" BeneCare"/>
              <i n="[Table1].[MANUFACTURER2].&amp;[ BioRealm Corp]" c=" BioRealm Corp"/>
              <i n="[Table1].[MANUFACTURER2].&amp;[ BladeSon LTD]" c=" BladeSon LTD"/>
              <i n="[Table1].[MANUFACTURER2].&amp;[ BroadLeaf Group]" c=" BroadLeaf Group"/>
              <i n="[Table1].[MANUFACTURER2].&amp;[ BrothersFlyProducts SAN A.S.]" c=" BrothersFlyProducts SAN A.S."/>
              <i n="[Table1].[MANUFACTURER2].&amp;[ BurdenCo]" c=" BurdenCo"/>
              <i n="[Table1].[MANUFACTURER2].&amp;[ CapPlus]" c=" CapPlus"/>
              <i n="[Table1].[MANUFACTURER2].&amp;[ CelticWind Ltd]" c=" CelticWind Ltd"/>
              <i n="[Table1].[MANUFACTURER2].&amp;[ ChillClean]" c=" ChillClean"/>
              <i n="[Table1].[MANUFACTURER2].&amp;[ CleanHarper]" c=" CleanHarper"/>
              <i n="[Table1].[MANUFACTURER2].&amp;[ ClearSight]" c=" ClearSight"/>
              <i n="[Table1].[MANUFACTURER2].&amp;[ CodeInt B.V.]" c=" CodeInt B.V."/>
              <i n="[Table1].[MANUFACTURER2].&amp;[ ColorSan]" c=" ColorSan"/>
              <i n="[Table1].[MANUFACTURER2].&amp;[ CosmicChem]" c=" CosmicChem"/>
              <i n="[Table1].[MANUFACTURER2].&amp;[ Cosmopolitan Italy]" c=" Cosmopolitan Italy"/>
              <i n="[Table1].[MANUFACTURER2].&amp;[ CottonUnion]" c=" CottonUnion"/>
              <i n="[Table1].[MANUFACTURER2].&amp;[ Creativa Worldwide]" c=" Creativa Worldwide"/>
              <i n="[Table1].[MANUFACTURER2].&amp;[ CrescentTextile SAN]" c=" CrescentTextile SAN"/>
              <i n="[Table1].[MANUFACTURER2].&amp;[ CultureSana]" c=" CultureSana"/>
              <i n="[Table1].[MANUFACTURER2].&amp;[ Daisy Cotton Cosmetics]" c=" Daisy Cotton Cosmetics"/>
              <i n="[Table1].[MANUFACTURER2].&amp;[ EastChem]" c=" EastChem"/>
              <i n="[Table1].[MANUFACTURER2].&amp;[ EnkaHygiene]" c=" EnkaHygiene"/>
              <i n="[Table1].[MANUFACTURER2].&amp;[ ErusHealth Products]" c=" ErusHealth Products"/>
              <i n="[Table1].[MANUFACTURER2].&amp;[ Esburg Health]" c=" Esburg Health"/>
              <i n="[Table1].[MANUFACTURER2].&amp;[ EssentialsCo]" c=" EssentialsCo"/>
              <i n="[Table1].[MANUFACTURER2].&amp;[ EuroPack Communications SRL]" c=" EuroPack Communications SRL"/>
              <i n="[Table1].[MANUFACTURER2].&amp;[ EveCraft]" c=" EveCraft"/>
              <i n="[Table1].[MANUFACTURER2].&amp;[ FabreStone]" c=" FabreStone"/>
              <i n="[Table1].[MANUFACTURER2].&amp;[ FemmeBeauty]" c=" FemmeBeauty"/>
              <i n="[Table1].[MANUFACTURER2].&amp;[ FoodTNCR]" c=" FoodTNCR"/>
              <i n="[Table1].[MANUFACTURER2].&amp;[ Fragrantium S.A.]" c=" Fragrantium S.A."/>
              <i n="[Table1].[MANUFACTURER2].&amp;[ Fulya Beauty]" c=" Fulya Beauty"/>
              <i n="[Table1].[MANUFACTURER2].&amp;[ Giga S.A.]" c=" Giga S.A."/>
              <i n="[Table1].[MANUFACTURER2].&amp;[ GlobalMap]" c=" GlobalMap"/>
              <i n="[Table1].[MANUFACTURER2].&amp;[ Grace Corp]" c=" Grace Corp"/>
              <i n="[Table1].[MANUFACTURER2].&amp;[ GreenIlgaz Group]" c=" GreenIlgaz Group"/>
              <i n="[Table1].[MANUFACTURER2].&amp;[ HappyBeauty A.S.]" c=" HappyBeauty A.S."/>
              <i n="[Table1].[MANUFACTURER2].&amp;[ IdealGroup]" c=" IdealGroup"/>
              <i n="[Table1].[MANUFACTURER2].&amp;[ InsideGlobal]" c=" InsideGlobal"/>
              <i n="[Table1].[MANUFACTURER2].&amp;[ Intelligent Initiative]" c=" Intelligent Initiative"/>
              <i n="[Table1].[MANUFACTURER2].&amp;[ JellyHealth]" c=" JellyHealth"/>
              <i n="[Table1].[MANUFACTURER2].&amp;[ KalesCo]" c=" KalesCo"/>
              <i n="[Table1].[MANUFACTURER2].&amp;[ Kantara Productions Distribution]" c=" Kantara Productions Distribution"/>
              <i n="[Table1].[MANUFACTURER2].&amp;[ Kimberly Stone]" c=" Kimberly Stone"/>
              <i n="[Table1].[MANUFACTURER2].&amp;[ LabExpand]" c=" LabExpand"/>
              <i n="[Table1].[MANUFACTURER2].&amp;[ LansinLab Inc]" c=" LansinLab Inc"/>
              <i n="[Table1].[MANUFACTURER2].&amp;[ Lara Beauty]" c=" Lara Beauty"/>
              <i n="[Table1].[MANUFACTURER2].&amp;[ LeaderHealthFood]" c=" LeaderHealthFood"/>
              <i n="[Table1].[MANUFACTURER2].&amp;[ LifeChem]" c=" LifeChem"/>
              <i n="[Table1].[MANUFACTURER2].&amp;[ LovelyCo]" c=" LovelyCo"/>
              <i n="[Table1].[MANUFACTURER2].&amp;[ MegaBeauty]" c=" MegaBeauty"/>
              <i n="[Table1].[MANUFACTURER2].&amp;[ Miss Health Co.]" c=" Miss Health Co."/>
              <i n="[Table1].[MANUFACTURER2].&amp;[ MontraWorld]" c=" MontraWorld"/>
              <i n="[Table1].[MANUFACTURER2].&amp;[ Moratex Group / Tobi MegaGroup LTD]" c=" Moratex Group / Tobi MegaGroup LTD"/>
              <i n="[Table1].[MANUFACTURER2].&amp;[ MoreBeauty]" c=" MoreBeauty"/>
              <i n="[Table1].[MANUFACTURER2].&amp;[ MountainMedicine]" c=" MountainMedicine"/>
              <i n="[Table1].[MANUFACTURER2].&amp;[ NaturalCo AB]" c=" NaturalCo AB"/>
              <i n="[Table1].[MANUFACTURER2].&amp;[ Nur Food Industry]" c=" Nur Food Industry"/>
              <i n="[Table1].[MANUFACTURER2].&amp;[ OliveTree S.A.]" c=" OliveTree S.A."/>
              <i n="[Table1].[MANUFACTURER2].&amp;[ OnTop]" c=" OnTop"/>
              <i n="[Table1].[MANUFACTURER2].&amp;[ O-Package S.R.L.]" c=" O-Package S.R.L."/>
              <i n="[Table1].[MANUFACTURER2].&amp;[ OzFoodMakers A.S.]" c=" OzFoodMakers A.S."/>
              <i n="[Table1].[MANUFACTURER2].&amp;[ PakChem]" c=" PakChem"/>
              <i n="[Table1].[MANUFACTURER2].&amp;[ PhoenixMedicine DOO]" c=" PhoenixMedicine DOO"/>
              <i n="[Table1].[MANUFACTURER2].&amp;[ PreDone]" c=" PreDone"/>
              <i n="[Table1].[MANUFACTURER2].&amp;[ PrimeBrands Marketing B.V.]" c=" PrimeBrands Marketing B.V."/>
              <i n="[Table1].[MANUFACTURER2].&amp;[ Proctor &amp; Wager]" c=" Proctor &amp; Wager"/>
              <i n="[Table1].[MANUFACTURER2].&amp;[ ProStart 97]" c=" ProStart 97"/>
              <i n="[Table1].[MANUFACTURER2].&amp;[ PuigPeak]" c=" PuigPeak"/>
              <i n="[Table1].[MANUFACTURER2].&amp;[ PureAim Cleaners]" c=" PureAim Cleaners"/>
              <i n="[Table1].[MANUFACTURER2].&amp;[ Pyramid72 DOO]" c=" Pyramid72 DOO"/>
              <i n="[Table1].[MANUFACTURER2].&amp;[ Quake S.P.A.]" c=" Quake S.P.A."/>
              <i n="[Table1].[MANUFACTURER2].&amp;[ QueenStand Investment]" c=" QueenStand Investment"/>
              <i n="[Table1].[MANUFACTURER2].&amp;[ QueenTrade LTD]" c=" QueenTrade LTD"/>
              <i n="[Table1].[MANUFACTURER2].&amp;[ RameBeauty]" c=" RameBeauty"/>
              <i n="[Table1].[MANUFACTURER2].&amp;[ RoseBeauty]" c=" RoseBeauty"/>
              <i n="[Table1].[MANUFACTURER2].&amp;[ SanHealth LTD]" c=" SanHealth LTD"/>
              <i n="[Table1].[MANUFACTURER2].&amp;[ SaproClean]" c=" SaproClean"/>
              <i n="[Table1].[MANUFACTURER2].&amp;[ SCProducts]" c=" SCProducts"/>
              <i n="[Table1].[MANUFACTURER2].&amp;[ SebaMedicines]" c=" SebaMedicines"/>
              <i n="[Table1].[MANUFACTURER2].&amp;[ SepaTextiles]" c=" SepaTextiles"/>
              <i n="[Table1].[MANUFACTURER2].&amp;[ SeptOn SA]" c=" SeptOn SA"/>
              <i n="[Table1].[MANUFACTURER2].&amp;[ SigmaKappaZeta Co.]" c=" SigmaKappaZeta Co."/>
              <i n="[Table1].[MANUFACTURER2].&amp;[ SignalTrade]" c=" SignalTrade"/>
              <i n="[Table1].[MANUFACTURER2].&amp;[ Snowball Cologne]" c=" Snowball Cologne"/>
              <i n="[Table1].[MANUFACTURER2].&amp;[ So.Di.Co - Cosmetics Distribution Society]" c=" So.Di.Co - Cosmetics Distribution Society"/>
              <i n="[Table1].[MANUFACTURER2].&amp;[ SouthernGroup SP]" c=" SouthernGroup SP"/>
              <i n="[Table1].[MANUFACTURER2].&amp;[ Swift GMBH]" c=" Swift GMBH"/>
              <i n="[Table1].[MANUFACTURER2].&amp;[ TahaChem Cosmetics]" c=" TahaChem Cosmetics"/>
              <i n="[Table1].[MANUFACTURER2].&amp;[ TextileSan]" c=" TextileSan"/>
              <i n="[Table1].[MANUFACTURER2].&amp;[ Thomson &amp; Thomson]" c=" Thomson &amp; Thomson"/>
              <i n="[Table1].[MANUFACTURER2].&amp;[ TradeKing Cengiz]" c=" TradeKing Cengiz"/>
              <i n="[Table1].[MANUFACTURER2].&amp;[ TroyBeauty Trade]" c=" TroyBeauty Trade"/>
              <i n="[Table1].[MANUFACTURER2].&amp;[ Unac Beauty Makers SAN.]" c=" Unac Beauty Makers SAN."/>
              <i n="[Table1].[MANUFACTURER2].&amp;[ UniHandle]" c=" UniHandle"/>
              <i n="[Table1].[MANUFACTURER2].&amp;[ VigaLife]" c=" VigaLife"/>
              <i n="[Table1].[MANUFACTURER2].&amp;[ Voyage Turkey]" c=" Voyage Turkey"/>
              <i n="[Table1].[MANUFACTURER2].&amp;[ YellowHand Cleaners]" c=" YellowHand Cleaners"/>
              <i n="[Table1].[MANUFACTURER2].&amp;[Nova Garbagnate]" c="Nova Garbagnate"/>
            </range>
          </ranges>
        </level>
      </levels>
      <selections count="1">
        <selection n="[Table1].[MANUFACTURER2].[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_Type" xr10:uid="{5B57D742-6587-4E31-A5E6-A7F378F2EB55}" sourceName="[Table1].[Package Type]">
  <pivotTables>
    <pivotTable tabId="8" name="PivotTable_salesbymanufacturer"/>
    <pivotTable tabId="8" name="PivotTable3"/>
    <pivotTable tabId="11" name="salesbybrand"/>
    <pivotTable tabId="14" name="PivotTable9"/>
    <pivotTable tabId="18" name="PivotTable1"/>
  </pivotTables>
  <data>
    <olap pivotCacheId="600683326">
      <levels count="2">
        <level uniqueName="[Table1].[Package Type].[(All)]" sourceCaption="(All)" count="0"/>
        <level uniqueName="[Table1].[Package Type].[Package Type]" sourceCaption="Package Type" count="2">
          <ranges>
            <range startItem="0">
              <i n="[Table1].[Package Type].&amp;[BAGS]" c="BAGS"/>
              <i n="[Table1].[Package Type].&amp;[BOX]" c="BOX"/>
            </range>
          </ranges>
        </level>
      </levels>
      <selections count="1">
        <selection n="[Table1].[Package 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C369067B-70E2-4543-B603-9B94E68F97C5}" sourceName="BRAND">
  <extLst>
    <x:ext xmlns:x15="http://schemas.microsoft.com/office/spreadsheetml/2010/11/main" uri="{2F2917AC-EB37-4324-AD4E-5DD8C200BD13}">
      <x15:tableSlicerCache tableId="2" column="2"/>
    </x:ex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_TYPE1" xr10:uid="{B66E861D-DA0F-41F6-9F1A-EA35825A1E81}" sourceName="PACKAGE TYPE">
  <extLst>
    <x:ext xmlns:x15="http://schemas.microsoft.com/office/spreadsheetml/2010/11/main" uri="{2F2917AC-EB37-4324-AD4E-5DD8C200BD13}">
      <x15:tableSlicerCache tableId="2" column="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TECTION___CARE" xr10:uid="{C3BB3305-95F7-4819-8AA7-545F5B48ABCB}" sourceName="PROTECTION / CARE">
  <extLst>
    <x:ext xmlns:x15="http://schemas.microsoft.com/office/spreadsheetml/2010/11/main" uri="{2F2917AC-EB37-4324-AD4E-5DD8C200BD13}">
      <x15:tableSlicerCache tableId="2"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_SIZE1" xr10:uid="{67AC5C72-13C7-4FAD-968D-C9351FA488FF}" sourceName="PACKAGE SIZE">
  <extLst>
    <x:ext xmlns:x15="http://schemas.microsoft.com/office/spreadsheetml/2010/11/main" uri="{2F2917AC-EB37-4324-AD4E-5DD8C200BD13}">
      <x15:tableSlicerCache tableId="2" column="5" sortOrder="descending"/>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8362F4BD-A6AB-4D1C-A99F-4528897862FE}" cache="Slicer_BRAND1" caption="BRAND" columnCount="3" rowHeight="241300"/>
  <slicer name="PACKAGE TYPE 1" xr10:uid="{D2E65A55-A67A-4DAB-A2C7-994C95E124E8}" cache="Slicer_PACKAGE_TYPE1" caption="PACKAGE TYPE" rowHeight="241300"/>
  <slicer name="PROTECTION / CARE" xr10:uid="{432AAA83-ADED-4AD4-92E5-F57B571026E2}" cache="Slicer_PROTECTION___CARE" caption="PROTECTION / CARE" columnCount="3" rowHeight="241300"/>
  <slicer name="PACKAGE SIZE 1" xr10:uid="{50B49686-B640-4BE2-BBB4-9271B1026DC9}" cache="Slicer_PACKAGE_SIZE1" caption="PACKAGE SIZE" columnCoun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CKAGE SIZE 2" xr10:uid="{9D76E7CC-9DB2-40EB-8E12-E978A9ABC782}" cache="Slicer_PACKAGE_SIZE2" caption="PACKAGE SIZE" columnCount="6"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tection/Care" xr10:uid="{E1277391-23A9-4B8F-B343-E83D9FA0DBA5}" cache="Slicer_Protection_Care" caption="Protection/Care" rowHeight="241300"/>
  <slicer name="BRAND" xr10:uid="{9A409D02-A41E-4DF7-A135-672FC8C36BAD}" cache="Slicer_BRAND" caption="BRAND" level="1" rowHeight="241300"/>
  <slicer name="MANUFACTURER2" xr10:uid="{DB509B31-D8CE-4061-95F2-81623179A2A2}" cache="Slicer_MANUFACTURER2" caption="MANUFACTURER2" level="1" rowHeight="241300"/>
  <slicer name="Package Type" xr10:uid="{DCA04951-157F-4591-A94C-173A83166446}" cache="Slicer_Package_Type" caption="Package Typ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6DF149-71BC-4B6F-A007-5ED8FADDADA2}" name="BabycareRaw" displayName="BabycareRaw" ref="A8:L826" totalsRowShown="0" headerRowDxfId="164" dataDxfId="163" tableBorderDxfId="162">
  <autoFilter ref="A8:L826" xr:uid="{CB6DF149-71BC-4B6F-A007-5ED8FADDADA2}"/>
  <tableColumns count="12">
    <tableColumn id="1" xr3:uid="{C51E26E7-AA6C-4693-8EFA-B7AF104718F1}" name="Product" dataDxfId="161"/>
    <tableColumn id="2" xr3:uid="{77015451-F8F0-4353-B08F-DF8A10417898}" name="BRAND" dataDxfId="160"/>
    <tableColumn id="3" xr3:uid="{667C97D4-2813-4B08-B097-A46FE3E6063A}" name="PACKAGE TYPE" dataDxfId="159"/>
    <tableColumn id="4" xr3:uid="{E19F6C3B-62C3-4EB0-B5C2-9FFB12A1C335}" name="PROTECTION / CARE" dataDxfId="158"/>
    <tableColumn id="5" xr3:uid="{DD225C41-F981-429F-8A93-E41BCBEDC22C}" name="PACKAGE SIZE" dataDxfId="157"/>
    <tableColumn id="6" xr3:uid="{11BD7D1B-1B0A-47CF-8C8F-B6827F165EFC}" name="2022" dataDxfId="156"/>
    <tableColumn id="7" xr3:uid="{7A07788E-4F87-4351-BF93-A9B24FC8A1BC}" name="2023" dataDxfId="155"/>
    <tableColumn id="8" xr3:uid="{C74EAFE5-4D7D-479F-B454-6F5BF35B3FF3}" name="YTD 24" dataDxfId="154"/>
    <tableColumn id="9" xr3:uid="{66B79A6D-4AC0-43B4-A77A-52019F540325}" name="Volume 2022" dataDxfId="153"/>
    <tableColumn id="10" xr3:uid="{C1D830BB-A3F7-4121-8406-BA39387FE682}" name="Volume 2023" dataDxfId="152"/>
    <tableColumn id="11" xr3:uid="{7F68A3C8-42FC-46A0-92E9-0F3BB8D22872}" name="Volume YTD 2024" dataDxfId="151"/>
    <tableColumn id="12" xr3:uid="{BDFA58C6-F6DD-4AC8-83B2-6FA40D4DEFD0}" name="Total Value" dataDxfId="150" dataCellStyle="20% - Accent1">
      <calculatedColumnFormula>SUM(BabycareRaw[[#This Row],[2022]:[YTD 24]])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895AA3-9B6A-4405-94B6-8FCF22426706}" name="Table3" displayName="Table3" ref="I1:J5">
  <autoFilter ref="I1:J5" xr:uid="{3E895AA3-9B6A-4405-94B6-8FCF22426706}">
    <filterColumn colId="0" hiddenButton="1"/>
    <filterColumn colId="1" hiddenButton="1"/>
  </autoFilter>
  <tableColumns count="2">
    <tableColumn id="1" xr3:uid="{3AA25450-D084-467A-99D7-83BB9F7E45FC}" name="Details" totalsRowLabel="Total"/>
    <tableColumn id="2" xr3:uid="{B9DEDED5-8AE1-400D-A9C6-0BA96A8A6C5E}" name="Total Count" totalsRowFunction="sum"/>
  </tableColumns>
  <tableStyleInfo name="TableStyleDark11" showFirstColumn="1" showLastColumn="1"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40D954-4924-405B-8E96-7CBC9CEEAC83}" name="Table4" displayName="Table4" ref="B6:M113" headerRowDxfId="149" dataDxfId="148" totalsRowDxfId="146" tableBorderDxfId="147">
  <autoFilter ref="B6:M113" xr:uid="{1240D954-4924-405B-8E96-7CBC9CEEAC83}">
    <filterColumn colId="8">
      <top10 val="20" filterVal="245.04040000000001"/>
    </filterColumn>
  </autoFilter>
  <sortState xmlns:xlrd2="http://schemas.microsoft.com/office/spreadsheetml/2017/richdata2" ref="B7:J113">
    <sortCondition descending="1" ref="J6:J113"/>
  </sortState>
  <tableColumns count="12">
    <tableColumn id="1" xr3:uid="{5DD55466-1925-407C-BB6D-98D973C4C6F3}" name="Manufacturer" totalsRowLabel="Total" dataDxfId="145" totalsRowDxfId="144"/>
    <tableColumn id="14" xr3:uid="{7B13A83C-FD22-4FC4-9EB2-5F91FB695700}" name="2022" totalsRowFunction="sum" dataDxfId="143" totalsRowDxfId="142"/>
    <tableColumn id="15" xr3:uid="{55446998-65FA-406F-A26F-8E68A307FB05}" name="2023" totalsRowFunction="sum" dataDxfId="141" totalsRowDxfId="140"/>
    <tableColumn id="16" xr3:uid="{C518539C-376C-48FC-91A3-1A18D787CD40}" name="YTD 2024" totalsRowFunction="sum" dataDxfId="139" totalsRowDxfId="138"/>
    <tableColumn id="17" xr3:uid="{8745F7DB-BD0C-419A-9D3F-21E320180873}" name="Volume 2022" totalsRowFunction="sum" dataDxfId="137" totalsRowDxfId="136"/>
    <tableColumn id="18" xr3:uid="{9A4FB22F-B22D-40ED-B698-8D449B82510A}" name="Volume 2023" totalsRowFunction="sum" dataDxfId="135" totalsRowDxfId="134"/>
    <tableColumn id="19" xr3:uid="{94E16C88-12E9-4515-AA7A-E217A604A551}" name="Volume 2024" totalsRowFunction="sum" dataDxfId="133" totalsRowDxfId="132"/>
    <tableColumn id="3" xr3:uid="{8DEBDBE7-AFA4-43E9-81FC-872AF5BA5550}" name="Total Volume" totalsRowFunction="sum" dataDxfId="131" totalsRowDxfId="130" dataCellStyle="40% - Accent5">
      <calculatedColumnFormula>SUM(Table4[[#This Row],[Volume 2022]:[Volume 2024]])</calculatedColumnFormula>
    </tableColumn>
    <tableColumn id="20" xr3:uid="{BC074050-8DDC-45BE-A75E-D79DCF143CC3}" name="Total Value" totalsRowFunction="sum" dataDxfId="129" totalsRowDxfId="128" dataCellStyle="40% - Accent3"/>
    <tableColumn id="2" xr3:uid="{57CB36C6-8950-4670-B8D8-E61496F58ECD}" name="Average Price" dataDxfId="127" totalsRowDxfId="126">
      <calculatedColumnFormula>Table4[[#This Row],[Total Value]]/Table4[[#This Row],[Total Volume]]</calculatedColumnFormula>
    </tableColumn>
    <tableColumn id="4" xr3:uid="{C556ECD0-3308-46DD-AEC6-A21191790BC3}" name="YoY Growth" dataDxfId="125" totalsRowDxfId="124">
      <calculatedColumnFormula>IFERROR((Table4[[#This Row],[2023]]-Table4[[#This Row],[2022]])/Table4[[#This Row],[2022]],0)</calculatedColumnFormula>
    </tableColumn>
    <tableColumn id="5" xr3:uid="{2E8A8C3A-1F51-4BD4-9AEB-45CDDAC86480}" name="Voume growth" dataDxfId="123" totalsRowDxfId="122">
      <calculatedColumnFormula>IFERROR(((Table4[[#This Row],[Volume 2023]]-Table4[[#This Row],[Volume 2022]])/Table4[[#This Row],[Volume 2022]]),0)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5C4E3E-BCD4-4A64-9417-0B8F08F3B5AF}" name="Table7" displayName="Table7" ref="B6:N165" headerRowDxfId="119" dataDxfId="118" totalsRowDxfId="116" tableBorderDxfId="117">
  <autoFilter ref="B6:N165" xr:uid="{B25C4E3E-BCD4-4A64-9417-0B8F08F3B5AF}">
    <filterColumn colId="8">
      <top10 val="20" filterVal="319.65749999999997"/>
    </filterColumn>
  </autoFilter>
  <sortState xmlns:xlrd2="http://schemas.microsoft.com/office/spreadsheetml/2017/richdata2" ref="B7:L165">
    <sortCondition descending="1" ref="J6:J165"/>
  </sortState>
  <tableColumns count="13">
    <tableColumn id="1" xr3:uid="{4910E7ED-86AB-4CEB-A545-A180CC045155}" name="in 000s" totalsRowLabel="Total" dataDxfId="115" totalsRowDxfId="114"/>
    <tableColumn id="2" xr3:uid="{14A92DAD-6F95-43C9-B312-C88DCB7EF2D3}" name="2022" totalsRowFunction="sum" dataDxfId="113" totalsRowDxfId="112"/>
    <tableColumn id="3" xr3:uid="{D6E5D6F0-FDDB-43D0-9E31-6B32704068F5}" name="2023" totalsRowFunction="sum" dataDxfId="111" totalsRowDxfId="110"/>
    <tableColumn id="4" xr3:uid="{9E133E52-5EC2-42A2-8AE3-839DD1C77401}" name="YTD 2024" totalsRowFunction="sum" dataDxfId="109" totalsRowDxfId="108"/>
    <tableColumn id="5" xr3:uid="{DA3A3CA8-3A98-4B5E-BCDC-9027229F1EEE}" name="Volume 2022" totalsRowFunction="sum" dataDxfId="107" totalsRowDxfId="106"/>
    <tableColumn id="6" xr3:uid="{ADC9A424-F157-4F3B-8C98-65A2A5C536A6}" name="Volume 2023" totalsRowFunction="sum" dataDxfId="105" totalsRowDxfId="104"/>
    <tableColumn id="7" xr3:uid="{C7CBDDBE-6D36-4D4D-9AE6-63F721D89BBC}" name="Volume YTD 2024" totalsRowFunction="sum" dataDxfId="103" totalsRowDxfId="102"/>
    <tableColumn id="14" xr3:uid="{934ECD59-D142-447E-9581-3C0551C6C279}" name="Total Volume" totalsRowFunction="sum" dataDxfId="101" totalsRowDxfId="100">
      <calculatedColumnFormula>SUM(Table7[[#This Row],[Volume 2022]:[Volume YTD 2024]])</calculatedColumnFormula>
    </tableColumn>
    <tableColumn id="8" xr3:uid="{FBB82B2D-63AB-4853-B005-23CC11550541}" name="Total Value" totalsRowFunction="sum" dataDxfId="99" totalsRowDxfId="98" dataCellStyle="20% - Accent1"/>
    <tableColumn id="9" xr3:uid="{D668AD46-F3CE-4E44-8CE2-82534418465F}" name="YoY growth" dataDxfId="97" totalsRowDxfId="96">
      <calculatedColumnFormula>IFERROR(((Table7[[#This Row],[2023]]-Table7[[#This Row],[2022]])/Table7[[#This Row],[2022]]),0)</calculatedColumnFormula>
    </tableColumn>
    <tableColumn id="10" xr3:uid="{E626032D-8592-4D42-9C71-986CA0B00F8B}" name="Volume growth" dataDxfId="95" totalsRowDxfId="94">
      <calculatedColumnFormula>IFERROR(((Table7[[#This Row],[YTD 2024]]-Table7[[#This Row],[2023]])/Table7[[#This Row],[2023]]),0)</calculatedColumnFormula>
    </tableColumn>
    <tableColumn id="11" xr3:uid="{548FF204-79DB-485A-AB8C-9FC520835C15}" name="price growth" dataDxfId="93" totalsRowDxfId="92">
      <calculatedColumnFormula>Table7[[#This Row],[YoY growth]]-Table7[[#This Row],[Volume growth]]</calculatedColumnFormula>
    </tableColumn>
    <tableColumn id="12" xr3:uid="{999F34A6-8170-47BE-8021-1E8FF350C213}" name="mini trend line" dataDxfId="91" totalsRowDxfId="9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F41E78-1A53-4442-B537-1F0D13B4A503}" name="Table1" displayName="Table1" ref="B5:S556" headerRowDxfId="62" dataDxfId="61">
  <autoFilter ref="B5:S556" xr:uid="{0CF41E78-1A53-4442-B537-1F0D13B4A503}">
    <filterColumn colId="13">
      <top10 val="20" filterVal="398.99380000000002"/>
    </filterColumn>
  </autoFilter>
  <sortState xmlns:xlrd2="http://schemas.microsoft.com/office/spreadsheetml/2017/richdata2" ref="B12:R492">
    <sortCondition descending="1" ref="O5:O556"/>
  </sortState>
  <tableColumns count="18">
    <tableColumn id="9" xr3:uid="{4F118B79-C086-496B-BCD0-831ED9F755EC}" name="MANUFACTURER2" dataDxfId="60" totalsRowDxfId="59"/>
    <tableColumn id="4" xr3:uid="{6BA7F6AD-CCD2-4D49-B6EB-D068C48FA928}" name="BRAND" dataDxfId="58" totalsRowDxfId="57"/>
    <tableColumn id="16" xr3:uid="{F9CD0E07-BEB6-4421-9B7C-60F1A51A5CEC}" name="Company" dataDxfId="56" totalsRowDxfId="55"/>
    <tableColumn id="5" xr3:uid="{6DF3E4A3-4009-4D48-9645-F6A317C449B9}" name="PRODUCT" dataDxfId="54" totalsRowDxfId="53"/>
    <tableColumn id="6" xr3:uid="{875F11BB-1097-49DC-8DD9-805DE59F8B26}" name="Package Type" dataDxfId="52" totalsRowDxfId="51"/>
    <tableColumn id="7" xr3:uid="{C1FAE2FD-28C5-40E1-8E1E-BC0FD5C37222}" name="Protection/Care" dataDxfId="50" totalsRowDxfId="49"/>
    <tableColumn id="8" xr3:uid="{7E4B2160-7BEB-41A6-B2C2-71172ECE35EE}" name="Package Size" dataDxfId="48" totalsRowDxfId="47"/>
    <tableColumn id="10" xr3:uid="{83AA0525-374B-460A-A81C-86D9E7889086}" name="2022" dataDxfId="46" totalsRowDxfId="45"/>
    <tableColumn id="11" xr3:uid="{CB58CD69-11F3-454A-BE63-261614777DF4}" name="2023" dataDxfId="44" totalsRowDxfId="43"/>
    <tableColumn id="12" xr3:uid="{ED3EF2C7-B7B1-4CE3-A04A-0D965C3F90AD}" name="YTD 2024" dataDxfId="42" totalsRowDxfId="41"/>
    <tableColumn id="14" xr3:uid="{1E9C3EDE-4A35-4756-B458-A1C5F97F0979}" name="Volume 2022" dataDxfId="40" totalsRowDxfId="39"/>
    <tableColumn id="15" xr3:uid="{9F743E55-D526-47BD-A499-CBE0EDE3240D}" name="Volume 2023" dataDxfId="38" totalsRowDxfId="37"/>
    <tableColumn id="17" xr3:uid="{237C46BC-C846-4B02-8133-56A782788BCD}" name="Volume YTD 2024" dataDxfId="36" totalsRowDxfId="35"/>
    <tableColumn id="18" xr3:uid="{1B3D3681-48C5-4772-A6EA-3C38913383A2}" name="Total Value" dataDxfId="34" totalsRowDxfId="33" dataCellStyle="Calculation">
      <calculatedColumnFormula>SUM(Table1[[#This Row],[2022]:[YTD 2024]])</calculatedColumnFormula>
    </tableColumn>
    <tableColumn id="1" xr3:uid="{7139DE6B-953F-4742-9521-D96E9EFAC9FB}" name="YoY growth" dataDxfId="32" totalsRowDxfId="31">
      <calculatedColumnFormula>IFERROR(((Table1[[#This Row],[2023]]-Table1[[#This Row],[2022]])/Table1[[#This Row],[2022]]),0)</calculatedColumnFormula>
    </tableColumn>
    <tableColumn id="2" xr3:uid="{E9C26F23-485A-40B2-A6AF-F970C234721E}" name="Volume growth" dataDxfId="30">
      <calculatedColumnFormula>IFERROR(((Table1[[#This Row],[Volume 2023]]-Table1[[#This Row],[Volume 2022]])/Table1[[#This Row],[Volume 2022]]),0)</calculatedColumnFormula>
    </tableColumn>
    <tableColumn id="3" xr3:uid="{945D0276-D1E6-4EAC-80EA-CED6D25CDEA6}" name="Price Growth" dataDxfId="29">
      <calculatedColumnFormula>Table1[[#This Row],[YoY growth]]-Table1[[#This Row],[Volume growth]]</calculatedColumnFormula>
    </tableColumn>
    <tableColumn id="13" xr3:uid="{79746548-10B9-48E0-99EA-07C3B8711F78}" name="mini value trend line" dataDxfId="2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D94C822-CFA1-46DA-A7E0-47C44BAFAA38}" name="Table6" displayName="Table6" ref="I2:K12" totalsRowShown="0" headerRowDxfId="22" dataDxfId="21">
  <autoFilter ref="I2:K12" xr:uid="{5D94C822-CFA1-46DA-A7E0-47C44BAFAA38}"/>
  <tableColumns count="3">
    <tableColumn id="1" xr3:uid="{245DAC29-994C-45F7-A074-68B60D07E8A2}" name="Package Size" dataDxfId="20" dataCellStyle="40% - Accent1"/>
    <tableColumn id="2" xr3:uid="{2B985979-E5D5-47D8-A418-0A842CFB49DB}" name="Count of Volume 2022" dataDxfId="19"/>
    <tableColumn id="3" xr3:uid="{F5C525FD-C396-48F8-86A6-DBDD9B800ABF}" name="Sales of 2022" dataDxfId="1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C6F77A5-60FB-4313-AFE3-41F2532FF569}">
  <we:reference id="wa200005669" version="2.0.0.0" store="en-GB"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6EB0AD67-F9A9-401A-B550-E71FE0D78656}">
  <we:reference id="wa200005409" version="1.0.0.0" store="en-US" storeType="OMEX"/>
  <we:alternateReferences>
    <we:reference id="wa200005409" version="1.0.0.0" store="WA200005409"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F74C2-8794-4088-8B17-C411BAB05EE5}">
  <sheetPr codeName="Sheet1"/>
  <dimension ref="A1:K820"/>
  <sheetViews>
    <sheetView tabSelected="1" workbookViewId="0">
      <selection activeCell="L11" sqref="L11"/>
    </sheetView>
  </sheetViews>
  <sheetFormatPr defaultRowHeight="15" x14ac:dyDescent="0.25"/>
  <cols>
    <col min="1" max="1" width="51.5703125" bestFit="1" customWidth="1"/>
    <col min="2" max="5" width="21.7109375" customWidth="1"/>
    <col min="6" max="11" width="12.7109375" customWidth="1"/>
  </cols>
  <sheetData>
    <row r="1" spans="1:11" s="1" customFormat="1" ht="20.100000000000001" customHeight="1" thickBot="1" x14ac:dyDescent="0.3">
      <c r="A1" s="255" t="s">
        <v>871</v>
      </c>
      <c r="B1" s="256"/>
      <c r="C1" s="256"/>
      <c r="D1" s="256"/>
      <c r="E1" s="257"/>
      <c r="F1" s="261" t="s">
        <v>0</v>
      </c>
      <c r="G1" s="262"/>
      <c r="H1" s="263"/>
      <c r="I1" s="261" t="s">
        <v>1</v>
      </c>
      <c r="J1" s="262"/>
      <c r="K1" s="263"/>
    </row>
    <row r="2" spans="1:11" s="1" customFormat="1" ht="33" customHeight="1" thickBot="1" x14ac:dyDescent="0.3">
      <c r="A2" s="258"/>
      <c r="B2" s="259"/>
      <c r="C2" s="259"/>
      <c r="D2" s="259"/>
      <c r="E2" s="260"/>
      <c r="F2" s="2">
        <v>2022</v>
      </c>
      <c r="G2" s="3">
        <v>2023</v>
      </c>
      <c r="H2" s="3" t="s">
        <v>710</v>
      </c>
      <c r="I2" s="3">
        <v>2022</v>
      </c>
      <c r="J2" s="3">
        <v>2023</v>
      </c>
      <c r="K2" s="3" t="s">
        <v>710</v>
      </c>
    </row>
    <row r="3" spans="1:11" ht="15" customHeight="1" x14ac:dyDescent="0.25">
      <c r="A3" s="4" t="s">
        <v>711</v>
      </c>
      <c r="B3" s="4" t="s">
        <v>6</v>
      </c>
      <c r="C3" s="4" t="s">
        <v>2</v>
      </c>
      <c r="D3" s="5" t="s">
        <v>3</v>
      </c>
      <c r="E3" s="5" t="s">
        <v>4</v>
      </c>
      <c r="F3" s="6">
        <v>31416.343000000001</v>
      </c>
      <c r="G3" s="7">
        <v>32432.398499999999</v>
      </c>
      <c r="H3" s="8">
        <v>17382.009999999998</v>
      </c>
      <c r="I3" s="9">
        <v>1194607.8559999999</v>
      </c>
      <c r="J3" s="8">
        <v>1188013.216</v>
      </c>
      <c r="K3" s="8">
        <v>600950.97600000002</v>
      </c>
    </row>
    <row r="4" spans="1:11" ht="14.25" customHeight="1" x14ac:dyDescent="0.25">
      <c r="A4" s="25" t="s">
        <v>712</v>
      </c>
      <c r="B4" s="4" t="s">
        <v>5</v>
      </c>
      <c r="C4" s="4"/>
      <c r="D4" s="5"/>
      <c r="E4" s="5"/>
      <c r="F4" s="10">
        <v>1.9350000000000001</v>
      </c>
      <c r="G4" s="11">
        <v>0.624</v>
      </c>
      <c r="H4" s="12"/>
      <c r="I4" s="13">
        <v>24.822900000000001</v>
      </c>
      <c r="J4" s="12">
        <v>9.4085999999999999</v>
      </c>
      <c r="K4" s="12"/>
    </row>
    <row r="5" spans="1:11" ht="15" customHeight="1" x14ac:dyDescent="0.25">
      <c r="A5" s="14" t="s">
        <v>828</v>
      </c>
      <c r="B5" s="15" t="s">
        <v>6</v>
      </c>
      <c r="C5" s="16"/>
      <c r="D5" s="17"/>
      <c r="E5" s="17"/>
      <c r="F5" s="18">
        <v>1.9350000000000001</v>
      </c>
      <c r="G5" s="19">
        <v>0.624</v>
      </c>
      <c r="H5" s="20"/>
      <c r="I5" s="21">
        <v>24.822900000000001</v>
      </c>
      <c r="J5" s="20">
        <v>9.4085999999999999</v>
      </c>
      <c r="K5" s="20"/>
    </row>
    <row r="6" spans="1:11" ht="15" customHeight="1" x14ac:dyDescent="0.25">
      <c r="A6" s="22" t="s">
        <v>7</v>
      </c>
      <c r="B6" s="23" t="s">
        <v>8</v>
      </c>
      <c r="C6" s="23" t="s">
        <v>9</v>
      </c>
      <c r="D6" s="24" t="s">
        <v>10</v>
      </c>
      <c r="E6" s="24" t="s">
        <v>11</v>
      </c>
      <c r="F6" s="18">
        <v>1.9350000000000001</v>
      </c>
      <c r="G6" s="19">
        <v>0.624</v>
      </c>
      <c r="H6" s="20"/>
      <c r="I6" s="21">
        <v>24.822900000000001</v>
      </c>
      <c r="J6" s="20">
        <v>9.4085999999999999</v>
      </c>
      <c r="K6" s="20"/>
    </row>
    <row r="7" spans="1:11" ht="14.25" customHeight="1" x14ac:dyDescent="0.25">
      <c r="A7" s="25" t="s">
        <v>713</v>
      </c>
      <c r="B7" s="4" t="s">
        <v>5</v>
      </c>
      <c r="C7" s="4"/>
      <c r="D7" s="5"/>
      <c r="E7" s="5"/>
      <c r="F7" s="10">
        <v>1.09E-2</v>
      </c>
      <c r="G7" s="11"/>
      <c r="H7" s="12"/>
      <c r="I7" s="13">
        <v>0.16</v>
      </c>
      <c r="J7" s="12"/>
      <c r="K7" s="12"/>
    </row>
    <row r="8" spans="1:11" ht="15" customHeight="1" x14ac:dyDescent="0.25">
      <c r="A8" s="14" t="s">
        <v>829</v>
      </c>
      <c r="B8" s="15" t="s">
        <v>6</v>
      </c>
      <c r="C8" s="16"/>
      <c r="D8" s="17"/>
      <c r="E8" s="17"/>
      <c r="F8" s="18">
        <v>1.09E-2</v>
      </c>
      <c r="G8" s="19"/>
      <c r="H8" s="20"/>
      <c r="I8" s="21">
        <v>0.16</v>
      </c>
      <c r="J8" s="20"/>
      <c r="K8" s="20"/>
    </row>
    <row r="9" spans="1:11" ht="15" customHeight="1" x14ac:dyDescent="0.25">
      <c r="A9" s="22" t="s">
        <v>12</v>
      </c>
      <c r="B9" s="23" t="s">
        <v>8</v>
      </c>
      <c r="C9" s="23" t="s">
        <v>9</v>
      </c>
      <c r="D9" s="24" t="s">
        <v>10</v>
      </c>
      <c r="E9" s="24" t="s">
        <v>13</v>
      </c>
      <c r="F9" s="18"/>
      <c r="G9" s="19"/>
      <c r="H9" s="20"/>
      <c r="I9" s="21"/>
      <c r="J9" s="20"/>
      <c r="K9" s="20"/>
    </row>
    <row r="10" spans="1:11" ht="15" customHeight="1" x14ac:dyDescent="0.25">
      <c r="A10" s="22" t="s">
        <v>14</v>
      </c>
      <c r="B10" s="23" t="s">
        <v>8</v>
      </c>
      <c r="C10" s="23" t="s">
        <v>9</v>
      </c>
      <c r="D10" s="24" t="s">
        <v>10</v>
      </c>
      <c r="E10" s="24" t="s">
        <v>15</v>
      </c>
      <c r="F10" s="18"/>
      <c r="G10" s="19"/>
      <c r="H10" s="20"/>
      <c r="I10" s="21"/>
      <c r="J10" s="20"/>
      <c r="K10" s="20"/>
    </row>
    <row r="11" spans="1:11" ht="15" customHeight="1" x14ac:dyDescent="0.25">
      <c r="A11" s="22" t="s">
        <v>16</v>
      </c>
      <c r="B11" s="23" t="s">
        <v>8</v>
      </c>
      <c r="C11" s="23" t="s">
        <v>9</v>
      </c>
      <c r="D11" s="24" t="s">
        <v>10</v>
      </c>
      <c r="E11" s="24" t="s">
        <v>17</v>
      </c>
      <c r="F11" s="18"/>
      <c r="G11" s="19"/>
      <c r="H11" s="20"/>
      <c r="I11" s="21"/>
      <c r="J11" s="20"/>
      <c r="K11" s="20"/>
    </row>
    <row r="12" spans="1:11" ht="15" customHeight="1" x14ac:dyDescent="0.25">
      <c r="A12" s="22" t="s">
        <v>18</v>
      </c>
      <c r="B12" s="23" t="s">
        <v>8</v>
      </c>
      <c r="C12" s="23" t="s">
        <v>9</v>
      </c>
      <c r="D12" s="24" t="s">
        <v>10</v>
      </c>
      <c r="E12" s="24" t="s">
        <v>17</v>
      </c>
      <c r="F12" s="18">
        <v>1.09E-2</v>
      </c>
      <c r="G12" s="19"/>
      <c r="H12" s="20"/>
      <c r="I12" s="21">
        <v>0.16</v>
      </c>
      <c r="J12" s="20"/>
      <c r="K12" s="20"/>
    </row>
    <row r="13" spans="1:11" ht="14.25" customHeight="1" x14ac:dyDescent="0.25">
      <c r="A13" s="25" t="s">
        <v>714</v>
      </c>
      <c r="B13" s="4" t="s">
        <v>5</v>
      </c>
      <c r="C13" s="4"/>
      <c r="D13" s="5"/>
      <c r="E13" s="5"/>
      <c r="F13" s="10">
        <v>3341.5012999999999</v>
      </c>
      <c r="G13" s="11">
        <v>3428.0437000000002</v>
      </c>
      <c r="H13" s="12">
        <v>1852.1968999999999</v>
      </c>
      <c r="I13" s="13">
        <v>125970.25199999999</v>
      </c>
      <c r="J13" s="12">
        <v>127615.61199999999</v>
      </c>
      <c r="K13" s="12">
        <v>64977.618000000002</v>
      </c>
    </row>
    <row r="14" spans="1:11" ht="15" customHeight="1" x14ac:dyDescent="0.25">
      <c r="A14" s="14" t="s">
        <v>830</v>
      </c>
      <c r="B14" s="15" t="s">
        <v>6</v>
      </c>
      <c r="C14" s="16"/>
      <c r="D14" s="17"/>
      <c r="E14" s="17"/>
      <c r="F14" s="18">
        <v>3341.5012999999999</v>
      </c>
      <c r="G14" s="19">
        <v>3428.0437000000002</v>
      </c>
      <c r="H14" s="20">
        <v>1852.1968999999999</v>
      </c>
      <c r="I14" s="21">
        <v>125970.25199999999</v>
      </c>
      <c r="J14" s="20">
        <v>127615.61199999999</v>
      </c>
      <c r="K14" s="20">
        <v>64977.618000000002</v>
      </c>
    </row>
    <row r="15" spans="1:11" ht="15" customHeight="1" x14ac:dyDescent="0.25">
      <c r="A15" s="22" t="s">
        <v>19</v>
      </c>
      <c r="B15" s="23" t="s">
        <v>8</v>
      </c>
      <c r="C15" s="23" t="s">
        <v>9</v>
      </c>
      <c r="D15" s="24" t="s">
        <v>20</v>
      </c>
      <c r="E15" s="24" t="s">
        <v>21</v>
      </c>
      <c r="F15" s="18">
        <v>81.467399999999998</v>
      </c>
      <c r="G15" s="19">
        <v>92.903000000000006</v>
      </c>
      <c r="H15" s="20">
        <v>52.511899999999997</v>
      </c>
      <c r="I15" s="21">
        <v>2980.7042999999999</v>
      </c>
      <c r="J15" s="20">
        <v>3415.3553999999999</v>
      </c>
      <c r="K15" s="20">
        <v>1823.0734</v>
      </c>
    </row>
    <row r="16" spans="1:11" ht="15" customHeight="1" x14ac:dyDescent="0.25">
      <c r="A16" s="22" t="s">
        <v>22</v>
      </c>
      <c r="B16" s="23" t="s">
        <v>8</v>
      </c>
      <c r="C16" s="23" t="s">
        <v>9</v>
      </c>
      <c r="D16" s="24" t="s">
        <v>20</v>
      </c>
      <c r="E16" s="24" t="s">
        <v>21</v>
      </c>
      <c r="F16" s="18">
        <v>165.22800000000001</v>
      </c>
      <c r="G16" s="19">
        <v>172.68430000000001</v>
      </c>
      <c r="H16" s="20">
        <v>91.1357</v>
      </c>
      <c r="I16" s="21">
        <v>5930.9056</v>
      </c>
      <c r="J16" s="20">
        <v>6183.6273000000001</v>
      </c>
      <c r="K16" s="20">
        <v>3125.7986999999998</v>
      </c>
    </row>
    <row r="17" spans="1:11" ht="15" customHeight="1" x14ac:dyDescent="0.25">
      <c r="A17" s="22" t="s">
        <v>23</v>
      </c>
      <c r="B17" s="23" t="s">
        <v>8</v>
      </c>
      <c r="C17" s="23" t="s">
        <v>9</v>
      </c>
      <c r="D17" s="24" t="s">
        <v>20</v>
      </c>
      <c r="E17" s="24" t="s">
        <v>24</v>
      </c>
      <c r="F17" s="18">
        <v>842.87239999999997</v>
      </c>
      <c r="G17" s="19">
        <v>745.33579999999995</v>
      </c>
      <c r="H17" s="20">
        <v>366.95890000000003</v>
      </c>
      <c r="I17" s="21">
        <v>38888.539799999999</v>
      </c>
      <c r="J17" s="20">
        <v>31985.000499999998</v>
      </c>
      <c r="K17" s="20">
        <v>14135.173000000001</v>
      </c>
    </row>
    <row r="18" spans="1:11" ht="15" customHeight="1" x14ac:dyDescent="0.25">
      <c r="A18" s="22" t="s">
        <v>25</v>
      </c>
      <c r="B18" s="23" t="s">
        <v>8</v>
      </c>
      <c r="C18" s="23" t="s">
        <v>9</v>
      </c>
      <c r="D18" s="24" t="s">
        <v>10</v>
      </c>
      <c r="E18" s="24" t="s">
        <v>26</v>
      </c>
      <c r="F18" s="18">
        <v>12.774800000000001</v>
      </c>
      <c r="G18" s="19">
        <v>10.866</v>
      </c>
      <c r="H18" s="20">
        <v>6.7743000000000002</v>
      </c>
      <c r="I18" s="21">
        <v>151.26679999999999</v>
      </c>
      <c r="J18" s="20">
        <v>127.18680000000001</v>
      </c>
      <c r="K18" s="20">
        <v>77.459400000000002</v>
      </c>
    </row>
    <row r="19" spans="1:11" ht="15" customHeight="1" x14ac:dyDescent="0.25">
      <c r="A19" s="22" t="s">
        <v>27</v>
      </c>
      <c r="B19" s="23" t="s">
        <v>8</v>
      </c>
      <c r="C19" s="23" t="s">
        <v>9</v>
      </c>
      <c r="D19" s="24" t="s">
        <v>10</v>
      </c>
      <c r="E19" s="24" t="s">
        <v>26</v>
      </c>
      <c r="F19" s="18">
        <v>20.055299999999999</v>
      </c>
      <c r="G19" s="19">
        <v>17.836099999999998</v>
      </c>
      <c r="H19" s="20">
        <v>11.187099999999999</v>
      </c>
      <c r="I19" s="21">
        <v>231.08779999999999</v>
      </c>
      <c r="J19" s="20">
        <v>217.71180000000001</v>
      </c>
      <c r="K19" s="20">
        <v>141.00800000000001</v>
      </c>
    </row>
    <row r="20" spans="1:11" ht="15" customHeight="1" x14ac:dyDescent="0.25">
      <c r="A20" s="22" t="s">
        <v>28</v>
      </c>
      <c r="B20" s="23" t="s">
        <v>8</v>
      </c>
      <c r="C20" s="23" t="s">
        <v>9</v>
      </c>
      <c r="D20" s="24" t="s">
        <v>20</v>
      </c>
      <c r="E20" s="24" t="s">
        <v>26</v>
      </c>
      <c r="F20" s="18">
        <v>1.2461</v>
      </c>
      <c r="G20" s="19">
        <v>7.7651000000000003</v>
      </c>
      <c r="H20" s="20">
        <v>2.2378</v>
      </c>
      <c r="I20" s="21">
        <v>20.960899999999999</v>
      </c>
      <c r="J20" s="20">
        <v>127.6666</v>
      </c>
      <c r="K20" s="20">
        <v>33.570999999999998</v>
      </c>
    </row>
    <row r="21" spans="1:11" ht="15" customHeight="1" x14ac:dyDescent="0.25">
      <c r="A21" s="22" t="s">
        <v>29</v>
      </c>
      <c r="B21" s="23" t="s">
        <v>8</v>
      </c>
      <c r="C21" s="23" t="s">
        <v>9</v>
      </c>
      <c r="D21" s="24" t="s">
        <v>30</v>
      </c>
      <c r="E21" s="24" t="s">
        <v>26</v>
      </c>
      <c r="F21" s="18">
        <v>9.6471999999999998</v>
      </c>
      <c r="G21" s="19">
        <v>10.7577</v>
      </c>
      <c r="H21" s="20">
        <v>7.0723000000000003</v>
      </c>
      <c r="I21" s="21">
        <v>112.20610000000001</v>
      </c>
      <c r="J21" s="20">
        <v>131.05279999999999</v>
      </c>
      <c r="K21" s="20">
        <v>85.719800000000006</v>
      </c>
    </row>
    <row r="22" spans="1:11" ht="15" customHeight="1" x14ac:dyDescent="0.25">
      <c r="A22" s="22" t="s">
        <v>31</v>
      </c>
      <c r="B22" s="23" t="s">
        <v>8</v>
      </c>
      <c r="C22" s="23" t="s">
        <v>9</v>
      </c>
      <c r="D22" s="24" t="s">
        <v>10</v>
      </c>
      <c r="E22" s="24" t="s">
        <v>32</v>
      </c>
      <c r="F22" s="18">
        <v>0.1235</v>
      </c>
      <c r="G22" s="19"/>
      <c r="H22" s="20"/>
      <c r="I22" s="21">
        <v>2.2799999999999998</v>
      </c>
      <c r="J22" s="20"/>
      <c r="K22" s="20"/>
    </row>
    <row r="23" spans="1:11" ht="15" customHeight="1" x14ac:dyDescent="0.25">
      <c r="A23" s="22" t="s">
        <v>33</v>
      </c>
      <c r="B23" s="23" t="s">
        <v>8</v>
      </c>
      <c r="C23" s="23" t="s">
        <v>9</v>
      </c>
      <c r="D23" s="24" t="s">
        <v>20</v>
      </c>
      <c r="E23" s="24" t="s">
        <v>34</v>
      </c>
      <c r="F23" s="18"/>
      <c r="G23" s="19"/>
      <c r="H23" s="20">
        <v>7.1128</v>
      </c>
      <c r="I23" s="21"/>
      <c r="J23" s="20"/>
      <c r="K23" s="20">
        <v>247.09899999999999</v>
      </c>
    </row>
    <row r="24" spans="1:11" ht="15" customHeight="1" x14ac:dyDescent="0.25">
      <c r="A24" s="22" t="s">
        <v>35</v>
      </c>
      <c r="B24" s="23" t="s">
        <v>8</v>
      </c>
      <c r="C24" s="23" t="s">
        <v>9</v>
      </c>
      <c r="D24" s="24" t="s">
        <v>20</v>
      </c>
      <c r="E24" s="24" t="s">
        <v>34</v>
      </c>
      <c r="F24" s="18">
        <v>0.18310000000000001</v>
      </c>
      <c r="G24" s="19">
        <v>0.1116</v>
      </c>
      <c r="H24" s="20">
        <v>0.38700000000000001</v>
      </c>
      <c r="I24" s="21">
        <v>5.8884999999999996</v>
      </c>
      <c r="J24" s="20">
        <v>3.7909999999999999</v>
      </c>
      <c r="K24" s="20">
        <v>14.3827</v>
      </c>
    </row>
    <row r="25" spans="1:11" ht="15" customHeight="1" x14ac:dyDescent="0.25">
      <c r="A25" s="22" t="s">
        <v>36</v>
      </c>
      <c r="B25" s="23" t="s">
        <v>8</v>
      </c>
      <c r="C25" s="23" t="s">
        <v>9</v>
      </c>
      <c r="D25" s="24" t="s">
        <v>10</v>
      </c>
      <c r="E25" s="24" t="s">
        <v>37</v>
      </c>
      <c r="F25" s="18">
        <v>1.8938999999999999</v>
      </c>
      <c r="G25" s="19"/>
      <c r="H25" s="20">
        <v>0.22520000000000001</v>
      </c>
      <c r="I25" s="21">
        <v>49.9726</v>
      </c>
      <c r="J25" s="20"/>
      <c r="K25" s="20">
        <v>6.9500999999999999</v>
      </c>
    </row>
    <row r="26" spans="1:11" ht="15" customHeight="1" x14ac:dyDescent="0.25">
      <c r="A26" s="22" t="s">
        <v>38</v>
      </c>
      <c r="B26" s="23" t="s">
        <v>8</v>
      </c>
      <c r="C26" s="23" t="s">
        <v>9</v>
      </c>
      <c r="D26" s="24" t="s">
        <v>10</v>
      </c>
      <c r="E26" s="24" t="s">
        <v>37</v>
      </c>
      <c r="F26" s="18">
        <v>1.3514999999999999</v>
      </c>
      <c r="G26" s="19">
        <v>1.6999999999999999E-3</v>
      </c>
      <c r="H26" s="20"/>
      <c r="I26" s="21">
        <v>37.322600000000001</v>
      </c>
      <c r="J26" s="20">
        <v>6.4000000000000001E-2</v>
      </c>
      <c r="K26" s="20"/>
    </row>
    <row r="27" spans="1:11" ht="15" customHeight="1" x14ac:dyDescent="0.25">
      <c r="A27" s="22" t="s">
        <v>39</v>
      </c>
      <c r="B27" s="23" t="s">
        <v>8</v>
      </c>
      <c r="C27" s="23" t="s">
        <v>9</v>
      </c>
      <c r="D27" s="24" t="s">
        <v>20</v>
      </c>
      <c r="E27" s="24" t="s">
        <v>37</v>
      </c>
      <c r="F27" s="18">
        <v>5.8978000000000002</v>
      </c>
      <c r="G27" s="19">
        <v>0.1087</v>
      </c>
      <c r="H27" s="20"/>
      <c r="I27" s="21">
        <v>169.58080000000001</v>
      </c>
      <c r="J27" s="20">
        <v>3.3822999999999999</v>
      </c>
      <c r="K27" s="20"/>
    </row>
    <row r="28" spans="1:11" ht="15" customHeight="1" x14ac:dyDescent="0.25">
      <c r="A28" s="22" t="s">
        <v>40</v>
      </c>
      <c r="B28" s="23" t="s">
        <v>8</v>
      </c>
      <c r="C28" s="23" t="s">
        <v>9</v>
      </c>
      <c r="D28" s="24" t="s">
        <v>30</v>
      </c>
      <c r="E28" s="24" t="s">
        <v>37</v>
      </c>
      <c r="F28" s="18">
        <v>0.69669999999999999</v>
      </c>
      <c r="G28" s="19">
        <v>28.392900000000001</v>
      </c>
      <c r="H28" s="20">
        <v>2.1978</v>
      </c>
      <c r="I28" s="21">
        <v>25.606300000000001</v>
      </c>
      <c r="J28" s="20">
        <v>1226.3661999999999</v>
      </c>
      <c r="K28" s="20">
        <v>96.438800000000001</v>
      </c>
    </row>
    <row r="29" spans="1:11" ht="15" customHeight="1" x14ac:dyDescent="0.25">
      <c r="A29" s="22" t="s">
        <v>41</v>
      </c>
      <c r="B29" s="23" t="s">
        <v>8</v>
      </c>
      <c r="C29" s="23" t="s">
        <v>9</v>
      </c>
      <c r="D29" s="24" t="s">
        <v>10</v>
      </c>
      <c r="E29" s="24" t="s">
        <v>42</v>
      </c>
      <c r="F29" s="18">
        <v>117.6534</v>
      </c>
      <c r="G29" s="19">
        <v>68.117699999999999</v>
      </c>
      <c r="H29" s="20">
        <v>28.349900000000002</v>
      </c>
      <c r="I29" s="21">
        <v>3055.9405999999999</v>
      </c>
      <c r="J29" s="20">
        <v>1781.8513</v>
      </c>
      <c r="K29" s="20">
        <v>711.07719999999995</v>
      </c>
    </row>
    <row r="30" spans="1:11" ht="15" customHeight="1" x14ac:dyDescent="0.25">
      <c r="A30" s="22" t="s">
        <v>43</v>
      </c>
      <c r="B30" s="23" t="s">
        <v>8</v>
      </c>
      <c r="C30" s="23" t="s">
        <v>9</v>
      </c>
      <c r="D30" s="24" t="s">
        <v>10</v>
      </c>
      <c r="E30" s="24" t="s">
        <v>42</v>
      </c>
      <c r="F30" s="18">
        <v>38.677799999999998</v>
      </c>
      <c r="G30" s="19">
        <v>31.4983</v>
      </c>
      <c r="H30" s="20">
        <v>9.7551000000000005</v>
      </c>
      <c r="I30" s="21">
        <v>954.11220000000003</v>
      </c>
      <c r="J30" s="20">
        <v>803.28520000000003</v>
      </c>
      <c r="K30" s="20">
        <v>236.19829999999999</v>
      </c>
    </row>
    <row r="31" spans="1:11" ht="15" customHeight="1" x14ac:dyDescent="0.25">
      <c r="A31" s="22" t="s">
        <v>44</v>
      </c>
      <c r="B31" s="23" t="s">
        <v>8</v>
      </c>
      <c r="C31" s="23" t="s">
        <v>9</v>
      </c>
      <c r="D31" s="24" t="s">
        <v>20</v>
      </c>
      <c r="E31" s="24" t="s">
        <v>42</v>
      </c>
      <c r="F31" s="18">
        <v>6.1199999999999997E-2</v>
      </c>
      <c r="G31" s="19"/>
      <c r="H31" s="20"/>
      <c r="I31" s="21">
        <v>1.6046</v>
      </c>
      <c r="J31" s="20"/>
      <c r="K31" s="20"/>
    </row>
    <row r="32" spans="1:11" ht="15" customHeight="1" x14ac:dyDescent="0.25">
      <c r="A32" s="22" t="s">
        <v>45</v>
      </c>
      <c r="B32" s="23" t="s">
        <v>8</v>
      </c>
      <c r="C32" s="23" t="s">
        <v>9</v>
      </c>
      <c r="D32" s="24" t="s">
        <v>20</v>
      </c>
      <c r="E32" s="24" t="s">
        <v>42</v>
      </c>
      <c r="F32" s="18">
        <v>36.521799999999999</v>
      </c>
      <c r="G32" s="19">
        <v>5.1192000000000002</v>
      </c>
      <c r="H32" s="20">
        <v>1.1213</v>
      </c>
      <c r="I32" s="21">
        <v>1199.5277000000001</v>
      </c>
      <c r="J32" s="20">
        <v>135.36869999999999</v>
      </c>
      <c r="K32" s="20">
        <v>30.554400000000001</v>
      </c>
    </row>
    <row r="33" spans="1:11" ht="15" customHeight="1" x14ac:dyDescent="0.25">
      <c r="A33" s="22" t="s">
        <v>46</v>
      </c>
      <c r="B33" s="23" t="s">
        <v>8</v>
      </c>
      <c r="C33" s="23" t="s">
        <v>9</v>
      </c>
      <c r="D33" s="24" t="s">
        <v>20</v>
      </c>
      <c r="E33" s="24" t="s">
        <v>42</v>
      </c>
      <c r="F33" s="18">
        <v>21.958300000000001</v>
      </c>
      <c r="G33" s="19">
        <v>39.467100000000002</v>
      </c>
      <c r="H33" s="20">
        <v>10.7844</v>
      </c>
      <c r="I33" s="21">
        <v>726.31399999999996</v>
      </c>
      <c r="J33" s="20">
        <v>1508.4713999999999</v>
      </c>
      <c r="K33" s="20">
        <v>314.52640000000002</v>
      </c>
    </row>
    <row r="34" spans="1:11" ht="15" customHeight="1" x14ac:dyDescent="0.25">
      <c r="A34" s="22" t="s">
        <v>47</v>
      </c>
      <c r="B34" s="23" t="s">
        <v>8</v>
      </c>
      <c r="C34" s="23" t="s">
        <v>9</v>
      </c>
      <c r="D34" s="24" t="s">
        <v>20</v>
      </c>
      <c r="E34" s="24" t="s">
        <v>42</v>
      </c>
      <c r="F34" s="18">
        <v>27.983599999999999</v>
      </c>
      <c r="G34" s="19">
        <v>162.41050000000001</v>
      </c>
      <c r="H34" s="20">
        <v>103.16800000000001</v>
      </c>
      <c r="I34" s="21">
        <v>928.81529999999998</v>
      </c>
      <c r="J34" s="20">
        <v>5484.9444999999996</v>
      </c>
      <c r="K34" s="20">
        <v>3446.0194999999999</v>
      </c>
    </row>
    <row r="35" spans="1:11" ht="15" customHeight="1" x14ac:dyDescent="0.25">
      <c r="A35" s="22" t="s">
        <v>48</v>
      </c>
      <c r="B35" s="23" t="s">
        <v>8</v>
      </c>
      <c r="C35" s="23" t="s">
        <v>9</v>
      </c>
      <c r="D35" s="24" t="s">
        <v>10</v>
      </c>
      <c r="E35" s="24" t="s">
        <v>42</v>
      </c>
      <c r="F35" s="18">
        <v>221.17019999999999</v>
      </c>
      <c r="G35" s="19">
        <v>159.9896</v>
      </c>
      <c r="H35" s="20">
        <v>77.865600000000001</v>
      </c>
      <c r="I35" s="21">
        <v>6715.8593000000001</v>
      </c>
      <c r="J35" s="20">
        <v>4333.2687999999998</v>
      </c>
      <c r="K35" s="20">
        <v>2035.5381</v>
      </c>
    </row>
    <row r="36" spans="1:11" ht="15" customHeight="1" x14ac:dyDescent="0.25">
      <c r="A36" s="22" t="s">
        <v>49</v>
      </c>
      <c r="B36" s="23" t="s">
        <v>8</v>
      </c>
      <c r="C36" s="23" t="s">
        <v>9</v>
      </c>
      <c r="D36" s="24" t="s">
        <v>20</v>
      </c>
      <c r="E36" s="24" t="s">
        <v>42</v>
      </c>
      <c r="F36" s="18">
        <v>6.4486999999999997</v>
      </c>
      <c r="G36" s="19">
        <v>1.6863999999999999</v>
      </c>
      <c r="H36" s="20"/>
      <c r="I36" s="21">
        <v>194.65190000000001</v>
      </c>
      <c r="J36" s="20">
        <v>50.700299999999999</v>
      </c>
      <c r="K36" s="20"/>
    </row>
    <row r="37" spans="1:11" ht="15" customHeight="1" x14ac:dyDescent="0.25">
      <c r="A37" s="22" t="s">
        <v>50</v>
      </c>
      <c r="B37" s="23" t="s">
        <v>8</v>
      </c>
      <c r="C37" s="23" t="s">
        <v>9</v>
      </c>
      <c r="D37" s="24" t="s">
        <v>20</v>
      </c>
      <c r="E37" s="24" t="s">
        <v>42</v>
      </c>
      <c r="F37" s="18"/>
      <c r="G37" s="19"/>
      <c r="H37" s="20"/>
      <c r="I37" s="21"/>
      <c r="J37" s="20"/>
      <c r="K37" s="20"/>
    </row>
    <row r="38" spans="1:11" ht="15" customHeight="1" x14ac:dyDescent="0.25">
      <c r="A38" s="22" t="s">
        <v>51</v>
      </c>
      <c r="B38" s="23" t="s">
        <v>8</v>
      </c>
      <c r="C38" s="23" t="s">
        <v>9</v>
      </c>
      <c r="D38" s="24" t="s">
        <v>20</v>
      </c>
      <c r="E38" s="24" t="s">
        <v>42</v>
      </c>
      <c r="F38" s="18">
        <v>1663.8369</v>
      </c>
      <c r="G38" s="19">
        <v>1815.6596999999999</v>
      </c>
      <c r="H38" s="20">
        <v>1049.2485999999999</v>
      </c>
      <c r="I38" s="21">
        <v>62012.672500000001</v>
      </c>
      <c r="J38" s="20">
        <v>68679.966</v>
      </c>
      <c r="K38" s="20">
        <v>37856.881999999998</v>
      </c>
    </row>
    <row r="39" spans="1:11" ht="15" customHeight="1" x14ac:dyDescent="0.25">
      <c r="A39" s="22" t="s">
        <v>52</v>
      </c>
      <c r="B39" s="23" t="s">
        <v>8</v>
      </c>
      <c r="C39" s="23" t="s">
        <v>9</v>
      </c>
      <c r="D39" s="24" t="s">
        <v>10</v>
      </c>
      <c r="E39" s="24" t="s">
        <v>17</v>
      </c>
      <c r="F39" s="18">
        <v>1.7698</v>
      </c>
      <c r="G39" s="19">
        <v>0.36170000000000002</v>
      </c>
      <c r="H39" s="20">
        <v>0.20810000000000001</v>
      </c>
      <c r="I39" s="21">
        <v>50.220500000000001</v>
      </c>
      <c r="J39" s="20">
        <v>12.068099999999999</v>
      </c>
      <c r="K39" s="20">
        <v>5.4642999999999997</v>
      </c>
    </row>
    <row r="40" spans="1:11" ht="15" customHeight="1" x14ac:dyDescent="0.25">
      <c r="A40" s="22" t="s">
        <v>53</v>
      </c>
      <c r="B40" s="23" t="s">
        <v>8</v>
      </c>
      <c r="C40" s="23" t="s">
        <v>9</v>
      </c>
      <c r="D40" s="24" t="s">
        <v>10</v>
      </c>
      <c r="E40" s="24" t="s">
        <v>17</v>
      </c>
      <c r="F40" s="18">
        <v>61.981900000000003</v>
      </c>
      <c r="G40" s="19">
        <v>56.970199999999998</v>
      </c>
      <c r="H40" s="20">
        <v>23.8948</v>
      </c>
      <c r="I40" s="21">
        <v>1524.2099000000001</v>
      </c>
      <c r="J40" s="20">
        <v>1404.4858999999999</v>
      </c>
      <c r="K40" s="20">
        <v>554.68420000000003</v>
      </c>
    </row>
    <row r="41" spans="1:11" ht="14.25" customHeight="1" x14ac:dyDescent="0.25">
      <c r="A41" s="25" t="s">
        <v>715</v>
      </c>
      <c r="B41" s="4" t="s">
        <v>5</v>
      </c>
      <c r="C41" s="4"/>
      <c r="D41" s="5"/>
      <c r="E41" s="5"/>
      <c r="F41" s="10">
        <v>511.78089999999997</v>
      </c>
      <c r="G41" s="11">
        <v>507.3048</v>
      </c>
      <c r="H41" s="12">
        <v>295.71379999999999</v>
      </c>
      <c r="I41" s="13">
        <v>23199.701799999999</v>
      </c>
      <c r="J41" s="12">
        <v>21680.539100000002</v>
      </c>
      <c r="K41" s="12">
        <v>11434.4841</v>
      </c>
    </row>
    <row r="42" spans="1:11" ht="15" customHeight="1" x14ac:dyDescent="0.25">
      <c r="A42" s="14" t="s">
        <v>831</v>
      </c>
      <c r="B42" s="15" t="s">
        <v>6</v>
      </c>
      <c r="C42" s="16"/>
      <c r="D42" s="17"/>
      <c r="E42" s="17"/>
      <c r="F42" s="18">
        <v>511.78089999999997</v>
      </c>
      <c r="G42" s="19">
        <v>507.3048</v>
      </c>
      <c r="H42" s="20">
        <v>295.71379999999999</v>
      </c>
      <c r="I42" s="21">
        <v>23199.701799999999</v>
      </c>
      <c r="J42" s="20">
        <v>21680.539100000002</v>
      </c>
      <c r="K42" s="20">
        <v>11434.4841</v>
      </c>
    </row>
    <row r="43" spans="1:11" ht="15" customHeight="1" x14ac:dyDescent="0.25">
      <c r="A43" s="22" t="s">
        <v>54</v>
      </c>
      <c r="B43" s="23" t="s">
        <v>8</v>
      </c>
      <c r="C43" s="23" t="s">
        <v>9</v>
      </c>
      <c r="D43" s="24" t="s">
        <v>20</v>
      </c>
      <c r="E43" s="24" t="s">
        <v>24</v>
      </c>
      <c r="F43" s="18">
        <v>78.227999999999994</v>
      </c>
      <c r="G43" s="19">
        <v>99.030500000000004</v>
      </c>
      <c r="H43" s="20">
        <v>56.674100000000003</v>
      </c>
      <c r="I43" s="21">
        <v>4816.5708000000004</v>
      </c>
      <c r="J43" s="20">
        <v>5822.6243999999997</v>
      </c>
      <c r="K43" s="20">
        <v>2923.4182999999998</v>
      </c>
    </row>
    <row r="44" spans="1:11" ht="15" customHeight="1" x14ac:dyDescent="0.25">
      <c r="A44" s="22" t="s">
        <v>55</v>
      </c>
      <c r="B44" s="23" t="s">
        <v>8</v>
      </c>
      <c r="C44" s="23" t="s">
        <v>9</v>
      </c>
      <c r="D44" s="24" t="s">
        <v>10</v>
      </c>
      <c r="E44" s="24" t="s">
        <v>37</v>
      </c>
      <c r="F44" s="18">
        <v>11.11</v>
      </c>
      <c r="G44" s="19">
        <v>8.9543999999999997</v>
      </c>
      <c r="H44" s="20">
        <v>2.2328999999999999</v>
      </c>
      <c r="I44" s="21">
        <v>523.16819999999996</v>
      </c>
      <c r="J44" s="20">
        <v>387.32229999999998</v>
      </c>
      <c r="K44" s="20">
        <v>84.428399999999996</v>
      </c>
    </row>
    <row r="45" spans="1:11" ht="15" customHeight="1" x14ac:dyDescent="0.25">
      <c r="A45" s="22" t="s">
        <v>56</v>
      </c>
      <c r="B45" s="23" t="s">
        <v>8</v>
      </c>
      <c r="C45" s="23" t="s">
        <v>9</v>
      </c>
      <c r="D45" s="24" t="s">
        <v>10</v>
      </c>
      <c r="E45" s="24" t="s">
        <v>37</v>
      </c>
      <c r="F45" s="18">
        <v>79.953000000000003</v>
      </c>
      <c r="G45" s="19">
        <v>73.757099999999994</v>
      </c>
      <c r="H45" s="20">
        <v>40.362299999999998</v>
      </c>
      <c r="I45" s="21">
        <v>3388.3481999999999</v>
      </c>
      <c r="J45" s="20">
        <v>2840.8843000000002</v>
      </c>
      <c r="K45" s="20">
        <v>1387.0689</v>
      </c>
    </row>
    <row r="46" spans="1:11" ht="15" customHeight="1" x14ac:dyDescent="0.25">
      <c r="A46" s="22" t="s">
        <v>57</v>
      </c>
      <c r="B46" s="23" t="s">
        <v>8</v>
      </c>
      <c r="C46" s="23" t="s">
        <v>9</v>
      </c>
      <c r="D46" s="24" t="s">
        <v>10</v>
      </c>
      <c r="E46" s="24" t="s">
        <v>37</v>
      </c>
      <c r="F46" s="18">
        <v>12.195</v>
      </c>
      <c r="G46" s="19">
        <v>8.5597999999999992</v>
      </c>
      <c r="H46" s="20">
        <v>1.6516999999999999</v>
      </c>
      <c r="I46" s="21">
        <v>553.03880000000004</v>
      </c>
      <c r="J46" s="20">
        <v>369.83049999999997</v>
      </c>
      <c r="K46" s="20">
        <v>64.100099999999998</v>
      </c>
    </row>
    <row r="47" spans="1:11" ht="15" customHeight="1" x14ac:dyDescent="0.25">
      <c r="A47" s="22" t="s">
        <v>58</v>
      </c>
      <c r="B47" s="23" t="s">
        <v>8</v>
      </c>
      <c r="C47" s="23" t="s">
        <v>9</v>
      </c>
      <c r="D47" s="24" t="s">
        <v>10</v>
      </c>
      <c r="E47" s="24" t="s">
        <v>37</v>
      </c>
      <c r="F47" s="18">
        <v>60.510800000000003</v>
      </c>
      <c r="G47" s="19">
        <v>52.405999999999999</v>
      </c>
      <c r="H47" s="20">
        <v>30.122800000000002</v>
      </c>
      <c r="I47" s="21">
        <v>2540.1291999999999</v>
      </c>
      <c r="J47" s="20">
        <v>2011.4869000000001</v>
      </c>
      <c r="K47" s="20">
        <v>1066.0352</v>
      </c>
    </row>
    <row r="48" spans="1:11" ht="15" customHeight="1" x14ac:dyDescent="0.25">
      <c r="A48" s="22" t="s">
        <v>59</v>
      </c>
      <c r="B48" s="23" t="s">
        <v>8</v>
      </c>
      <c r="C48" s="23" t="s">
        <v>9</v>
      </c>
      <c r="D48" s="24" t="s">
        <v>10</v>
      </c>
      <c r="E48" s="24" t="s">
        <v>37</v>
      </c>
      <c r="F48" s="18">
        <v>47.8005</v>
      </c>
      <c r="G48" s="19">
        <v>51.199100000000001</v>
      </c>
      <c r="H48" s="20">
        <v>29.6906</v>
      </c>
      <c r="I48" s="21">
        <v>1970.2177999999999</v>
      </c>
      <c r="J48" s="20">
        <v>1924.2328</v>
      </c>
      <c r="K48" s="20">
        <v>1027.8571999999999</v>
      </c>
    </row>
    <row r="49" spans="1:11" ht="15" customHeight="1" x14ac:dyDescent="0.25">
      <c r="A49" s="22" t="s">
        <v>60</v>
      </c>
      <c r="B49" s="23" t="s">
        <v>8</v>
      </c>
      <c r="C49" s="23" t="s">
        <v>9</v>
      </c>
      <c r="D49" s="24" t="s">
        <v>20</v>
      </c>
      <c r="E49" s="24" t="s">
        <v>37</v>
      </c>
      <c r="F49" s="18"/>
      <c r="G49" s="19">
        <v>3.2536</v>
      </c>
      <c r="H49" s="20">
        <v>4.3144</v>
      </c>
      <c r="I49" s="21"/>
      <c r="J49" s="20">
        <v>139.34979999999999</v>
      </c>
      <c r="K49" s="20">
        <v>169.84690000000001</v>
      </c>
    </row>
    <row r="50" spans="1:11" ht="15" customHeight="1" x14ac:dyDescent="0.25">
      <c r="A50" s="22" t="s">
        <v>61</v>
      </c>
      <c r="B50" s="23" t="s">
        <v>8</v>
      </c>
      <c r="C50" s="23" t="s">
        <v>9</v>
      </c>
      <c r="D50" s="24" t="s">
        <v>20</v>
      </c>
      <c r="E50" s="24" t="s">
        <v>37</v>
      </c>
      <c r="F50" s="18">
        <v>5.5922000000000001</v>
      </c>
      <c r="G50" s="19">
        <v>5.3672000000000004</v>
      </c>
      <c r="H50" s="20">
        <v>2.5727000000000002</v>
      </c>
      <c r="I50" s="21">
        <v>261.04790000000003</v>
      </c>
      <c r="J50" s="20">
        <v>232.43600000000001</v>
      </c>
      <c r="K50" s="20">
        <v>93.995500000000007</v>
      </c>
    </row>
    <row r="51" spans="1:11" ht="15" customHeight="1" x14ac:dyDescent="0.25">
      <c r="A51" s="22" t="s">
        <v>62</v>
      </c>
      <c r="B51" s="23" t="s">
        <v>8</v>
      </c>
      <c r="C51" s="23" t="s">
        <v>9</v>
      </c>
      <c r="D51" s="24" t="s">
        <v>20</v>
      </c>
      <c r="E51" s="24" t="s">
        <v>37</v>
      </c>
      <c r="F51" s="18">
        <v>53.490699999999997</v>
      </c>
      <c r="G51" s="19">
        <v>44.783700000000003</v>
      </c>
      <c r="H51" s="20">
        <v>26.440899999999999</v>
      </c>
      <c r="I51" s="21">
        <v>2262.5698000000002</v>
      </c>
      <c r="J51" s="20">
        <v>1667.4681</v>
      </c>
      <c r="K51" s="20">
        <v>920.88139999999999</v>
      </c>
    </row>
    <row r="52" spans="1:11" ht="15" customHeight="1" x14ac:dyDescent="0.25">
      <c r="A52" s="22" t="s">
        <v>63</v>
      </c>
      <c r="B52" s="23" t="s">
        <v>8</v>
      </c>
      <c r="C52" s="23" t="s">
        <v>9</v>
      </c>
      <c r="D52" s="24" t="s">
        <v>64</v>
      </c>
      <c r="E52" s="24" t="s">
        <v>37</v>
      </c>
      <c r="F52" s="18">
        <v>8.2710000000000008</v>
      </c>
      <c r="G52" s="19">
        <v>9.9309999999999992</v>
      </c>
      <c r="H52" s="20">
        <v>1.1805000000000001</v>
      </c>
      <c r="I52" s="21">
        <v>392.0086</v>
      </c>
      <c r="J52" s="20">
        <v>426.19690000000003</v>
      </c>
      <c r="K52" s="20">
        <v>46.280799999999999</v>
      </c>
    </row>
    <row r="53" spans="1:11" ht="15" customHeight="1" x14ac:dyDescent="0.25">
      <c r="A53" s="22" t="s">
        <v>65</v>
      </c>
      <c r="B53" s="23" t="s">
        <v>8</v>
      </c>
      <c r="C53" s="23" t="s">
        <v>9</v>
      </c>
      <c r="D53" s="24" t="s">
        <v>64</v>
      </c>
      <c r="E53" s="24" t="s">
        <v>37</v>
      </c>
      <c r="F53" s="18">
        <v>70.562299999999993</v>
      </c>
      <c r="G53" s="19">
        <v>56.785600000000002</v>
      </c>
      <c r="H53" s="20">
        <v>30.796600000000002</v>
      </c>
      <c r="I53" s="21">
        <v>2842.3220000000001</v>
      </c>
      <c r="J53" s="20">
        <v>2121.0371</v>
      </c>
      <c r="K53" s="20">
        <v>1067.8224</v>
      </c>
    </row>
    <row r="54" spans="1:11" ht="15" customHeight="1" x14ac:dyDescent="0.25">
      <c r="A54" s="22" t="s">
        <v>66</v>
      </c>
      <c r="B54" s="23" t="s">
        <v>8</v>
      </c>
      <c r="C54" s="23" t="s">
        <v>9</v>
      </c>
      <c r="D54" s="24" t="s">
        <v>20</v>
      </c>
      <c r="E54" s="24" t="s">
        <v>37</v>
      </c>
      <c r="F54" s="18">
        <v>34.495899999999999</v>
      </c>
      <c r="G54" s="19">
        <v>35.333399999999997</v>
      </c>
      <c r="H54" s="20">
        <v>28.078199999999999</v>
      </c>
      <c r="I54" s="21">
        <v>1446.3839</v>
      </c>
      <c r="J54" s="20">
        <v>1359.9783</v>
      </c>
      <c r="K54" s="20">
        <v>967.9162</v>
      </c>
    </row>
    <row r="55" spans="1:11" ht="15" customHeight="1" x14ac:dyDescent="0.25">
      <c r="A55" s="22" t="s">
        <v>67</v>
      </c>
      <c r="B55" s="23" t="s">
        <v>8</v>
      </c>
      <c r="C55" s="23" t="s">
        <v>9</v>
      </c>
      <c r="D55" s="24" t="s">
        <v>30</v>
      </c>
      <c r="E55" s="24" t="s">
        <v>68</v>
      </c>
      <c r="F55" s="18">
        <v>49.5715</v>
      </c>
      <c r="G55" s="19">
        <v>57.943199999999997</v>
      </c>
      <c r="H55" s="20">
        <v>41.595799999999997</v>
      </c>
      <c r="I55" s="21">
        <v>2203.8969999999999</v>
      </c>
      <c r="J55" s="20">
        <v>2377.6914999999999</v>
      </c>
      <c r="K55" s="20">
        <v>1614.8326999999999</v>
      </c>
    </row>
    <row r="56" spans="1:11" ht="14.25" customHeight="1" x14ac:dyDescent="0.25">
      <c r="A56" s="25" t="s">
        <v>716</v>
      </c>
      <c r="B56" s="4" t="s">
        <v>5</v>
      </c>
      <c r="C56" s="4"/>
      <c r="D56" s="5"/>
      <c r="E56" s="5"/>
      <c r="F56" s="10"/>
      <c r="G56" s="11">
        <v>4.4634999999999998</v>
      </c>
      <c r="H56" s="12">
        <v>5.9009999999999998</v>
      </c>
      <c r="I56" s="13"/>
      <c r="J56" s="12">
        <v>231.33420000000001</v>
      </c>
      <c r="K56" s="12">
        <v>348.19819999999999</v>
      </c>
    </row>
    <row r="57" spans="1:11" ht="15" customHeight="1" x14ac:dyDescent="0.25">
      <c r="A57" s="14" t="s">
        <v>832</v>
      </c>
      <c r="B57" s="15" t="s">
        <v>6</v>
      </c>
      <c r="C57" s="16"/>
      <c r="D57" s="17"/>
      <c r="E57" s="17"/>
      <c r="F57" s="18"/>
      <c r="G57" s="19">
        <v>4.4634999999999998</v>
      </c>
      <c r="H57" s="20">
        <v>5.9009999999999998</v>
      </c>
      <c r="I57" s="21"/>
      <c r="J57" s="20">
        <v>231.33420000000001</v>
      </c>
      <c r="K57" s="20">
        <v>348.19819999999999</v>
      </c>
    </row>
    <row r="58" spans="1:11" ht="15" customHeight="1" x14ac:dyDescent="0.25">
      <c r="A58" s="22" t="s">
        <v>70</v>
      </c>
      <c r="B58" s="23" t="s">
        <v>8</v>
      </c>
      <c r="C58" s="23" t="s">
        <v>9</v>
      </c>
      <c r="D58" s="24" t="s">
        <v>20</v>
      </c>
      <c r="E58" s="24" t="s">
        <v>24</v>
      </c>
      <c r="F58" s="18"/>
      <c r="G58" s="19"/>
      <c r="H58" s="20">
        <v>5.7117000000000004</v>
      </c>
      <c r="I58" s="21"/>
      <c r="J58" s="20"/>
      <c r="K58" s="20">
        <v>338.46300000000002</v>
      </c>
    </row>
    <row r="59" spans="1:11" ht="15" customHeight="1" x14ac:dyDescent="0.25">
      <c r="A59" s="22" t="s">
        <v>71</v>
      </c>
      <c r="B59" s="23" t="s">
        <v>8</v>
      </c>
      <c r="C59" s="23" t="s">
        <v>9</v>
      </c>
      <c r="D59" s="24" t="s">
        <v>20</v>
      </c>
      <c r="E59" s="24" t="s">
        <v>68</v>
      </c>
      <c r="F59" s="18"/>
      <c r="G59" s="19">
        <v>4.4634999999999998</v>
      </c>
      <c r="H59" s="20">
        <v>0.1893</v>
      </c>
      <c r="I59" s="21"/>
      <c r="J59" s="20">
        <v>231.33420000000001</v>
      </c>
      <c r="K59" s="20">
        <v>9.7352000000000007</v>
      </c>
    </row>
    <row r="60" spans="1:11" ht="14.25" customHeight="1" x14ac:dyDescent="0.25">
      <c r="A60" s="25" t="s">
        <v>717</v>
      </c>
      <c r="B60" s="4" t="s">
        <v>5</v>
      </c>
      <c r="C60" s="4"/>
      <c r="D60" s="5"/>
      <c r="E60" s="5"/>
      <c r="F60" s="10">
        <v>0.70520000000000005</v>
      </c>
      <c r="G60" s="11"/>
      <c r="H60" s="12"/>
      <c r="I60" s="13">
        <v>47.325299999999999</v>
      </c>
      <c r="J60" s="12"/>
      <c r="K60" s="12"/>
    </row>
    <row r="61" spans="1:11" ht="15" customHeight="1" x14ac:dyDescent="0.25">
      <c r="A61" s="14" t="s">
        <v>834</v>
      </c>
      <c r="B61" s="15" t="s">
        <v>6</v>
      </c>
      <c r="C61" s="16"/>
      <c r="D61" s="17"/>
      <c r="E61" s="17"/>
      <c r="F61" s="18">
        <v>0.70520000000000005</v>
      </c>
      <c r="G61" s="19"/>
      <c r="H61" s="20"/>
      <c r="I61" s="21">
        <v>47.325299999999999</v>
      </c>
      <c r="J61" s="20"/>
      <c r="K61" s="20"/>
    </row>
    <row r="62" spans="1:11" ht="15" customHeight="1" x14ac:dyDescent="0.25">
      <c r="A62" s="22" t="s">
        <v>72</v>
      </c>
      <c r="B62" s="23" t="s">
        <v>8</v>
      </c>
      <c r="C62" s="23" t="s">
        <v>9</v>
      </c>
      <c r="D62" s="24" t="s">
        <v>20</v>
      </c>
      <c r="E62" s="24" t="s">
        <v>24</v>
      </c>
      <c r="F62" s="18">
        <v>0.70520000000000005</v>
      </c>
      <c r="G62" s="19"/>
      <c r="H62" s="20"/>
      <c r="I62" s="21">
        <v>47.325299999999999</v>
      </c>
      <c r="J62" s="20"/>
      <c r="K62" s="20"/>
    </row>
    <row r="63" spans="1:11" ht="14.25" customHeight="1" x14ac:dyDescent="0.25">
      <c r="A63" s="25" t="s">
        <v>718</v>
      </c>
      <c r="B63" s="4" t="s">
        <v>5</v>
      </c>
      <c r="C63" s="4"/>
      <c r="D63" s="5"/>
      <c r="E63" s="5"/>
      <c r="F63" s="10">
        <v>104.66630000000001</v>
      </c>
      <c r="G63" s="11">
        <v>94.425600000000003</v>
      </c>
      <c r="H63" s="12">
        <v>45.948500000000003</v>
      </c>
      <c r="I63" s="13">
        <v>5728.6422000000002</v>
      </c>
      <c r="J63" s="12">
        <v>5002.3734000000004</v>
      </c>
      <c r="K63" s="12">
        <v>2228.9189999999999</v>
      </c>
    </row>
    <row r="64" spans="1:11" ht="15" customHeight="1" x14ac:dyDescent="0.25">
      <c r="A64" s="14" t="s">
        <v>835</v>
      </c>
      <c r="B64" s="15" t="s">
        <v>6</v>
      </c>
      <c r="C64" s="16"/>
      <c r="D64" s="17"/>
      <c r="E64" s="17"/>
      <c r="F64" s="18">
        <v>104.66630000000001</v>
      </c>
      <c r="G64" s="19">
        <v>94.425600000000003</v>
      </c>
      <c r="H64" s="20">
        <v>45.948500000000003</v>
      </c>
      <c r="I64" s="21">
        <v>5728.6422000000002</v>
      </c>
      <c r="J64" s="20">
        <v>5002.3734000000004</v>
      </c>
      <c r="K64" s="20">
        <v>2228.9189999999999</v>
      </c>
    </row>
    <row r="65" spans="1:11" ht="15" customHeight="1" x14ac:dyDescent="0.25">
      <c r="A65" s="22" t="s">
        <v>73</v>
      </c>
      <c r="B65" s="23" t="s">
        <v>8</v>
      </c>
      <c r="C65" s="23" t="s">
        <v>9</v>
      </c>
      <c r="D65" s="24" t="s">
        <v>20</v>
      </c>
      <c r="E65" s="24" t="s">
        <v>21</v>
      </c>
      <c r="F65" s="18">
        <v>0.76280000000000003</v>
      </c>
      <c r="G65" s="19">
        <v>0.23669999999999999</v>
      </c>
      <c r="H65" s="20">
        <v>0.1135</v>
      </c>
      <c r="I65" s="21">
        <v>43.074599999999997</v>
      </c>
      <c r="J65" s="20">
        <v>13.9861</v>
      </c>
      <c r="K65" s="20">
        <v>6.5488999999999997</v>
      </c>
    </row>
    <row r="66" spans="1:11" ht="15" customHeight="1" x14ac:dyDescent="0.25">
      <c r="A66" s="22" t="s">
        <v>74</v>
      </c>
      <c r="B66" s="23" t="s">
        <v>8</v>
      </c>
      <c r="C66" s="23" t="s">
        <v>9</v>
      </c>
      <c r="D66" s="24" t="s">
        <v>64</v>
      </c>
      <c r="E66" s="24" t="s">
        <v>21</v>
      </c>
      <c r="F66" s="18">
        <v>14.3467</v>
      </c>
      <c r="G66" s="19">
        <v>14.9893</v>
      </c>
      <c r="H66" s="20">
        <v>7.9457000000000004</v>
      </c>
      <c r="I66" s="21">
        <v>749.43960000000004</v>
      </c>
      <c r="J66" s="20">
        <v>788.71510000000001</v>
      </c>
      <c r="K66" s="20">
        <v>388.85250000000002</v>
      </c>
    </row>
    <row r="67" spans="1:11" ht="15" customHeight="1" x14ac:dyDescent="0.25">
      <c r="A67" s="22" t="s">
        <v>75</v>
      </c>
      <c r="B67" s="23" t="s">
        <v>8</v>
      </c>
      <c r="C67" s="23" t="s">
        <v>9</v>
      </c>
      <c r="D67" s="24" t="s">
        <v>10</v>
      </c>
      <c r="E67" s="24" t="s">
        <v>21</v>
      </c>
      <c r="F67" s="18">
        <v>9.9741999999999997</v>
      </c>
      <c r="G67" s="19">
        <v>17.767600000000002</v>
      </c>
      <c r="H67" s="20">
        <v>9.7081</v>
      </c>
      <c r="I67" s="21">
        <v>530.94489999999996</v>
      </c>
      <c r="J67" s="20">
        <v>921.25450000000001</v>
      </c>
      <c r="K67" s="20">
        <v>442.90179999999998</v>
      </c>
    </row>
    <row r="68" spans="1:11" ht="15" customHeight="1" x14ac:dyDescent="0.25">
      <c r="A68" s="22" t="s">
        <v>76</v>
      </c>
      <c r="B68" s="23" t="s">
        <v>8</v>
      </c>
      <c r="C68" s="23" t="s">
        <v>9</v>
      </c>
      <c r="D68" s="24" t="s">
        <v>10</v>
      </c>
      <c r="E68" s="24" t="s">
        <v>21</v>
      </c>
      <c r="F68" s="18">
        <v>15.1808</v>
      </c>
      <c r="G68" s="19">
        <v>9.7044999999999995</v>
      </c>
      <c r="H68" s="20">
        <v>2.6509999999999998</v>
      </c>
      <c r="I68" s="21">
        <v>814.55730000000005</v>
      </c>
      <c r="J68" s="20">
        <v>531.53909999999996</v>
      </c>
      <c r="K68" s="20">
        <v>144.98150000000001</v>
      </c>
    </row>
    <row r="69" spans="1:11" ht="15" customHeight="1" x14ac:dyDescent="0.25">
      <c r="A69" s="22" t="s">
        <v>77</v>
      </c>
      <c r="B69" s="23" t="s">
        <v>8</v>
      </c>
      <c r="C69" s="23" t="s">
        <v>9</v>
      </c>
      <c r="D69" s="24" t="s">
        <v>20</v>
      </c>
      <c r="E69" s="24" t="s">
        <v>21</v>
      </c>
      <c r="F69" s="18">
        <v>18.2471</v>
      </c>
      <c r="G69" s="19">
        <v>19.903099999999998</v>
      </c>
      <c r="H69" s="20">
        <v>8.7614000000000001</v>
      </c>
      <c r="I69" s="21">
        <v>989.38980000000004</v>
      </c>
      <c r="J69" s="20">
        <v>1044.1582000000001</v>
      </c>
      <c r="K69" s="20">
        <v>387.44209999999998</v>
      </c>
    </row>
    <row r="70" spans="1:11" ht="15" customHeight="1" x14ac:dyDescent="0.25">
      <c r="A70" s="22" t="s">
        <v>78</v>
      </c>
      <c r="B70" s="23" t="s">
        <v>8</v>
      </c>
      <c r="C70" s="23" t="s">
        <v>9</v>
      </c>
      <c r="D70" s="24" t="s">
        <v>20</v>
      </c>
      <c r="E70" s="24" t="s">
        <v>21</v>
      </c>
      <c r="F70" s="18">
        <v>13.7898</v>
      </c>
      <c r="G70" s="19">
        <v>10.6778</v>
      </c>
      <c r="H70" s="20">
        <v>5.2233000000000001</v>
      </c>
      <c r="I70" s="21">
        <v>726.86360000000002</v>
      </c>
      <c r="J70" s="20">
        <v>563.28449999999998</v>
      </c>
      <c r="K70" s="20">
        <v>268.45999999999998</v>
      </c>
    </row>
    <row r="71" spans="1:11" ht="15" customHeight="1" x14ac:dyDescent="0.25">
      <c r="A71" s="22" t="s">
        <v>79</v>
      </c>
      <c r="B71" s="23" t="s">
        <v>8</v>
      </c>
      <c r="C71" s="23" t="s">
        <v>9</v>
      </c>
      <c r="D71" s="24" t="s">
        <v>10</v>
      </c>
      <c r="E71" s="24" t="s">
        <v>21</v>
      </c>
      <c r="F71" s="18"/>
      <c r="G71" s="19"/>
      <c r="H71" s="20"/>
      <c r="I71" s="21"/>
      <c r="J71" s="20"/>
      <c r="K71" s="20"/>
    </row>
    <row r="72" spans="1:11" ht="15" customHeight="1" x14ac:dyDescent="0.25">
      <c r="A72" s="22" t="s">
        <v>80</v>
      </c>
      <c r="B72" s="23" t="s">
        <v>8</v>
      </c>
      <c r="C72" s="23" t="s">
        <v>9</v>
      </c>
      <c r="D72" s="24" t="s">
        <v>20</v>
      </c>
      <c r="E72" s="24" t="s">
        <v>24</v>
      </c>
      <c r="F72" s="18">
        <v>29.590800000000002</v>
      </c>
      <c r="G72" s="19">
        <v>20.845300000000002</v>
      </c>
      <c r="H72" s="20">
        <v>11.449400000000001</v>
      </c>
      <c r="I72" s="21">
        <v>1741.4848</v>
      </c>
      <c r="J72" s="20">
        <v>1127.5655999999999</v>
      </c>
      <c r="K72" s="20">
        <v>585.96109999999999</v>
      </c>
    </row>
    <row r="73" spans="1:11" ht="15" customHeight="1" x14ac:dyDescent="0.25">
      <c r="A73" s="22" t="s">
        <v>81</v>
      </c>
      <c r="B73" s="23" t="s">
        <v>8</v>
      </c>
      <c r="C73" s="23" t="s">
        <v>9</v>
      </c>
      <c r="D73" s="24" t="s">
        <v>64</v>
      </c>
      <c r="E73" s="24" t="s">
        <v>42</v>
      </c>
      <c r="F73" s="18">
        <v>0.72840000000000005</v>
      </c>
      <c r="G73" s="19"/>
      <c r="H73" s="20"/>
      <c r="I73" s="21">
        <v>51.0182</v>
      </c>
      <c r="J73" s="20"/>
      <c r="K73" s="20"/>
    </row>
    <row r="74" spans="1:11" ht="15" customHeight="1" x14ac:dyDescent="0.25">
      <c r="A74" s="22" t="s">
        <v>82</v>
      </c>
      <c r="B74" s="23" t="s">
        <v>8</v>
      </c>
      <c r="C74" s="23" t="s">
        <v>9</v>
      </c>
      <c r="D74" s="24" t="s">
        <v>30</v>
      </c>
      <c r="E74" s="24" t="s">
        <v>68</v>
      </c>
      <c r="F74" s="18">
        <v>2.0455000000000001</v>
      </c>
      <c r="G74" s="19">
        <v>0.30070000000000002</v>
      </c>
      <c r="H74" s="20">
        <v>9.6000000000000002E-2</v>
      </c>
      <c r="I74" s="21">
        <v>81.869600000000005</v>
      </c>
      <c r="J74" s="20">
        <v>11.870100000000001</v>
      </c>
      <c r="K74" s="20">
        <v>3.7711999999999999</v>
      </c>
    </row>
    <row r="75" spans="1:11" ht="14.25" customHeight="1" x14ac:dyDescent="0.25">
      <c r="A75" s="25" t="s">
        <v>719</v>
      </c>
      <c r="B75" s="4" t="s">
        <v>5</v>
      </c>
      <c r="C75" s="4"/>
      <c r="D75" s="5"/>
      <c r="E75" s="5"/>
      <c r="F75" s="10">
        <v>1.5390999999999999</v>
      </c>
      <c r="G75" s="11">
        <v>2.0581</v>
      </c>
      <c r="H75" s="12">
        <v>0.68220000000000003</v>
      </c>
      <c r="I75" s="13">
        <v>71.357399999999998</v>
      </c>
      <c r="J75" s="12">
        <v>96.8429</v>
      </c>
      <c r="K75" s="12">
        <v>27.710899999999999</v>
      </c>
    </row>
    <row r="76" spans="1:11" ht="15" customHeight="1" x14ac:dyDescent="0.25">
      <c r="A76" s="14" t="s">
        <v>836</v>
      </c>
      <c r="B76" s="15" t="s">
        <v>6</v>
      </c>
      <c r="C76" s="16"/>
      <c r="D76" s="17"/>
      <c r="E76" s="17"/>
      <c r="F76" s="18"/>
      <c r="G76" s="19"/>
      <c r="H76" s="20"/>
      <c r="I76" s="21"/>
      <c r="J76" s="20"/>
      <c r="K76" s="20"/>
    </row>
    <row r="77" spans="1:11" ht="15" customHeight="1" x14ac:dyDescent="0.25">
      <c r="A77" s="22" t="s">
        <v>83</v>
      </c>
      <c r="B77" s="23" t="s">
        <v>8</v>
      </c>
      <c r="C77" s="23" t="s">
        <v>9</v>
      </c>
      <c r="D77" s="24" t="s">
        <v>10</v>
      </c>
      <c r="E77" s="24" t="s">
        <v>84</v>
      </c>
      <c r="F77" s="18"/>
      <c r="G77" s="19"/>
      <c r="H77" s="20"/>
      <c r="I77" s="21"/>
      <c r="J77" s="20"/>
      <c r="K77" s="20"/>
    </row>
    <row r="78" spans="1:11" ht="15" customHeight="1" x14ac:dyDescent="0.25">
      <c r="A78" s="14" t="s">
        <v>837</v>
      </c>
      <c r="B78" s="15" t="s">
        <v>6</v>
      </c>
      <c r="C78" s="16"/>
      <c r="D78" s="17"/>
      <c r="E78" s="17"/>
      <c r="F78" s="18">
        <v>1.5390999999999999</v>
      </c>
      <c r="G78" s="19">
        <v>2.0581</v>
      </c>
      <c r="H78" s="20">
        <v>0.68220000000000003</v>
      </c>
      <c r="I78" s="21">
        <v>71.357399999999998</v>
      </c>
      <c r="J78" s="20">
        <v>96.8429</v>
      </c>
      <c r="K78" s="20">
        <v>27.710899999999999</v>
      </c>
    </row>
    <row r="79" spans="1:11" ht="15" customHeight="1" x14ac:dyDescent="0.25">
      <c r="A79" s="22" t="s">
        <v>85</v>
      </c>
      <c r="B79" s="23" t="s">
        <v>8</v>
      </c>
      <c r="C79" s="23" t="s">
        <v>9</v>
      </c>
      <c r="D79" s="24" t="s">
        <v>10</v>
      </c>
      <c r="E79" s="24" t="s">
        <v>24</v>
      </c>
      <c r="F79" s="18">
        <v>1.0717000000000001</v>
      </c>
      <c r="G79" s="19">
        <v>1.6845000000000001</v>
      </c>
      <c r="H79" s="20">
        <v>0.2092</v>
      </c>
      <c r="I79" s="21">
        <v>53.428199999999997</v>
      </c>
      <c r="J79" s="20">
        <v>83.401399999999995</v>
      </c>
      <c r="K79" s="20">
        <v>9.5612999999999992</v>
      </c>
    </row>
    <row r="80" spans="1:11" ht="15" customHeight="1" x14ac:dyDescent="0.25">
      <c r="A80" s="22" t="s">
        <v>86</v>
      </c>
      <c r="B80" s="23" t="s">
        <v>8</v>
      </c>
      <c r="C80" s="23" t="s">
        <v>9</v>
      </c>
      <c r="D80" s="24" t="s">
        <v>10</v>
      </c>
      <c r="E80" s="24" t="s">
        <v>42</v>
      </c>
      <c r="F80" s="18">
        <v>0.46760000000000002</v>
      </c>
      <c r="G80" s="19">
        <v>0.37340000000000001</v>
      </c>
      <c r="H80" s="20">
        <v>0.47289999999999999</v>
      </c>
      <c r="I80" s="21">
        <v>17.929200000000002</v>
      </c>
      <c r="J80" s="20">
        <v>13.441700000000001</v>
      </c>
      <c r="K80" s="20">
        <v>18.149699999999999</v>
      </c>
    </row>
    <row r="81" spans="1:11" ht="14.25" customHeight="1" x14ac:dyDescent="0.25">
      <c r="A81" s="25" t="s">
        <v>720</v>
      </c>
      <c r="B81" s="4" t="s">
        <v>5</v>
      </c>
      <c r="C81" s="4"/>
      <c r="D81" s="5"/>
      <c r="E81" s="5"/>
      <c r="F81" s="10">
        <v>4.4499999999999998E-2</v>
      </c>
      <c r="G81" s="11">
        <v>6.2E-2</v>
      </c>
      <c r="H81" s="12"/>
      <c r="I81" s="13">
        <v>0.36759999999999998</v>
      </c>
      <c r="J81" s="12">
        <v>0.48380000000000001</v>
      </c>
      <c r="K81" s="12"/>
    </row>
    <row r="82" spans="1:11" ht="15" customHeight="1" x14ac:dyDescent="0.25">
      <c r="A82" s="14" t="s">
        <v>838</v>
      </c>
      <c r="B82" s="15" t="s">
        <v>6</v>
      </c>
      <c r="C82" s="16"/>
      <c r="D82" s="17"/>
      <c r="E82" s="17"/>
      <c r="F82" s="18">
        <v>4.4499999999999998E-2</v>
      </c>
      <c r="G82" s="19">
        <v>6.2E-2</v>
      </c>
      <c r="H82" s="20"/>
      <c r="I82" s="21">
        <v>0.36759999999999998</v>
      </c>
      <c r="J82" s="20">
        <v>0.48380000000000001</v>
      </c>
      <c r="K82" s="20"/>
    </row>
    <row r="83" spans="1:11" ht="15" customHeight="1" x14ac:dyDescent="0.25">
      <c r="A83" s="22" t="s">
        <v>87</v>
      </c>
      <c r="B83" s="23" t="s">
        <v>8</v>
      </c>
      <c r="C83" s="23" t="s">
        <v>9</v>
      </c>
      <c r="D83" s="24" t="s">
        <v>10</v>
      </c>
      <c r="E83" s="24" t="s">
        <v>11</v>
      </c>
      <c r="F83" s="18">
        <v>4.4499999999999998E-2</v>
      </c>
      <c r="G83" s="19">
        <v>6.2E-2</v>
      </c>
      <c r="H83" s="20"/>
      <c r="I83" s="21">
        <v>0.36759999999999998</v>
      </c>
      <c r="J83" s="20">
        <v>0.48380000000000001</v>
      </c>
      <c r="K83" s="20"/>
    </row>
    <row r="84" spans="1:11" ht="14.25" customHeight="1" x14ac:dyDescent="0.25">
      <c r="A84" s="25" t="s">
        <v>721</v>
      </c>
      <c r="B84" s="4" t="s">
        <v>5</v>
      </c>
      <c r="C84" s="4"/>
      <c r="D84" s="5"/>
      <c r="E84" s="5"/>
      <c r="F84" s="10">
        <v>11.963200000000001</v>
      </c>
      <c r="G84" s="11">
        <v>18.136199999999999</v>
      </c>
      <c r="H84" s="12">
        <v>9.0266999999999999</v>
      </c>
      <c r="I84" s="13">
        <v>603.27629999999999</v>
      </c>
      <c r="J84" s="12">
        <v>937.45190000000002</v>
      </c>
      <c r="K84" s="12">
        <v>454.77429999999998</v>
      </c>
    </row>
    <row r="85" spans="1:11" ht="15" customHeight="1" x14ac:dyDescent="0.25">
      <c r="A85" s="14" t="s">
        <v>839</v>
      </c>
      <c r="B85" s="15" t="s">
        <v>6</v>
      </c>
      <c r="C85" s="16"/>
      <c r="D85" s="17"/>
      <c r="E85" s="17"/>
      <c r="F85" s="18">
        <v>3.3401000000000001</v>
      </c>
      <c r="G85" s="19">
        <v>5.1974</v>
      </c>
      <c r="H85" s="20">
        <v>3.7094999999999998</v>
      </c>
      <c r="I85" s="21">
        <v>168.65979999999999</v>
      </c>
      <c r="J85" s="20">
        <v>278.62639999999999</v>
      </c>
      <c r="K85" s="20">
        <v>222.0746</v>
      </c>
    </row>
    <row r="86" spans="1:11" ht="15" customHeight="1" x14ac:dyDescent="0.25">
      <c r="A86" s="22" t="s">
        <v>89</v>
      </c>
      <c r="B86" s="23" t="s">
        <v>8</v>
      </c>
      <c r="C86" s="23" t="s">
        <v>9</v>
      </c>
      <c r="D86" s="24" t="s">
        <v>20</v>
      </c>
      <c r="E86" s="24" t="s">
        <v>42</v>
      </c>
      <c r="F86" s="18"/>
      <c r="G86" s="19"/>
      <c r="H86" s="20"/>
      <c r="I86" s="21"/>
      <c r="J86" s="20"/>
      <c r="K86" s="20"/>
    </row>
    <row r="87" spans="1:11" ht="15" customHeight="1" x14ac:dyDescent="0.25">
      <c r="A87" s="22" t="s">
        <v>90</v>
      </c>
      <c r="B87" s="23" t="s">
        <v>8</v>
      </c>
      <c r="C87" s="23" t="s">
        <v>9</v>
      </c>
      <c r="D87" s="24" t="s">
        <v>10</v>
      </c>
      <c r="E87" s="24" t="s">
        <v>42</v>
      </c>
      <c r="F87" s="18">
        <v>3.3401000000000001</v>
      </c>
      <c r="G87" s="19">
        <v>5.1974</v>
      </c>
      <c r="H87" s="20">
        <v>3.7094999999999998</v>
      </c>
      <c r="I87" s="21">
        <v>168.65979999999999</v>
      </c>
      <c r="J87" s="20">
        <v>278.62639999999999</v>
      </c>
      <c r="K87" s="20">
        <v>222.0746</v>
      </c>
    </row>
    <row r="88" spans="1:11" ht="15" customHeight="1" x14ac:dyDescent="0.25">
      <c r="A88" s="14" t="s">
        <v>840</v>
      </c>
      <c r="B88" s="15" t="s">
        <v>6</v>
      </c>
      <c r="C88" s="16"/>
      <c r="D88" s="17"/>
      <c r="E88" s="17"/>
      <c r="F88" s="18">
        <v>8.6231000000000009</v>
      </c>
      <c r="G88" s="19">
        <v>12.938800000000001</v>
      </c>
      <c r="H88" s="20">
        <v>5.3171999999999997</v>
      </c>
      <c r="I88" s="21">
        <v>434.61660000000001</v>
      </c>
      <c r="J88" s="20">
        <v>658.82550000000003</v>
      </c>
      <c r="K88" s="20">
        <v>232.69980000000001</v>
      </c>
    </row>
    <row r="89" spans="1:11" ht="15" customHeight="1" x14ac:dyDescent="0.25">
      <c r="A89" s="22" t="s">
        <v>91</v>
      </c>
      <c r="B89" s="23" t="s">
        <v>8</v>
      </c>
      <c r="C89" s="23" t="s">
        <v>9</v>
      </c>
      <c r="D89" s="24" t="s">
        <v>30</v>
      </c>
      <c r="E89" s="24" t="s">
        <v>24</v>
      </c>
      <c r="F89" s="18">
        <v>1.2582</v>
      </c>
      <c r="G89" s="19">
        <v>4.4390999999999998</v>
      </c>
      <c r="H89" s="20">
        <v>0.70909999999999995</v>
      </c>
      <c r="I89" s="21">
        <v>67.526600000000002</v>
      </c>
      <c r="J89" s="20">
        <v>226.15649999999999</v>
      </c>
      <c r="K89" s="20">
        <v>33.759099999999997</v>
      </c>
    </row>
    <row r="90" spans="1:11" ht="15" customHeight="1" x14ac:dyDescent="0.25">
      <c r="A90" s="22" t="s">
        <v>92</v>
      </c>
      <c r="B90" s="23" t="s">
        <v>8</v>
      </c>
      <c r="C90" s="23" t="s">
        <v>9</v>
      </c>
      <c r="D90" s="24" t="s">
        <v>30</v>
      </c>
      <c r="E90" s="24" t="s">
        <v>24</v>
      </c>
      <c r="F90" s="18">
        <v>4.5986000000000002</v>
      </c>
      <c r="G90" s="19">
        <v>6.1303000000000001</v>
      </c>
      <c r="H90" s="20">
        <v>2.8555999999999999</v>
      </c>
      <c r="I90" s="21">
        <v>228.69929999999999</v>
      </c>
      <c r="J90" s="20">
        <v>310.51369999999997</v>
      </c>
      <c r="K90" s="20">
        <v>123.6022</v>
      </c>
    </row>
    <row r="91" spans="1:11" ht="15" customHeight="1" x14ac:dyDescent="0.25">
      <c r="A91" s="22" t="s">
        <v>93</v>
      </c>
      <c r="B91" s="23" t="s">
        <v>8</v>
      </c>
      <c r="C91" s="23" t="s">
        <v>9</v>
      </c>
      <c r="D91" s="24" t="s">
        <v>30</v>
      </c>
      <c r="E91" s="24" t="s">
        <v>42</v>
      </c>
      <c r="F91" s="18">
        <v>0.94640000000000002</v>
      </c>
      <c r="G91" s="19">
        <v>1.6005</v>
      </c>
      <c r="H91" s="20">
        <v>1.0179</v>
      </c>
      <c r="I91" s="21">
        <v>54.868499999999997</v>
      </c>
      <c r="J91" s="20">
        <v>87.027500000000003</v>
      </c>
      <c r="K91" s="20">
        <v>38.080399999999997</v>
      </c>
    </row>
    <row r="92" spans="1:11" ht="15" customHeight="1" x14ac:dyDescent="0.25">
      <c r="A92" s="22" t="s">
        <v>94</v>
      </c>
      <c r="B92" s="23" t="s">
        <v>8</v>
      </c>
      <c r="C92" s="23" t="s">
        <v>9</v>
      </c>
      <c r="D92" s="24" t="s">
        <v>20</v>
      </c>
      <c r="E92" s="24" t="s">
        <v>42</v>
      </c>
      <c r="F92" s="18">
        <v>1.8199000000000001</v>
      </c>
      <c r="G92" s="19">
        <v>0.76910000000000001</v>
      </c>
      <c r="H92" s="20">
        <v>0.73480000000000001</v>
      </c>
      <c r="I92" s="21">
        <v>83.522300000000001</v>
      </c>
      <c r="J92" s="20">
        <v>35.127499999999998</v>
      </c>
      <c r="K92" s="20">
        <v>37.258200000000002</v>
      </c>
    </row>
    <row r="93" spans="1:11" ht="14.25" customHeight="1" x14ac:dyDescent="0.25">
      <c r="A93" s="25" t="s">
        <v>722</v>
      </c>
      <c r="B93" s="4" t="s">
        <v>5</v>
      </c>
      <c r="C93" s="4"/>
      <c r="D93" s="5"/>
      <c r="E93" s="5"/>
      <c r="F93" s="10"/>
      <c r="G93" s="11">
        <v>13.1921</v>
      </c>
      <c r="H93" s="12">
        <v>52.811100000000003</v>
      </c>
      <c r="I93" s="13"/>
      <c r="J93" s="12">
        <v>565.53909999999996</v>
      </c>
      <c r="K93" s="12">
        <v>2091.2260999999999</v>
      </c>
    </row>
    <row r="94" spans="1:11" ht="15" customHeight="1" x14ac:dyDescent="0.25">
      <c r="A94" s="14" t="s">
        <v>841</v>
      </c>
      <c r="B94" s="15" t="s">
        <v>6</v>
      </c>
      <c r="C94" s="16"/>
      <c r="D94" s="17"/>
      <c r="E94" s="17"/>
      <c r="F94" s="18"/>
      <c r="G94" s="19">
        <v>13.1921</v>
      </c>
      <c r="H94" s="20">
        <v>52.811100000000003</v>
      </c>
      <c r="I94" s="21"/>
      <c r="J94" s="20">
        <v>565.53909999999996</v>
      </c>
      <c r="K94" s="20">
        <v>2091.2260999999999</v>
      </c>
    </row>
    <row r="95" spans="1:11" ht="15" customHeight="1" x14ac:dyDescent="0.25">
      <c r="A95" s="22" t="s">
        <v>95</v>
      </c>
      <c r="B95" s="23" t="s">
        <v>8</v>
      </c>
      <c r="C95" s="23" t="s">
        <v>9</v>
      </c>
      <c r="D95" s="24" t="s">
        <v>30</v>
      </c>
      <c r="E95" s="24" t="s">
        <v>24</v>
      </c>
      <c r="F95" s="18"/>
      <c r="G95" s="19">
        <v>10.5616</v>
      </c>
      <c r="H95" s="20">
        <v>42.6479</v>
      </c>
      <c r="I95" s="21"/>
      <c r="J95" s="20">
        <v>483.39569999999998</v>
      </c>
      <c r="K95" s="20">
        <v>1689.356</v>
      </c>
    </row>
    <row r="96" spans="1:11" ht="15" customHeight="1" x14ac:dyDescent="0.25">
      <c r="A96" s="22" t="s">
        <v>96</v>
      </c>
      <c r="B96" s="23" t="s">
        <v>8</v>
      </c>
      <c r="C96" s="23" t="s">
        <v>9</v>
      </c>
      <c r="D96" s="24" t="s">
        <v>30</v>
      </c>
      <c r="E96" s="24" t="s">
        <v>15</v>
      </c>
      <c r="F96" s="18"/>
      <c r="G96" s="19">
        <v>2.0855999999999999</v>
      </c>
      <c r="H96" s="20">
        <v>2.5316000000000001</v>
      </c>
      <c r="I96" s="21"/>
      <c r="J96" s="20">
        <v>61.262700000000002</v>
      </c>
      <c r="K96" s="20">
        <v>71.165300000000002</v>
      </c>
    </row>
    <row r="97" spans="1:11" ht="15" customHeight="1" x14ac:dyDescent="0.25">
      <c r="A97" s="22" t="s">
        <v>97</v>
      </c>
      <c r="B97" s="23" t="s">
        <v>8</v>
      </c>
      <c r="C97" s="23" t="s">
        <v>9</v>
      </c>
      <c r="D97" s="24" t="s">
        <v>30</v>
      </c>
      <c r="E97" s="24" t="s">
        <v>42</v>
      </c>
      <c r="F97" s="18"/>
      <c r="G97" s="19">
        <v>0.54479999999999995</v>
      </c>
      <c r="H97" s="20">
        <v>7.6315999999999997</v>
      </c>
      <c r="I97" s="21"/>
      <c r="J97" s="20">
        <v>20.880700000000001</v>
      </c>
      <c r="K97" s="20">
        <v>330.70479999999998</v>
      </c>
    </row>
    <row r="98" spans="1:11" ht="14.25" customHeight="1" x14ac:dyDescent="0.25">
      <c r="A98" s="25" t="s">
        <v>723</v>
      </c>
      <c r="B98" s="4" t="s">
        <v>5</v>
      </c>
      <c r="C98" s="4"/>
      <c r="D98" s="5"/>
      <c r="E98" s="5"/>
      <c r="F98" s="10">
        <v>3.1665000000000001</v>
      </c>
      <c r="G98" s="11">
        <v>2.1888000000000001</v>
      </c>
      <c r="H98" s="12">
        <v>0.46289999999999998</v>
      </c>
      <c r="I98" s="13">
        <v>65.203199999999995</v>
      </c>
      <c r="J98" s="12">
        <v>50.370399999999997</v>
      </c>
      <c r="K98" s="12">
        <v>10.166600000000001</v>
      </c>
    </row>
    <row r="99" spans="1:11" ht="15" customHeight="1" x14ac:dyDescent="0.25">
      <c r="A99" s="14" t="s">
        <v>842</v>
      </c>
      <c r="B99" s="15" t="s">
        <v>6</v>
      </c>
      <c r="C99" s="16"/>
      <c r="D99" s="17"/>
      <c r="E99" s="17"/>
      <c r="F99" s="18">
        <v>3.1665000000000001</v>
      </c>
      <c r="G99" s="19">
        <v>2.1888000000000001</v>
      </c>
      <c r="H99" s="20">
        <v>0.46289999999999998</v>
      </c>
      <c r="I99" s="21">
        <v>65.203199999999995</v>
      </c>
      <c r="J99" s="20">
        <v>50.370399999999997</v>
      </c>
      <c r="K99" s="20">
        <v>10.166600000000001</v>
      </c>
    </row>
    <row r="100" spans="1:11" ht="15" customHeight="1" x14ac:dyDescent="0.25">
      <c r="A100" s="22" t="s">
        <v>98</v>
      </c>
      <c r="B100" s="23" t="s">
        <v>8</v>
      </c>
      <c r="C100" s="23" t="s">
        <v>9</v>
      </c>
      <c r="D100" s="24" t="s">
        <v>64</v>
      </c>
      <c r="E100" s="24" t="s">
        <v>99</v>
      </c>
      <c r="F100" s="18"/>
      <c r="G100" s="19">
        <v>1.5012000000000001</v>
      </c>
      <c r="H100" s="20">
        <v>0.18310000000000001</v>
      </c>
      <c r="I100" s="21"/>
      <c r="J100" s="20">
        <v>36.194499999999998</v>
      </c>
      <c r="K100" s="20">
        <v>4.9927999999999999</v>
      </c>
    </row>
    <row r="101" spans="1:11" ht="15" customHeight="1" x14ac:dyDescent="0.25">
      <c r="A101" s="22" t="s">
        <v>100</v>
      </c>
      <c r="B101" s="23" t="s">
        <v>8</v>
      </c>
      <c r="C101" s="23" t="s">
        <v>9</v>
      </c>
      <c r="D101" s="24" t="s">
        <v>30</v>
      </c>
      <c r="E101" s="24" t="s">
        <v>42</v>
      </c>
      <c r="F101" s="18">
        <v>3.1665000000000001</v>
      </c>
      <c r="G101" s="19">
        <v>0.6875</v>
      </c>
      <c r="H101" s="20">
        <v>0.27989999999999998</v>
      </c>
      <c r="I101" s="21">
        <v>65.203199999999995</v>
      </c>
      <c r="J101" s="20">
        <v>14.1759</v>
      </c>
      <c r="K101" s="20">
        <v>5.1737000000000002</v>
      </c>
    </row>
    <row r="102" spans="1:11" ht="14.25" customHeight="1" x14ac:dyDescent="0.25">
      <c r="A102" s="25" t="s">
        <v>724</v>
      </c>
      <c r="B102" s="4" t="s">
        <v>5</v>
      </c>
      <c r="C102" s="4"/>
      <c r="D102" s="5"/>
      <c r="E102" s="5"/>
      <c r="F102" s="10"/>
      <c r="G102" s="11"/>
      <c r="H102" s="12">
        <v>5.57E-2</v>
      </c>
      <c r="I102" s="13"/>
      <c r="J102" s="12"/>
      <c r="K102" s="12">
        <v>1.7425999999999999</v>
      </c>
    </row>
    <row r="103" spans="1:11" ht="15" customHeight="1" x14ac:dyDescent="0.25">
      <c r="A103" s="14" t="s">
        <v>843</v>
      </c>
      <c r="B103" s="15" t="s">
        <v>6</v>
      </c>
      <c r="C103" s="16"/>
      <c r="D103" s="17"/>
      <c r="E103" s="17"/>
      <c r="F103" s="18"/>
      <c r="G103" s="19"/>
      <c r="H103" s="20">
        <v>5.57E-2</v>
      </c>
      <c r="I103" s="21"/>
      <c r="J103" s="20"/>
      <c r="K103" s="20">
        <v>1.7425999999999999</v>
      </c>
    </row>
    <row r="104" spans="1:11" ht="15" customHeight="1" x14ac:dyDescent="0.25">
      <c r="A104" s="22" t="s">
        <v>101</v>
      </c>
      <c r="B104" s="23" t="s">
        <v>8</v>
      </c>
      <c r="C104" s="23" t="s">
        <v>9</v>
      </c>
      <c r="D104" s="24" t="s">
        <v>20</v>
      </c>
      <c r="E104" s="24" t="s">
        <v>42</v>
      </c>
      <c r="F104" s="18"/>
      <c r="G104" s="19"/>
      <c r="H104" s="20">
        <v>5.57E-2</v>
      </c>
      <c r="I104" s="21"/>
      <c r="J104" s="20"/>
      <c r="K104" s="20">
        <v>1.7425999999999999</v>
      </c>
    </row>
    <row r="105" spans="1:11" ht="14.25" customHeight="1" x14ac:dyDescent="0.25">
      <c r="A105" s="25" t="s">
        <v>725</v>
      </c>
      <c r="B105" s="4" t="s">
        <v>5</v>
      </c>
      <c r="C105" s="4"/>
      <c r="D105" s="5"/>
      <c r="E105" s="5"/>
      <c r="F105" s="10">
        <v>471.6447</v>
      </c>
      <c r="G105" s="11">
        <v>448.00150000000002</v>
      </c>
      <c r="H105" s="12">
        <v>276.14030000000002</v>
      </c>
      <c r="I105" s="13">
        <v>13724.156499999999</v>
      </c>
      <c r="J105" s="12">
        <v>13181.351199999999</v>
      </c>
      <c r="K105" s="12">
        <v>8823.5241000000005</v>
      </c>
    </row>
    <row r="106" spans="1:11" ht="15" customHeight="1" x14ac:dyDescent="0.25">
      <c r="A106" s="14" t="s">
        <v>844</v>
      </c>
      <c r="B106" s="15" t="s">
        <v>6</v>
      </c>
      <c r="C106" s="16"/>
      <c r="D106" s="17"/>
      <c r="E106" s="17"/>
      <c r="F106" s="18">
        <v>471.6447</v>
      </c>
      <c r="G106" s="19">
        <v>448.00150000000002</v>
      </c>
      <c r="H106" s="20">
        <v>276.14030000000002</v>
      </c>
      <c r="I106" s="21">
        <v>13724.156499999999</v>
      </c>
      <c r="J106" s="20">
        <v>13181.351199999999</v>
      </c>
      <c r="K106" s="20">
        <v>8823.5241000000005</v>
      </c>
    </row>
    <row r="107" spans="1:11" ht="15" customHeight="1" x14ac:dyDescent="0.25">
      <c r="A107" s="22" t="s">
        <v>104</v>
      </c>
      <c r="B107" s="23" t="s">
        <v>8</v>
      </c>
      <c r="C107" s="23" t="s">
        <v>9</v>
      </c>
      <c r="D107" s="24" t="s">
        <v>20</v>
      </c>
      <c r="E107" s="24" t="s">
        <v>105</v>
      </c>
      <c r="F107" s="18">
        <v>209.29769999999999</v>
      </c>
      <c r="G107" s="19">
        <v>236.50559999999999</v>
      </c>
      <c r="H107" s="20">
        <v>198.2927</v>
      </c>
      <c r="I107" s="21">
        <v>7336.5478999999996</v>
      </c>
      <c r="J107" s="20">
        <v>8103.1085000000003</v>
      </c>
      <c r="K107" s="20">
        <v>7048.5825999999997</v>
      </c>
    </row>
    <row r="108" spans="1:11" ht="15" customHeight="1" x14ac:dyDescent="0.25">
      <c r="A108" s="22" t="s">
        <v>106</v>
      </c>
      <c r="B108" s="23" t="s">
        <v>8</v>
      </c>
      <c r="C108" s="23" t="s">
        <v>9</v>
      </c>
      <c r="D108" s="24" t="s">
        <v>20</v>
      </c>
      <c r="E108" s="24" t="s">
        <v>105</v>
      </c>
      <c r="F108" s="18">
        <v>2.7799999999999998E-2</v>
      </c>
      <c r="G108" s="19">
        <v>4.5999999999999999E-3</v>
      </c>
      <c r="H108" s="20"/>
      <c r="I108" s="21">
        <v>1.2</v>
      </c>
      <c r="J108" s="20">
        <v>0.2</v>
      </c>
      <c r="K108" s="20"/>
    </row>
    <row r="109" spans="1:11" ht="15" customHeight="1" x14ac:dyDescent="0.25">
      <c r="A109" s="22" t="s">
        <v>107</v>
      </c>
      <c r="B109" s="23" t="s">
        <v>8</v>
      </c>
      <c r="C109" s="23" t="s">
        <v>9</v>
      </c>
      <c r="D109" s="24" t="s">
        <v>20</v>
      </c>
      <c r="E109" s="24" t="s">
        <v>11</v>
      </c>
      <c r="F109" s="18">
        <v>27.777100000000001</v>
      </c>
      <c r="G109" s="19">
        <v>19.717700000000001</v>
      </c>
      <c r="H109" s="20">
        <v>14.4848</v>
      </c>
      <c r="I109" s="21">
        <v>429.91730000000001</v>
      </c>
      <c r="J109" s="20">
        <v>309.96710000000002</v>
      </c>
      <c r="K109" s="20">
        <v>229.3313</v>
      </c>
    </row>
    <row r="110" spans="1:11" ht="15" customHeight="1" x14ac:dyDescent="0.25">
      <c r="A110" s="22" t="s">
        <v>108</v>
      </c>
      <c r="B110" s="23" t="s">
        <v>8</v>
      </c>
      <c r="C110" s="23" t="s">
        <v>9</v>
      </c>
      <c r="D110" s="24" t="s">
        <v>64</v>
      </c>
      <c r="E110" s="24" t="s">
        <v>11</v>
      </c>
      <c r="F110" s="18">
        <v>40.515599999999999</v>
      </c>
      <c r="G110" s="19">
        <v>34.999099999999999</v>
      </c>
      <c r="H110" s="20">
        <v>5.7746000000000004</v>
      </c>
      <c r="I110" s="21">
        <v>630.63189999999997</v>
      </c>
      <c r="J110" s="20">
        <v>558.36739999999998</v>
      </c>
      <c r="K110" s="20">
        <v>90.998999999999995</v>
      </c>
    </row>
    <row r="111" spans="1:11" ht="15" customHeight="1" x14ac:dyDescent="0.25">
      <c r="A111" s="22" t="s">
        <v>109</v>
      </c>
      <c r="B111" s="23" t="s">
        <v>8</v>
      </c>
      <c r="C111" s="23" t="s">
        <v>9</v>
      </c>
      <c r="D111" s="24" t="s">
        <v>20</v>
      </c>
      <c r="E111" s="24" t="s">
        <v>88</v>
      </c>
      <c r="F111" s="18">
        <v>61.397500000000001</v>
      </c>
      <c r="G111" s="19">
        <v>45.295999999999999</v>
      </c>
      <c r="H111" s="20">
        <v>19.337599999999998</v>
      </c>
      <c r="I111" s="21">
        <v>1027.2618</v>
      </c>
      <c r="J111" s="20">
        <v>758.06629999999996</v>
      </c>
      <c r="K111" s="20">
        <v>328.18349999999998</v>
      </c>
    </row>
    <row r="112" spans="1:11" ht="15" customHeight="1" x14ac:dyDescent="0.25">
      <c r="A112" s="22" t="s">
        <v>110</v>
      </c>
      <c r="B112" s="23" t="s">
        <v>8</v>
      </c>
      <c r="C112" s="23" t="s">
        <v>9</v>
      </c>
      <c r="D112" s="24" t="s">
        <v>20</v>
      </c>
      <c r="E112" s="24" t="s">
        <v>88</v>
      </c>
      <c r="F112" s="18">
        <v>1.03E-2</v>
      </c>
      <c r="G112" s="19">
        <v>1.6999999999999999E-3</v>
      </c>
      <c r="H112" s="20"/>
      <c r="I112" s="21">
        <v>0.21429999999999999</v>
      </c>
      <c r="J112" s="20">
        <v>3.5700000000000003E-2</v>
      </c>
      <c r="K112" s="20"/>
    </row>
    <row r="113" spans="1:11" ht="15" customHeight="1" x14ac:dyDescent="0.25">
      <c r="A113" s="22" t="s">
        <v>111</v>
      </c>
      <c r="B113" s="23" t="s">
        <v>8</v>
      </c>
      <c r="C113" s="23" t="s">
        <v>9</v>
      </c>
      <c r="D113" s="24" t="s">
        <v>69</v>
      </c>
      <c r="E113" s="24" t="s">
        <v>102</v>
      </c>
      <c r="F113" s="18"/>
      <c r="G113" s="19"/>
      <c r="H113" s="20">
        <v>8.3928999999999991</v>
      </c>
      <c r="I113" s="21"/>
      <c r="J113" s="20"/>
      <c r="K113" s="20">
        <v>185.37119999999999</v>
      </c>
    </row>
    <row r="114" spans="1:11" ht="15" customHeight="1" x14ac:dyDescent="0.25">
      <c r="A114" s="22" t="s">
        <v>112</v>
      </c>
      <c r="B114" s="23" t="s">
        <v>8</v>
      </c>
      <c r="C114" s="23" t="s">
        <v>9</v>
      </c>
      <c r="D114" s="24" t="s">
        <v>69</v>
      </c>
      <c r="E114" s="24" t="s">
        <v>37</v>
      </c>
      <c r="F114" s="18">
        <v>11.2281</v>
      </c>
      <c r="G114" s="19">
        <v>7.5716999999999999</v>
      </c>
      <c r="H114" s="20">
        <v>1.9255</v>
      </c>
      <c r="I114" s="21">
        <v>325.11810000000003</v>
      </c>
      <c r="J114" s="20">
        <v>236.1233</v>
      </c>
      <c r="K114" s="20">
        <v>61.869799999999998</v>
      </c>
    </row>
    <row r="115" spans="1:11" ht="15" customHeight="1" x14ac:dyDescent="0.25">
      <c r="A115" s="22" t="s">
        <v>113</v>
      </c>
      <c r="B115" s="23" t="s">
        <v>8</v>
      </c>
      <c r="C115" s="23" t="s">
        <v>9</v>
      </c>
      <c r="D115" s="24" t="s">
        <v>69</v>
      </c>
      <c r="E115" s="24" t="s">
        <v>42</v>
      </c>
      <c r="F115" s="18">
        <v>56.268599999999999</v>
      </c>
      <c r="G115" s="19">
        <v>22.377800000000001</v>
      </c>
      <c r="H115" s="20">
        <v>12.435499999999999</v>
      </c>
      <c r="I115" s="21">
        <v>1799.2518</v>
      </c>
      <c r="J115" s="20">
        <v>721.99059999999997</v>
      </c>
      <c r="K115" s="20">
        <v>385.45190000000002</v>
      </c>
    </row>
    <row r="116" spans="1:11" ht="15" customHeight="1" x14ac:dyDescent="0.25">
      <c r="A116" s="22" t="s">
        <v>114</v>
      </c>
      <c r="B116" s="23" t="s">
        <v>8</v>
      </c>
      <c r="C116" s="23" t="s">
        <v>9</v>
      </c>
      <c r="D116" s="24" t="s">
        <v>10</v>
      </c>
      <c r="E116" s="24" t="s">
        <v>42</v>
      </c>
      <c r="F116" s="18">
        <v>0.64159999999999995</v>
      </c>
      <c r="G116" s="19">
        <v>0.34470000000000001</v>
      </c>
      <c r="H116" s="20"/>
      <c r="I116" s="21">
        <v>14.463900000000001</v>
      </c>
      <c r="J116" s="20">
        <v>7.3648999999999996</v>
      </c>
      <c r="K116" s="20"/>
    </row>
    <row r="117" spans="1:11" ht="15" customHeight="1" x14ac:dyDescent="0.25">
      <c r="A117" s="22" t="s">
        <v>115</v>
      </c>
      <c r="B117" s="23" t="s">
        <v>8</v>
      </c>
      <c r="C117" s="23" t="s">
        <v>9</v>
      </c>
      <c r="D117" s="24" t="s">
        <v>64</v>
      </c>
      <c r="E117" s="24" t="s">
        <v>42</v>
      </c>
      <c r="F117" s="18">
        <v>64.480099999999993</v>
      </c>
      <c r="G117" s="19">
        <v>81.182500000000005</v>
      </c>
      <c r="H117" s="20">
        <v>15.496600000000001</v>
      </c>
      <c r="I117" s="21">
        <v>2159.5493999999999</v>
      </c>
      <c r="J117" s="20">
        <v>2486.1275000000001</v>
      </c>
      <c r="K117" s="20">
        <v>493.73469999999998</v>
      </c>
    </row>
    <row r="118" spans="1:11" ht="14.25" customHeight="1" x14ac:dyDescent="0.25">
      <c r="A118" s="25" t="s">
        <v>726</v>
      </c>
      <c r="B118" s="4" t="s">
        <v>5</v>
      </c>
      <c r="C118" s="4"/>
      <c r="D118" s="5"/>
      <c r="E118" s="5"/>
      <c r="F118" s="10">
        <v>0.22359999999999999</v>
      </c>
      <c r="G118" s="11">
        <v>1.0136000000000001</v>
      </c>
      <c r="H118" s="12">
        <v>1.0572999999999999</v>
      </c>
      <c r="I118" s="13">
        <v>12.2155</v>
      </c>
      <c r="J118" s="12">
        <v>49.151600000000002</v>
      </c>
      <c r="K118" s="12">
        <v>44.717399999999998</v>
      </c>
    </row>
    <row r="119" spans="1:11" ht="15" customHeight="1" x14ac:dyDescent="0.25">
      <c r="A119" s="14" t="s">
        <v>845</v>
      </c>
      <c r="B119" s="15" t="s">
        <v>6</v>
      </c>
      <c r="C119" s="16"/>
      <c r="D119" s="17"/>
      <c r="E119" s="17"/>
      <c r="F119" s="18">
        <v>0.22359999999999999</v>
      </c>
      <c r="G119" s="19">
        <v>1.0136000000000001</v>
      </c>
      <c r="H119" s="20">
        <v>1.0572999999999999</v>
      </c>
      <c r="I119" s="21">
        <v>12.2155</v>
      </c>
      <c r="J119" s="20">
        <v>49.151600000000002</v>
      </c>
      <c r="K119" s="20">
        <v>44.717399999999998</v>
      </c>
    </row>
    <row r="120" spans="1:11" ht="15" customHeight="1" x14ac:dyDescent="0.25">
      <c r="A120" s="22" t="s">
        <v>116</v>
      </c>
      <c r="B120" s="23" t="s">
        <v>8</v>
      </c>
      <c r="C120" s="23" t="s">
        <v>9</v>
      </c>
      <c r="D120" s="24" t="s">
        <v>20</v>
      </c>
      <c r="E120" s="24" t="s">
        <v>21</v>
      </c>
      <c r="F120" s="18"/>
      <c r="G120" s="19"/>
      <c r="H120" s="20">
        <v>0.24490000000000001</v>
      </c>
      <c r="I120" s="21"/>
      <c r="J120" s="20"/>
      <c r="K120" s="20">
        <v>9.7979000000000003</v>
      </c>
    </row>
    <row r="121" spans="1:11" ht="15" customHeight="1" x14ac:dyDescent="0.25">
      <c r="A121" s="22" t="s">
        <v>117</v>
      </c>
      <c r="B121" s="23" t="s">
        <v>8</v>
      </c>
      <c r="C121" s="23" t="s">
        <v>9</v>
      </c>
      <c r="D121" s="24" t="s">
        <v>20</v>
      </c>
      <c r="E121" s="24" t="s">
        <v>21</v>
      </c>
      <c r="F121" s="18">
        <v>0.22359999999999999</v>
      </c>
      <c r="G121" s="19">
        <v>1.0136000000000001</v>
      </c>
      <c r="H121" s="20">
        <v>0.81230000000000002</v>
      </c>
      <c r="I121" s="21">
        <v>12.2155</v>
      </c>
      <c r="J121" s="20">
        <v>49.151600000000002</v>
      </c>
      <c r="K121" s="20">
        <v>34.919499999999999</v>
      </c>
    </row>
    <row r="122" spans="1:11" ht="14.25" customHeight="1" x14ac:dyDescent="0.25">
      <c r="A122" s="25" t="s">
        <v>727</v>
      </c>
      <c r="B122" s="4" t="s">
        <v>5</v>
      </c>
      <c r="C122" s="4"/>
      <c r="D122" s="5"/>
      <c r="E122" s="5"/>
      <c r="F122" s="10">
        <v>113.30880000000001</v>
      </c>
      <c r="G122" s="11">
        <v>81.313699999999997</v>
      </c>
      <c r="H122" s="12">
        <v>48.297400000000003</v>
      </c>
      <c r="I122" s="13">
        <v>1483.433</v>
      </c>
      <c r="J122" s="12">
        <v>1045.7734</v>
      </c>
      <c r="K122" s="12">
        <v>598.3963</v>
      </c>
    </row>
    <row r="123" spans="1:11" ht="15" customHeight="1" x14ac:dyDescent="0.25">
      <c r="A123" s="14" t="s">
        <v>833</v>
      </c>
      <c r="B123" s="15" t="s">
        <v>6</v>
      </c>
      <c r="C123" s="16"/>
      <c r="D123" s="17"/>
      <c r="E123" s="17"/>
      <c r="F123" s="18">
        <v>113.30880000000001</v>
      </c>
      <c r="G123" s="19">
        <v>81.313699999999997</v>
      </c>
      <c r="H123" s="20">
        <v>48.297400000000003</v>
      </c>
      <c r="I123" s="21">
        <v>1483.433</v>
      </c>
      <c r="J123" s="20">
        <v>1045.7734</v>
      </c>
      <c r="K123" s="20">
        <v>598.3963</v>
      </c>
    </row>
    <row r="124" spans="1:11" ht="15" customHeight="1" x14ac:dyDescent="0.25">
      <c r="A124" s="22" t="s">
        <v>120</v>
      </c>
      <c r="B124" s="23" t="s">
        <v>8</v>
      </c>
      <c r="C124" s="23" t="s">
        <v>9</v>
      </c>
      <c r="D124" s="24" t="s">
        <v>10</v>
      </c>
      <c r="E124" s="24" t="s">
        <v>11</v>
      </c>
      <c r="F124" s="18">
        <v>15.0191</v>
      </c>
      <c r="G124" s="19">
        <v>17.616800000000001</v>
      </c>
      <c r="H124" s="20">
        <v>13.700200000000001</v>
      </c>
      <c r="I124" s="21">
        <v>121.4559</v>
      </c>
      <c r="J124" s="20">
        <v>162.24</v>
      </c>
      <c r="K124" s="20">
        <v>126.0534</v>
      </c>
    </row>
    <row r="125" spans="1:11" ht="15" customHeight="1" x14ac:dyDescent="0.25">
      <c r="A125" s="22" t="s">
        <v>121</v>
      </c>
      <c r="B125" s="23" t="s">
        <v>8</v>
      </c>
      <c r="C125" s="23" t="s">
        <v>9</v>
      </c>
      <c r="D125" s="24" t="s">
        <v>10</v>
      </c>
      <c r="E125" s="24" t="s">
        <v>99</v>
      </c>
      <c r="F125" s="18">
        <v>19.776399999999999</v>
      </c>
      <c r="G125" s="19">
        <v>13.798299999999999</v>
      </c>
      <c r="H125" s="20">
        <v>7.5656999999999996</v>
      </c>
      <c r="I125" s="21">
        <v>281.97280000000001</v>
      </c>
      <c r="J125" s="20">
        <v>222.7071</v>
      </c>
      <c r="K125" s="20">
        <v>118.9547</v>
      </c>
    </row>
    <row r="126" spans="1:11" ht="15" customHeight="1" x14ac:dyDescent="0.25">
      <c r="A126" s="22" t="s">
        <v>122</v>
      </c>
      <c r="B126" s="23" t="s">
        <v>8</v>
      </c>
      <c r="C126" s="23" t="s">
        <v>9</v>
      </c>
      <c r="D126" s="24" t="s">
        <v>10</v>
      </c>
      <c r="E126" s="24" t="s">
        <v>123</v>
      </c>
      <c r="F126" s="18">
        <v>41.314100000000003</v>
      </c>
      <c r="G126" s="19">
        <v>32.422600000000003</v>
      </c>
      <c r="H126" s="20">
        <v>18.6829</v>
      </c>
      <c r="I126" s="21">
        <v>549.64080000000001</v>
      </c>
      <c r="J126" s="20">
        <v>416.84789999999998</v>
      </c>
      <c r="K126" s="20">
        <v>241.38910000000001</v>
      </c>
    </row>
    <row r="127" spans="1:11" ht="15" customHeight="1" x14ac:dyDescent="0.25">
      <c r="A127" s="22" t="s">
        <v>124</v>
      </c>
      <c r="B127" s="23" t="s">
        <v>8</v>
      </c>
      <c r="C127" s="23" t="s">
        <v>9</v>
      </c>
      <c r="D127" s="24" t="s">
        <v>30</v>
      </c>
      <c r="E127" s="24" t="s">
        <v>123</v>
      </c>
      <c r="F127" s="18">
        <v>10.5054</v>
      </c>
      <c r="G127" s="19">
        <v>0.496</v>
      </c>
      <c r="H127" s="20"/>
      <c r="I127" s="21">
        <v>168.06010000000001</v>
      </c>
      <c r="J127" s="20">
        <v>9.3780000000000001</v>
      </c>
      <c r="K127" s="20"/>
    </row>
    <row r="128" spans="1:11" ht="15" customHeight="1" x14ac:dyDescent="0.25">
      <c r="A128" s="22" t="s">
        <v>125</v>
      </c>
      <c r="B128" s="23" t="s">
        <v>8</v>
      </c>
      <c r="C128" s="23" t="s">
        <v>9</v>
      </c>
      <c r="D128" s="24" t="s">
        <v>10</v>
      </c>
      <c r="E128" s="24" t="s">
        <v>123</v>
      </c>
      <c r="F128" s="18">
        <v>26.694099999999999</v>
      </c>
      <c r="G128" s="19">
        <v>16.9801</v>
      </c>
      <c r="H128" s="20">
        <v>8.3484999999999996</v>
      </c>
      <c r="I128" s="21">
        <v>362.30340000000001</v>
      </c>
      <c r="J128" s="20">
        <v>234.6001</v>
      </c>
      <c r="K128" s="20">
        <v>111.9991</v>
      </c>
    </row>
    <row r="129" spans="1:11" ht="14.25" customHeight="1" x14ac:dyDescent="0.25">
      <c r="A129" s="25" t="s">
        <v>728</v>
      </c>
      <c r="B129" s="4" t="s">
        <v>5</v>
      </c>
      <c r="C129" s="4"/>
      <c r="D129" s="5"/>
      <c r="E129" s="5"/>
      <c r="F129" s="10">
        <v>0.52039999999999997</v>
      </c>
      <c r="G129" s="11">
        <v>1.6072</v>
      </c>
      <c r="H129" s="12">
        <v>0.16420000000000001</v>
      </c>
      <c r="I129" s="13">
        <v>10.5198</v>
      </c>
      <c r="J129" s="12">
        <v>34.4998</v>
      </c>
      <c r="K129" s="12">
        <v>3.1461000000000001</v>
      </c>
    </row>
    <row r="130" spans="1:11" ht="15" customHeight="1" x14ac:dyDescent="0.25">
      <c r="A130" s="14" t="s">
        <v>126</v>
      </c>
      <c r="B130" s="15" t="s">
        <v>6</v>
      </c>
      <c r="C130" s="16"/>
      <c r="D130" s="17"/>
      <c r="E130" s="17"/>
      <c r="F130" s="18">
        <v>0.52039999999999997</v>
      </c>
      <c r="G130" s="19">
        <v>1.6072</v>
      </c>
      <c r="H130" s="20">
        <v>0.16420000000000001</v>
      </c>
      <c r="I130" s="21">
        <v>10.5198</v>
      </c>
      <c r="J130" s="20">
        <v>34.4998</v>
      </c>
      <c r="K130" s="20">
        <v>3.1461000000000001</v>
      </c>
    </row>
    <row r="131" spans="1:11" ht="15" customHeight="1" x14ac:dyDescent="0.25">
      <c r="A131" s="22" t="s">
        <v>127</v>
      </c>
      <c r="B131" s="23" t="s">
        <v>8</v>
      </c>
      <c r="C131" s="23" t="s">
        <v>9</v>
      </c>
      <c r="D131" s="24" t="s">
        <v>20</v>
      </c>
      <c r="E131" s="24" t="s">
        <v>99</v>
      </c>
      <c r="F131" s="18">
        <v>0.52039999999999997</v>
      </c>
      <c r="G131" s="19">
        <v>1.6072</v>
      </c>
      <c r="H131" s="20">
        <v>0.16420000000000001</v>
      </c>
      <c r="I131" s="21">
        <v>10.5198</v>
      </c>
      <c r="J131" s="20">
        <v>34.4998</v>
      </c>
      <c r="K131" s="20">
        <v>3.1461000000000001</v>
      </c>
    </row>
    <row r="132" spans="1:11" ht="14.25" customHeight="1" x14ac:dyDescent="0.25">
      <c r="A132" s="25" t="s">
        <v>729</v>
      </c>
      <c r="B132" s="4" t="s">
        <v>5</v>
      </c>
      <c r="C132" s="4"/>
      <c r="D132" s="5"/>
      <c r="E132" s="5"/>
      <c r="F132" s="10"/>
      <c r="G132" s="11"/>
      <c r="H132" s="12"/>
      <c r="I132" s="13"/>
      <c r="J132" s="12"/>
      <c r="K132" s="12"/>
    </row>
    <row r="133" spans="1:11" ht="15" customHeight="1" x14ac:dyDescent="0.25">
      <c r="A133" s="14" t="s">
        <v>846</v>
      </c>
      <c r="B133" s="15" t="s">
        <v>6</v>
      </c>
      <c r="C133" s="16"/>
      <c r="D133" s="17"/>
      <c r="E133" s="17"/>
      <c r="F133" s="18"/>
      <c r="G133" s="19"/>
      <c r="H133" s="20"/>
      <c r="I133" s="21"/>
      <c r="J133" s="20"/>
      <c r="K133" s="20"/>
    </row>
    <row r="134" spans="1:11" ht="15" customHeight="1" x14ac:dyDescent="0.25">
      <c r="A134" s="22" t="s">
        <v>128</v>
      </c>
      <c r="B134" s="23" t="s">
        <v>8</v>
      </c>
      <c r="C134" s="23" t="s">
        <v>9</v>
      </c>
      <c r="D134" s="24" t="s">
        <v>20</v>
      </c>
      <c r="E134" s="24" t="s">
        <v>24</v>
      </c>
      <c r="F134" s="18"/>
      <c r="G134" s="19"/>
      <c r="H134" s="20"/>
      <c r="I134" s="21"/>
      <c r="J134" s="20"/>
      <c r="K134" s="20"/>
    </row>
    <row r="135" spans="1:11" ht="14.25" customHeight="1" x14ac:dyDescent="0.25">
      <c r="A135" s="25" t="s">
        <v>730</v>
      </c>
      <c r="B135" s="4" t="s">
        <v>5</v>
      </c>
      <c r="C135" s="4"/>
      <c r="D135" s="5"/>
      <c r="E135" s="5"/>
      <c r="F135" s="10"/>
      <c r="G135" s="11">
        <v>3.7900000000000003E-2</v>
      </c>
      <c r="H135" s="12">
        <v>6.93E-2</v>
      </c>
      <c r="I135" s="13"/>
      <c r="J135" s="12">
        <v>2.3294000000000001</v>
      </c>
      <c r="K135" s="12">
        <v>4.2670000000000003</v>
      </c>
    </row>
    <row r="136" spans="1:11" ht="15" customHeight="1" x14ac:dyDescent="0.25">
      <c r="A136" s="14" t="s">
        <v>847</v>
      </c>
      <c r="B136" s="15" t="s">
        <v>6</v>
      </c>
      <c r="C136" s="16"/>
      <c r="D136" s="17"/>
      <c r="E136" s="17"/>
      <c r="F136" s="18"/>
      <c r="G136" s="19">
        <v>3.7900000000000003E-2</v>
      </c>
      <c r="H136" s="20">
        <v>6.93E-2</v>
      </c>
      <c r="I136" s="21"/>
      <c r="J136" s="20">
        <v>2.3294000000000001</v>
      </c>
      <c r="K136" s="20">
        <v>4.2670000000000003</v>
      </c>
    </row>
    <row r="137" spans="1:11" ht="15" customHeight="1" x14ac:dyDescent="0.25">
      <c r="A137" s="22" t="s">
        <v>129</v>
      </c>
      <c r="B137" s="23" t="s">
        <v>8</v>
      </c>
      <c r="C137" s="23" t="s">
        <v>9</v>
      </c>
      <c r="D137" s="24" t="s">
        <v>20</v>
      </c>
      <c r="E137" s="24" t="s">
        <v>42</v>
      </c>
      <c r="F137" s="18"/>
      <c r="G137" s="19">
        <v>3.7900000000000003E-2</v>
      </c>
      <c r="H137" s="20">
        <v>6.93E-2</v>
      </c>
      <c r="I137" s="21"/>
      <c r="J137" s="20">
        <v>2.3294000000000001</v>
      </c>
      <c r="K137" s="20">
        <v>4.2670000000000003</v>
      </c>
    </row>
    <row r="138" spans="1:11" ht="14.25" customHeight="1" x14ac:dyDescent="0.25">
      <c r="A138" s="25" t="s">
        <v>731</v>
      </c>
      <c r="B138" s="4" t="s">
        <v>5</v>
      </c>
      <c r="C138" s="4"/>
      <c r="D138" s="5"/>
      <c r="E138" s="5"/>
      <c r="F138" s="10">
        <v>36.0259</v>
      </c>
      <c r="G138" s="11">
        <v>55.229399999999998</v>
      </c>
      <c r="H138" s="12">
        <v>85.139799999999994</v>
      </c>
      <c r="I138" s="13">
        <v>1024.5518</v>
      </c>
      <c r="J138" s="12">
        <v>1623.7085999999999</v>
      </c>
      <c r="K138" s="12">
        <v>2439.0855000000001</v>
      </c>
    </row>
    <row r="139" spans="1:11" ht="15" customHeight="1" x14ac:dyDescent="0.25">
      <c r="A139" s="14" t="s">
        <v>848</v>
      </c>
      <c r="B139" s="15" t="s">
        <v>6</v>
      </c>
      <c r="C139" s="16"/>
      <c r="D139" s="17"/>
      <c r="E139" s="17"/>
      <c r="F139" s="18">
        <v>36.0259</v>
      </c>
      <c r="G139" s="19">
        <v>55.229399999999998</v>
      </c>
      <c r="H139" s="20">
        <v>85.139799999999994</v>
      </c>
      <c r="I139" s="21">
        <v>1024.5518</v>
      </c>
      <c r="J139" s="20">
        <v>1623.7085999999999</v>
      </c>
      <c r="K139" s="20">
        <v>2439.0855000000001</v>
      </c>
    </row>
    <row r="140" spans="1:11" ht="15" customHeight="1" x14ac:dyDescent="0.25">
      <c r="A140" s="22" t="s">
        <v>849</v>
      </c>
      <c r="B140" s="23" t="s">
        <v>8</v>
      </c>
      <c r="C140" s="23" t="s">
        <v>9</v>
      </c>
      <c r="D140" s="24" t="s">
        <v>20</v>
      </c>
      <c r="E140" s="24" t="s">
        <v>88</v>
      </c>
      <c r="F140" s="18"/>
      <c r="G140" s="19">
        <v>8.6E-3</v>
      </c>
      <c r="H140" s="20">
        <v>13.3878</v>
      </c>
      <c r="I140" s="21"/>
      <c r="J140" s="20">
        <v>0.19639999999999999</v>
      </c>
      <c r="K140" s="20">
        <v>341.02409999999998</v>
      </c>
    </row>
    <row r="141" spans="1:11" ht="15" customHeight="1" x14ac:dyDescent="0.25">
      <c r="A141" s="22" t="s">
        <v>850</v>
      </c>
      <c r="B141" s="23" t="s">
        <v>8</v>
      </c>
      <c r="C141" s="23" t="s">
        <v>9</v>
      </c>
      <c r="D141" s="24" t="s">
        <v>20</v>
      </c>
      <c r="E141" s="24" t="s">
        <v>88</v>
      </c>
      <c r="F141" s="18"/>
      <c r="G141" s="19">
        <v>4.8898999999999999</v>
      </c>
      <c r="H141" s="20">
        <v>10.664400000000001</v>
      </c>
      <c r="I141" s="21"/>
      <c r="J141" s="20">
        <v>145.9169</v>
      </c>
      <c r="K141" s="20">
        <v>284.60649999999998</v>
      </c>
    </row>
    <row r="142" spans="1:11" ht="15" customHeight="1" x14ac:dyDescent="0.25">
      <c r="A142" s="22" t="s">
        <v>851</v>
      </c>
      <c r="B142" s="23" t="s">
        <v>8</v>
      </c>
      <c r="C142" s="23" t="s">
        <v>9</v>
      </c>
      <c r="D142" s="24" t="s">
        <v>20</v>
      </c>
      <c r="E142" s="24" t="s">
        <v>88</v>
      </c>
      <c r="F142" s="18"/>
      <c r="G142" s="19">
        <v>5.8544999999999998</v>
      </c>
      <c r="H142" s="20">
        <v>9.0564</v>
      </c>
      <c r="I142" s="21"/>
      <c r="J142" s="20">
        <v>166.38579999999999</v>
      </c>
      <c r="K142" s="20">
        <v>238.54349999999999</v>
      </c>
    </row>
    <row r="143" spans="1:11" ht="15" customHeight="1" x14ac:dyDescent="0.25">
      <c r="A143" s="22" t="s">
        <v>852</v>
      </c>
      <c r="B143" s="23" t="s">
        <v>8</v>
      </c>
      <c r="C143" s="23" t="s">
        <v>9</v>
      </c>
      <c r="D143" s="24" t="s">
        <v>20</v>
      </c>
      <c r="E143" s="24" t="s">
        <v>119</v>
      </c>
      <c r="F143" s="18"/>
      <c r="G143" s="19"/>
      <c r="H143" s="20">
        <v>0.9879</v>
      </c>
      <c r="I143" s="21"/>
      <c r="J143" s="20"/>
      <c r="K143" s="20">
        <v>34.929000000000002</v>
      </c>
    </row>
    <row r="144" spans="1:11" ht="15" customHeight="1" x14ac:dyDescent="0.25">
      <c r="A144" s="22" t="s">
        <v>853</v>
      </c>
      <c r="B144" s="23" t="s">
        <v>8</v>
      </c>
      <c r="C144" s="23" t="s">
        <v>9</v>
      </c>
      <c r="D144" s="24" t="s">
        <v>20</v>
      </c>
      <c r="E144" s="24" t="s">
        <v>17</v>
      </c>
      <c r="F144" s="18">
        <v>15.267200000000001</v>
      </c>
      <c r="G144" s="19">
        <v>16.318300000000001</v>
      </c>
      <c r="H144" s="20">
        <v>16.784099999999999</v>
      </c>
      <c r="I144" s="21">
        <v>431.15870000000001</v>
      </c>
      <c r="J144" s="20">
        <v>473.67329999999998</v>
      </c>
      <c r="K144" s="20">
        <v>505.80540000000002</v>
      </c>
    </row>
    <row r="145" spans="1:11" ht="15" customHeight="1" x14ac:dyDescent="0.25">
      <c r="A145" s="22" t="s">
        <v>854</v>
      </c>
      <c r="B145" s="23" t="s">
        <v>8</v>
      </c>
      <c r="C145" s="23" t="s">
        <v>9</v>
      </c>
      <c r="D145" s="24" t="s">
        <v>20</v>
      </c>
      <c r="E145" s="24" t="s">
        <v>17</v>
      </c>
      <c r="F145" s="18">
        <v>9.5295000000000005</v>
      </c>
      <c r="G145" s="19">
        <v>13.395300000000001</v>
      </c>
      <c r="H145" s="20">
        <v>18.126999999999999</v>
      </c>
      <c r="I145" s="21">
        <v>274.45499999999998</v>
      </c>
      <c r="J145" s="20">
        <v>396.72109999999998</v>
      </c>
      <c r="K145" s="20">
        <v>559.59109999999998</v>
      </c>
    </row>
    <row r="146" spans="1:11" ht="15" customHeight="1" x14ac:dyDescent="0.25">
      <c r="A146" s="22" t="s">
        <v>855</v>
      </c>
      <c r="B146" s="23" t="s">
        <v>8</v>
      </c>
      <c r="C146" s="23" t="s">
        <v>9</v>
      </c>
      <c r="D146" s="24" t="s">
        <v>20</v>
      </c>
      <c r="E146" s="24" t="s">
        <v>17</v>
      </c>
      <c r="F146" s="18">
        <v>11.2293</v>
      </c>
      <c r="G146" s="19">
        <v>14.7631</v>
      </c>
      <c r="H146" s="20">
        <v>16.131900000000002</v>
      </c>
      <c r="I146" s="21">
        <v>318.93810000000002</v>
      </c>
      <c r="J146" s="20">
        <v>440.8152</v>
      </c>
      <c r="K146" s="20">
        <v>474.58569999999997</v>
      </c>
    </row>
    <row r="147" spans="1:11" ht="14.25" customHeight="1" x14ac:dyDescent="0.25">
      <c r="A147" s="25" t="s">
        <v>732</v>
      </c>
      <c r="B147" s="4" t="s">
        <v>5</v>
      </c>
      <c r="C147" s="4"/>
      <c r="D147" s="5"/>
      <c r="E147" s="5"/>
      <c r="F147" s="10">
        <v>1.03E-2</v>
      </c>
      <c r="G147" s="11"/>
      <c r="H147" s="12"/>
      <c r="I147" s="13">
        <v>0.3876</v>
      </c>
      <c r="J147" s="12"/>
      <c r="K147" s="12"/>
    </row>
    <row r="148" spans="1:11" ht="15" customHeight="1" x14ac:dyDescent="0.25">
      <c r="A148" s="14" t="s">
        <v>856</v>
      </c>
      <c r="B148" s="15" t="s">
        <v>6</v>
      </c>
      <c r="C148" s="16"/>
      <c r="D148" s="17"/>
      <c r="E148" s="17"/>
      <c r="F148" s="18">
        <v>1.03E-2</v>
      </c>
      <c r="G148" s="19"/>
      <c r="H148" s="20"/>
      <c r="I148" s="21">
        <v>0.3876</v>
      </c>
      <c r="J148" s="20"/>
      <c r="K148" s="20"/>
    </row>
    <row r="149" spans="1:11" ht="15" customHeight="1" x14ac:dyDescent="0.25">
      <c r="A149" s="22" t="s">
        <v>819</v>
      </c>
      <c r="B149" s="23" t="s">
        <v>8</v>
      </c>
      <c r="C149" s="23" t="s">
        <v>9</v>
      </c>
      <c r="D149" s="24" t="s">
        <v>10</v>
      </c>
      <c r="E149" s="24" t="s">
        <v>99</v>
      </c>
      <c r="F149" s="18">
        <v>1.03E-2</v>
      </c>
      <c r="G149" s="19"/>
      <c r="H149" s="20"/>
      <c r="I149" s="21">
        <v>0.3876</v>
      </c>
      <c r="J149" s="20"/>
      <c r="K149" s="20"/>
    </row>
    <row r="150" spans="1:11" ht="14.25" customHeight="1" x14ac:dyDescent="0.25">
      <c r="A150" s="25" t="s">
        <v>733</v>
      </c>
      <c r="B150" s="4" t="s">
        <v>5</v>
      </c>
      <c r="C150" s="4"/>
      <c r="D150" s="5"/>
      <c r="E150" s="5"/>
      <c r="F150" s="10"/>
      <c r="G150" s="11">
        <v>1.8077000000000001</v>
      </c>
      <c r="H150" s="12">
        <v>54.250700000000002</v>
      </c>
      <c r="I150" s="13"/>
      <c r="J150" s="12">
        <v>127.6024</v>
      </c>
      <c r="K150" s="12">
        <v>2956.24</v>
      </c>
    </row>
    <row r="151" spans="1:11" ht="15" customHeight="1" x14ac:dyDescent="0.25">
      <c r="A151" s="14" t="s">
        <v>857</v>
      </c>
      <c r="B151" s="15" t="s">
        <v>6</v>
      </c>
      <c r="C151" s="16"/>
      <c r="D151" s="17"/>
      <c r="E151" s="17"/>
      <c r="F151" s="18"/>
      <c r="G151" s="19">
        <v>1.8077000000000001</v>
      </c>
      <c r="H151" s="20">
        <v>54.250700000000002</v>
      </c>
      <c r="I151" s="21"/>
      <c r="J151" s="20">
        <v>127.6024</v>
      </c>
      <c r="K151" s="20">
        <v>2956.24</v>
      </c>
    </row>
    <row r="152" spans="1:11" ht="15" customHeight="1" x14ac:dyDescent="0.25">
      <c r="A152" s="22" t="s">
        <v>130</v>
      </c>
      <c r="B152" s="23" t="s">
        <v>8</v>
      </c>
      <c r="C152" s="23" t="s">
        <v>9</v>
      </c>
      <c r="D152" s="24" t="s">
        <v>10</v>
      </c>
      <c r="E152" s="24" t="s">
        <v>24</v>
      </c>
      <c r="F152" s="18"/>
      <c r="G152" s="19">
        <v>1.8077000000000001</v>
      </c>
      <c r="H152" s="20">
        <v>54.250700000000002</v>
      </c>
      <c r="I152" s="21"/>
      <c r="J152" s="20">
        <v>127.6024</v>
      </c>
      <c r="K152" s="20">
        <v>2956.24</v>
      </c>
    </row>
    <row r="153" spans="1:11" ht="14.25" customHeight="1" x14ac:dyDescent="0.25">
      <c r="A153" s="25" t="s">
        <v>734</v>
      </c>
      <c r="B153" s="4" t="s">
        <v>5</v>
      </c>
      <c r="C153" s="4"/>
      <c r="D153" s="5"/>
      <c r="E153" s="5"/>
      <c r="F153" s="10"/>
      <c r="G153" s="11">
        <v>0.1202</v>
      </c>
      <c r="H153" s="12"/>
      <c r="I153" s="13"/>
      <c r="J153" s="12">
        <v>2.4085999999999999</v>
      </c>
      <c r="K153" s="12"/>
    </row>
    <row r="154" spans="1:11" ht="15" customHeight="1" x14ac:dyDescent="0.25">
      <c r="A154" s="14" t="s">
        <v>131</v>
      </c>
      <c r="B154" s="15" t="s">
        <v>6</v>
      </c>
      <c r="C154" s="16"/>
      <c r="D154" s="17"/>
      <c r="E154" s="17"/>
      <c r="F154" s="18"/>
      <c r="G154" s="19">
        <v>0.1202</v>
      </c>
      <c r="H154" s="20"/>
      <c r="I154" s="21"/>
      <c r="J154" s="20">
        <v>2.4085999999999999</v>
      </c>
      <c r="K154" s="20"/>
    </row>
    <row r="155" spans="1:11" ht="15" customHeight="1" x14ac:dyDescent="0.25">
      <c r="A155" s="22" t="s">
        <v>132</v>
      </c>
      <c r="B155" s="23" t="s">
        <v>8</v>
      </c>
      <c r="C155" s="23" t="s">
        <v>9</v>
      </c>
      <c r="D155" s="24" t="s">
        <v>10</v>
      </c>
      <c r="E155" s="24" t="s">
        <v>11</v>
      </c>
      <c r="F155" s="18"/>
      <c r="G155" s="19">
        <v>0.1202</v>
      </c>
      <c r="H155" s="20"/>
      <c r="I155" s="21"/>
      <c r="J155" s="20">
        <v>2.4085999999999999</v>
      </c>
      <c r="K155" s="20"/>
    </row>
    <row r="156" spans="1:11" ht="14.25" customHeight="1" x14ac:dyDescent="0.25">
      <c r="A156" s="25" t="s">
        <v>735</v>
      </c>
      <c r="B156" s="4" t="s">
        <v>5</v>
      </c>
      <c r="C156" s="4"/>
      <c r="D156" s="5"/>
      <c r="E156" s="5"/>
      <c r="F156" s="10">
        <v>212.42590000000001</v>
      </c>
      <c r="G156" s="11">
        <v>118.93340000000001</v>
      </c>
      <c r="H156" s="12">
        <v>32.276800000000001</v>
      </c>
      <c r="I156" s="13">
        <v>11963.103999999999</v>
      </c>
      <c r="J156" s="12">
        <v>6284.8913000000002</v>
      </c>
      <c r="K156" s="12">
        <v>1340.7376999999999</v>
      </c>
    </row>
    <row r="157" spans="1:11" ht="15" customHeight="1" x14ac:dyDescent="0.25">
      <c r="A157" s="14" t="s">
        <v>858</v>
      </c>
      <c r="B157" s="15" t="s">
        <v>6</v>
      </c>
      <c r="C157" s="16"/>
      <c r="D157" s="17"/>
      <c r="E157" s="17"/>
      <c r="F157" s="18">
        <v>57.485300000000002</v>
      </c>
      <c r="G157" s="19">
        <v>39.476199999999999</v>
      </c>
      <c r="H157" s="20">
        <v>6.7363999999999997</v>
      </c>
      <c r="I157" s="21">
        <v>3117.2665999999999</v>
      </c>
      <c r="J157" s="20">
        <v>2098.0985000000001</v>
      </c>
      <c r="K157" s="20">
        <v>314.59030000000001</v>
      </c>
    </row>
    <row r="158" spans="1:11" ht="15" customHeight="1" x14ac:dyDescent="0.25">
      <c r="A158" s="22" t="s">
        <v>133</v>
      </c>
      <c r="B158" s="23" t="s">
        <v>8</v>
      </c>
      <c r="C158" s="23" t="s">
        <v>9</v>
      </c>
      <c r="D158" s="24" t="s">
        <v>20</v>
      </c>
      <c r="E158" s="24" t="s">
        <v>24</v>
      </c>
      <c r="F158" s="18">
        <v>28.356999999999999</v>
      </c>
      <c r="G158" s="19">
        <v>20.580200000000001</v>
      </c>
      <c r="H158" s="20">
        <v>0.78890000000000005</v>
      </c>
      <c r="I158" s="21">
        <v>1646.7402</v>
      </c>
      <c r="J158" s="20">
        <v>1088.8000999999999</v>
      </c>
      <c r="K158" s="20">
        <v>38.968699999999998</v>
      </c>
    </row>
    <row r="159" spans="1:11" ht="15" customHeight="1" x14ac:dyDescent="0.25">
      <c r="A159" s="22" t="s">
        <v>134</v>
      </c>
      <c r="B159" s="23" t="s">
        <v>8</v>
      </c>
      <c r="C159" s="23" t="s">
        <v>9</v>
      </c>
      <c r="D159" s="24" t="s">
        <v>30</v>
      </c>
      <c r="E159" s="24" t="s">
        <v>24</v>
      </c>
      <c r="F159" s="18">
        <v>12.003299999999999</v>
      </c>
      <c r="G159" s="19">
        <v>12.0252</v>
      </c>
      <c r="H159" s="20">
        <v>1.8045</v>
      </c>
      <c r="I159" s="21">
        <v>643.41989999999998</v>
      </c>
      <c r="J159" s="20">
        <v>689.18370000000004</v>
      </c>
      <c r="K159" s="20">
        <v>98.837400000000002</v>
      </c>
    </row>
    <row r="160" spans="1:11" ht="15" customHeight="1" x14ac:dyDescent="0.25">
      <c r="A160" s="22" t="s">
        <v>135</v>
      </c>
      <c r="B160" s="23" t="s">
        <v>8</v>
      </c>
      <c r="C160" s="23" t="s">
        <v>9</v>
      </c>
      <c r="D160" s="24" t="s">
        <v>30</v>
      </c>
      <c r="E160" s="24" t="s">
        <v>24</v>
      </c>
      <c r="F160" s="18">
        <v>0.11600000000000001</v>
      </c>
      <c r="G160" s="19"/>
      <c r="H160" s="20"/>
      <c r="I160" s="21">
        <v>6.96</v>
      </c>
      <c r="J160" s="20"/>
      <c r="K160" s="20"/>
    </row>
    <row r="161" spans="1:11" ht="15" customHeight="1" x14ac:dyDescent="0.25">
      <c r="A161" s="22" t="s">
        <v>136</v>
      </c>
      <c r="B161" s="23" t="s">
        <v>8</v>
      </c>
      <c r="C161" s="23" t="s">
        <v>9</v>
      </c>
      <c r="D161" s="24" t="s">
        <v>20</v>
      </c>
      <c r="E161" s="24" t="s">
        <v>99</v>
      </c>
      <c r="F161" s="18">
        <v>4.6429999999999998</v>
      </c>
      <c r="G161" s="19">
        <v>2.3708</v>
      </c>
      <c r="H161" s="20">
        <v>3.8805999999999998</v>
      </c>
      <c r="I161" s="21">
        <v>208.76240000000001</v>
      </c>
      <c r="J161" s="20">
        <v>99.124899999999997</v>
      </c>
      <c r="K161" s="20">
        <v>163.75460000000001</v>
      </c>
    </row>
    <row r="162" spans="1:11" ht="15" customHeight="1" x14ac:dyDescent="0.25">
      <c r="A162" s="22" t="s">
        <v>137</v>
      </c>
      <c r="B162" s="23" t="s">
        <v>8</v>
      </c>
      <c r="C162" s="23" t="s">
        <v>9</v>
      </c>
      <c r="D162" s="24" t="s">
        <v>30</v>
      </c>
      <c r="E162" s="24" t="s">
        <v>42</v>
      </c>
      <c r="F162" s="18">
        <v>8.5853000000000002</v>
      </c>
      <c r="G162" s="19">
        <v>4.2140000000000004</v>
      </c>
      <c r="H162" s="20">
        <v>0.26250000000000001</v>
      </c>
      <c r="I162" s="21">
        <v>402.53930000000003</v>
      </c>
      <c r="J162" s="20">
        <v>207.43709999999999</v>
      </c>
      <c r="K162" s="20">
        <v>13.0296</v>
      </c>
    </row>
    <row r="163" spans="1:11" ht="15" customHeight="1" x14ac:dyDescent="0.25">
      <c r="A163" s="22" t="s">
        <v>138</v>
      </c>
      <c r="B163" s="23" t="s">
        <v>8</v>
      </c>
      <c r="C163" s="23" t="s">
        <v>9</v>
      </c>
      <c r="D163" s="24" t="s">
        <v>20</v>
      </c>
      <c r="E163" s="24" t="s">
        <v>42</v>
      </c>
      <c r="F163" s="18">
        <v>0.83140000000000003</v>
      </c>
      <c r="G163" s="19">
        <v>1.5299999999999999E-2</v>
      </c>
      <c r="H163" s="20"/>
      <c r="I163" s="21">
        <v>39.196399999999997</v>
      </c>
      <c r="J163" s="20">
        <v>0.64800000000000002</v>
      </c>
      <c r="K163" s="20"/>
    </row>
    <row r="164" spans="1:11" ht="15" customHeight="1" x14ac:dyDescent="0.25">
      <c r="A164" s="22" t="s">
        <v>139</v>
      </c>
      <c r="B164" s="23" t="s">
        <v>8</v>
      </c>
      <c r="C164" s="23" t="s">
        <v>9</v>
      </c>
      <c r="D164" s="24" t="s">
        <v>20</v>
      </c>
      <c r="E164" s="24" t="s">
        <v>68</v>
      </c>
      <c r="F164" s="18">
        <v>2.9493999999999998</v>
      </c>
      <c r="G164" s="19">
        <v>0.27079999999999999</v>
      </c>
      <c r="H164" s="20"/>
      <c r="I164" s="21">
        <v>169.64840000000001</v>
      </c>
      <c r="J164" s="20">
        <v>12.904400000000001</v>
      </c>
      <c r="K164" s="20"/>
    </row>
    <row r="165" spans="1:11" ht="15" customHeight="1" x14ac:dyDescent="0.25">
      <c r="A165" s="14" t="s">
        <v>859</v>
      </c>
      <c r="B165" s="15" t="s">
        <v>6</v>
      </c>
      <c r="C165" s="16"/>
      <c r="D165" s="17"/>
      <c r="E165" s="17"/>
      <c r="F165" s="18">
        <v>4.0544000000000002</v>
      </c>
      <c r="G165" s="19"/>
      <c r="H165" s="20"/>
      <c r="I165" s="21">
        <v>233.119</v>
      </c>
      <c r="J165" s="20"/>
      <c r="K165" s="20"/>
    </row>
    <row r="166" spans="1:11" ht="15" customHeight="1" x14ac:dyDescent="0.25">
      <c r="A166" s="22" t="s">
        <v>140</v>
      </c>
      <c r="B166" s="23" t="s">
        <v>8</v>
      </c>
      <c r="C166" s="23" t="s">
        <v>9</v>
      </c>
      <c r="D166" s="24" t="s">
        <v>69</v>
      </c>
      <c r="E166" s="24" t="s">
        <v>21</v>
      </c>
      <c r="F166" s="18">
        <v>4.0140000000000002</v>
      </c>
      <c r="G166" s="19"/>
      <c r="H166" s="20"/>
      <c r="I166" s="21">
        <v>230.286</v>
      </c>
      <c r="J166" s="20"/>
      <c r="K166" s="20"/>
    </row>
    <row r="167" spans="1:11" ht="15" customHeight="1" x14ac:dyDescent="0.25">
      <c r="A167" s="22" t="s">
        <v>141</v>
      </c>
      <c r="B167" s="23" t="s">
        <v>8</v>
      </c>
      <c r="C167" s="23" t="s">
        <v>9</v>
      </c>
      <c r="D167" s="24" t="s">
        <v>10</v>
      </c>
      <c r="E167" s="24" t="s">
        <v>123</v>
      </c>
      <c r="F167" s="18">
        <v>4.0500000000000001E-2</v>
      </c>
      <c r="G167" s="19"/>
      <c r="H167" s="20"/>
      <c r="I167" s="21">
        <v>2.8330000000000002</v>
      </c>
      <c r="J167" s="20"/>
      <c r="K167" s="20"/>
    </row>
    <row r="168" spans="1:11" ht="15" customHeight="1" x14ac:dyDescent="0.25">
      <c r="A168" s="14" t="s">
        <v>860</v>
      </c>
      <c r="B168" s="15" t="s">
        <v>6</v>
      </c>
      <c r="C168" s="16"/>
      <c r="D168" s="17"/>
      <c r="E168" s="17"/>
      <c r="F168" s="18">
        <v>1.6357999999999999</v>
      </c>
      <c r="G168" s="19"/>
      <c r="H168" s="20"/>
      <c r="I168" s="21">
        <v>89.7791</v>
      </c>
      <c r="J168" s="20"/>
      <c r="K168" s="20"/>
    </row>
    <row r="169" spans="1:11" ht="15" customHeight="1" x14ac:dyDescent="0.25">
      <c r="A169" s="22" t="s">
        <v>142</v>
      </c>
      <c r="B169" s="23" t="s">
        <v>8</v>
      </c>
      <c r="C169" s="23" t="s">
        <v>9</v>
      </c>
      <c r="D169" s="24" t="s">
        <v>30</v>
      </c>
      <c r="E169" s="24" t="s">
        <v>24</v>
      </c>
      <c r="F169" s="18">
        <v>0.76770000000000005</v>
      </c>
      <c r="G169" s="19"/>
      <c r="H169" s="20"/>
      <c r="I169" s="21">
        <v>46.441400000000002</v>
      </c>
      <c r="J169" s="20"/>
      <c r="K169" s="20"/>
    </row>
    <row r="170" spans="1:11" ht="15" customHeight="1" x14ac:dyDescent="0.25">
      <c r="A170" s="22" t="s">
        <v>143</v>
      </c>
      <c r="B170" s="23" t="s">
        <v>8</v>
      </c>
      <c r="C170" s="23" t="s">
        <v>9</v>
      </c>
      <c r="D170" s="24" t="s">
        <v>20</v>
      </c>
      <c r="E170" s="24" t="s">
        <v>68</v>
      </c>
      <c r="F170" s="18">
        <v>0.86809999999999998</v>
      </c>
      <c r="G170" s="19"/>
      <c r="H170" s="20"/>
      <c r="I170" s="21">
        <v>43.337600000000002</v>
      </c>
      <c r="J170" s="20"/>
      <c r="K170" s="20"/>
    </row>
    <row r="171" spans="1:11" ht="15" customHeight="1" x14ac:dyDescent="0.25">
      <c r="A171" s="14" t="s">
        <v>861</v>
      </c>
      <c r="B171" s="15" t="s">
        <v>6</v>
      </c>
      <c r="C171" s="16"/>
      <c r="D171" s="17"/>
      <c r="E171" s="17"/>
      <c r="F171" s="18">
        <v>9.5548999999999999</v>
      </c>
      <c r="G171" s="19">
        <v>16.797000000000001</v>
      </c>
      <c r="H171" s="20">
        <v>14.8012</v>
      </c>
      <c r="I171" s="21">
        <v>338.9522</v>
      </c>
      <c r="J171" s="20">
        <v>643.8528</v>
      </c>
      <c r="K171" s="20">
        <v>454.05590000000001</v>
      </c>
    </row>
    <row r="172" spans="1:11" ht="15" customHeight="1" x14ac:dyDescent="0.25">
      <c r="A172" s="22" t="s">
        <v>144</v>
      </c>
      <c r="B172" s="23" t="s">
        <v>8</v>
      </c>
      <c r="C172" s="23" t="s">
        <v>9</v>
      </c>
      <c r="D172" s="24" t="s">
        <v>20</v>
      </c>
      <c r="E172" s="24" t="s">
        <v>26</v>
      </c>
      <c r="F172" s="18">
        <v>9.5548999999999999</v>
      </c>
      <c r="G172" s="19">
        <v>16.797000000000001</v>
      </c>
      <c r="H172" s="20">
        <v>14.8012</v>
      </c>
      <c r="I172" s="21">
        <v>338.9522</v>
      </c>
      <c r="J172" s="20">
        <v>643.8528</v>
      </c>
      <c r="K172" s="20">
        <v>454.05590000000001</v>
      </c>
    </row>
    <row r="173" spans="1:11" ht="15" customHeight="1" x14ac:dyDescent="0.25">
      <c r="A173" s="14" t="s">
        <v>862</v>
      </c>
      <c r="B173" s="15" t="s">
        <v>6</v>
      </c>
      <c r="C173" s="16"/>
      <c r="D173" s="17"/>
      <c r="E173" s="17"/>
      <c r="F173" s="18">
        <v>80.961600000000004</v>
      </c>
      <c r="G173" s="19">
        <v>26.590599999999998</v>
      </c>
      <c r="H173" s="20">
        <v>4.7952000000000004</v>
      </c>
      <c r="I173" s="21">
        <v>4767.0126</v>
      </c>
      <c r="J173" s="20">
        <v>1476.0722000000001</v>
      </c>
      <c r="K173" s="20">
        <v>260.76119999999997</v>
      </c>
    </row>
    <row r="174" spans="1:11" ht="15" customHeight="1" x14ac:dyDescent="0.25">
      <c r="A174" s="22" t="s">
        <v>145</v>
      </c>
      <c r="B174" s="23" t="s">
        <v>8</v>
      </c>
      <c r="C174" s="23" t="s">
        <v>9</v>
      </c>
      <c r="D174" s="24" t="s">
        <v>20</v>
      </c>
      <c r="E174" s="24" t="s">
        <v>24</v>
      </c>
      <c r="F174" s="18">
        <v>21.0763</v>
      </c>
      <c r="G174" s="19">
        <v>7.9172000000000002</v>
      </c>
      <c r="H174" s="20">
        <v>0.35720000000000002</v>
      </c>
      <c r="I174" s="21">
        <v>1178.5386000000001</v>
      </c>
      <c r="J174" s="20">
        <v>421.82799999999997</v>
      </c>
      <c r="K174" s="20">
        <v>19.481100000000001</v>
      </c>
    </row>
    <row r="175" spans="1:11" ht="15" customHeight="1" x14ac:dyDescent="0.25">
      <c r="A175" s="22" t="s">
        <v>146</v>
      </c>
      <c r="B175" s="23" t="s">
        <v>8</v>
      </c>
      <c r="C175" s="23" t="s">
        <v>9</v>
      </c>
      <c r="D175" s="24" t="s">
        <v>30</v>
      </c>
      <c r="E175" s="24" t="s">
        <v>24</v>
      </c>
      <c r="F175" s="18">
        <v>59.8855</v>
      </c>
      <c r="G175" s="19">
        <v>18.673500000000001</v>
      </c>
      <c r="H175" s="20">
        <v>4.4382000000000001</v>
      </c>
      <c r="I175" s="21">
        <v>3588.4739</v>
      </c>
      <c r="J175" s="20">
        <v>1054.2443000000001</v>
      </c>
      <c r="K175" s="20">
        <v>241.28020000000001</v>
      </c>
    </row>
    <row r="176" spans="1:11" ht="15" customHeight="1" x14ac:dyDescent="0.25">
      <c r="A176" s="14" t="s">
        <v>863</v>
      </c>
      <c r="B176" s="15" t="s">
        <v>6</v>
      </c>
      <c r="C176" s="16"/>
      <c r="D176" s="17"/>
      <c r="E176" s="17"/>
      <c r="F176" s="18">
        <v>37.596899999999998</v>
      </c>
      <c r="G176" s="19">
        <v>28.031099999999999</v>
      </c>
      <c r="H176" s="20">
        <v>1.2394000000000001</v>
      </c>
      <c r="I176" s="21">
        <v>2231.0284000000001</v>
      </c>
      <c r="J176" s="20">
        <v>1606.1090999999999</v>
      </c>
      <c r="K176" s="20">
        <v>64.665899999999993</v>
      </c>
    </row>
    <row r="177" spans="1:11" ht="15" customHeight="1" x14ac:dyDescent="0.25">
      <c r="A177" s="22" t="s">
        <v>147</v>
      </c>
      <c r="B177" s="23" t="s">
        <v>8</v>
      </c>
      <c r="C177" s="23" t="s">
        <v>9</v>
      </c>
      <c r="D177" s="24" t="s">
        <v>20</v>
      </c>
      <c r="E177" s="24" t="s">
        <v>24</v>
      </c>
      <c r="F177" s="18">
        <v>37.596899999999998</v>
      </c>
      <c r="G177" s="19">
        <v>28.031099999999999</v>
      </c>
      <c r="H177" s="20">
        <v>1.2394000000000001</v>
      </c>
      <c r="I177" s="21">
        <v>2231.0284000000001</v>
      </c>
      <c r="J177" s="20">
        <v>1606.1090999999999</v>
      </c>
      <c r="K177" s="20">
        <v>64.665899999999993</v>
      </c>
    </row>
    <row r="178" spans="1:11" ht="15" customHeight="1" x14ac:dyDescent="0.25">
      <c r="A178" s="14" t="s">
        <v>864</v>
      </c>
      <c r="B178" s="15" t="s">
        <v>6</v>
      </c>
      <c r="C178" s="16"/>
      <c r="D178" s="17"/>
      <c r="E178" s="17"/>
      <c r="F178" s="18">
        <v>21.1371</v>
      </c>
      <c r="G178" s="19">
        <v>8.0383999999999993</v>
      </c>
      <c r="H178" s="20">
        <v>4.7045000000000003</v>
      </c>
      <c r="I178" s="21">
        <v>1185.9459999999999</v>
      </c>
      <c r="J178" s="20">
        <v>460.75880000000001</v>
      </c>
      <c r="K178" s="20">
        <v>246.6643</v>
      </c>
    </row>
    <row r="179" spans="1:11" ht="15" customHeight="1" x14ac:dyDescent="0.25">
      <c r="A179" s="22" t="s">
        <v>148</v>
      </c>
      <c r="B179" s="23" t="s">
        <v>8</v>
      </c>
      <c r="C179" s="23" t="s">
        <v>9</v>
      </c>
      <c r="D179" s="24" t="s">
        <v>20</v>
      </c>
      <c r="E179" s="24" t="s">
        <v>42</v>
      </c>
      <c r="F179" s="18">
        <v>4.1798000000000002</v>
      </c>
      <c r="G179" s="19"/>
      <c r="H179" s="20"/>
      <c r="I179" s="21">
        <v>212.80930000000001</v>
      </c>
      <c r="J179" s="20"/>
      <c r="K179" s="20"/>
    </row>
    <row r="180" spans="1:11" ht="15" customHeight="1" x14ac:dyDescent="0.25">
      <c r="A180" s="22" t="s">
        <v>149</v>
      </c>
      <c r="B180" s="23" t="s">
        <v>8</v>
      </c>
      <c r="C180" s="23" t="s">
        <v>9</v>
      </c>
      <c r="D180" s="24" t="s">
        <v>20</v>
      </c>
      <c r="E180" s="24" t="s">
        <v>42</v>
      </c>
      <c r="F180" s="18">
        <v>16.9573</v>
      </c>
      <c r="G180" s="19">
        <v>8.0383999999999993</v>
      </c>
      <c r="H180" s="20">
        <v>4.7045000000000003</v>
      </c>
      <c r="I180" s="21">
        <v>973.13670000000002</v>
      </c>
      <c r="J180" s="20">
        <v>460.75880000000001</v>
      </c>
      <c r="K180" s="20">
        <v>246.6643</v>
      </c>
    </row>
    <row r="181" spans="1:11" ht="14.25" customHeight="1" x14ac:dyDescent="0.25">
      <c r="A181" s="25" t="s">
        <v>736</v>
      </c>
      <c r="B181" s="4" t="s">
        <v>5</v>
      </c>
      <c r="C181" s="4"/>
      <c r="D181" s="5"/>
      <c r="E181" s="5"/>
      <c r="F181" s="10"/>
      <c r="G181" s="11"/>
      <c r="H181" s="12"/>
      <c r="I181" s="13"/>
      <c r="J181" s="12"/>
      <c r="K181" s="12"/>
    </row>
    <row r="182" spans="1:11" ht="15" customHeight="1" x14ac:dyDescent="0.25">
      <c r="A182" s="14" t="s">
        <v>865</v>
      </c>
      <c r="B182" s="15" t="s">
        <v>6</v>
      </c>
      <c r="C182" s="16"/>
      <c r="D182" s="17"/>
      <c r="E182" s="17"/>
      <c r="F182" s="18"/>
      <c r="G182" s="19"/>
      <c r="H182" s="20"/>
      <c r="I182" s="21"/>
      <c r="J182" s="20"/>
      <c r="K182" s="20"/>
    </row>
    <row r="183" spans="1:11" ht="15" customHeight="1" x14ac:dyDescent="0.25">
      <c r="A183" s="22" t="s">
        <v>150</v>
      </c>
      <c r="B183" s="23" t="s">
        <v>8</v>
      </c>
      <c r="C183" s="23" t="s">
        <v>9</v>
      </c>
      <c r="D183" s="24" t="s">
        <v>20</v>
      </c>
      <c r="E183" s="24" t="s">
        <v>42</v>
      </c>
      <c r="F183" s="18"/>
      <c r="G183" s="19"/>
      <c r="H183" s="20"/>
      <c r="I183" s="21"/>
      <c r="J183" s="20"/>
      <c r="K183" s="20"/>
    </row>
    <row r="184" spans="1:11" ht="14.25" customHeight="1" x14ac:dyDescent="0.25">
      <c r="A184" s="25" t="s">
        <v>737</v>
      </c>
      <c r="B184" s="4" t="s">
        <v>5</v>
      </c>
      <c r="C184" s="4"/>
      <c r="D184" s="5"/>
      <c r="E184" s="5"/>
      <c r="F184" s="10">
        <v>8.9794</v>
      </c>
      <c r="G184" s="11"/>
      <c r="H184" s="12"/>
      <c r="I184" s="13">
        <v>618.46879999999999</v>
      </c>
      <c r="J184" s="12"/>
      <c r="K184" s="12"/>
    </row>
    <row r="185" spans="1:11" ht="15" customHeight="1" x14ac:dyDescent="0.25">
      <c r="A185" s="14" t="s">
        <v>151</v>
      </c>
      <c r="B185" s="15" t="s">
        <v>6</v>
      </c>
      <c r="C185" s="16"/>
      <c r="D185" s="17"/>
      <c r="E185" s="17"/>
      <c r="F185" s="18">
        <v>8.9794</v>
      </c>
      <c r="G185" s="19"/>
      <c r="H185" s="20"/>
      <c r="I185" s="21">
        <v>618.46879999999999</v>
      </c>
      <c r="J185" s="20"/>
      <c r="K185" s="20"/>
    </row>
    <row r="186" spans="1:11" ht="15" customHeight="1" x14ac:dyDescent="0.25">
      <c r="A186" s="22" t="s">
        <v>152</v>
      </c>
      <c r="B186" s="23" t="s">
        <v>8</v>
      </c>
      <c r="C186" s="23" t="s">
        <v>9</v>
      </c>
      <c r="D186" s="24" t="s">
        <v>30</v>
      </c>
      <c r="E186" s="24" t="s">
        <v>24</v>
      </c>
      <c r="F186" s="18">
        <v>8.9794</v>
      </c>
      <c r="G186" s="19"/>
      <c r="H186" s="20"/>
      <c r="I186" s="21">
        <v>618.46879999999999</v>
      </c>
      <c r="J186" s="20"/>
      <c r="K186" s="20"/>
    </row>
    <row r="187" spans="1:11" ht="15" customHeight="1" x14ac:dyDescent="0.25">
      <c r="A187" s="22" t="s">
        <v>153</v>
      </c>
      <c r="B187" s="23" t="s">
        <v>8</v>
      </c>
      <c r="C187" s="23" t="s">
        <v>9</v>
      </c>
      <c r="D187" s="24" t="s">
        <v>30</v>
      </c>
      <c r="E187" s="24" t="s">
        <v>17</v>
      </c>
      <c r="F187" s="18"/>
      <c r="G187" s="19"/>
      <c r="H187" s="20"/>
      <c r="I187" s="21"/>
      <c r="J187" s="20"/>
      <c r="K187" s="20"/>
    </row>
    <row r="188" spans="1:11" ht="14.25" customHeight="1" x14ac:dyDescent="0.25">
      <c r="A188" s="25" t="s">
        <v>738</v>
      </c>
      <c r="B188" s="4" t="s">
        <v>5</v>
      </c>
      <c r="C188" s="4"/>
      <c r="D188" s="5"/>
      <c r="E188" s="5"/>
      <c r="F188" s="10">
        <v>28.101500000000001</v>
      </c>
      <c r="G188" s="11">
        <v>242.1942</v>
      </c>
      <c r="H188" s="12">
        <v>67.606399999999994</v>
      </c>
      <c r="I188" s="13">
        <v>1283.3091999999999</v>
      </c>
      <c r="J188" s="12">
        <v>13602.248900000001</v>
      </c>
      <c r="K188" s="12">
        <v>3938.0097000000001</v>
      </c>
    </row>
    <row r="189" spans="1:11" ht="15" customHeight="1" x14ac:dyDescent="0.25">
      <c r="A189" s="14" t="s">
        <v>866</v>
      </c>
      <c r="B189" s="15" t="s">
        <v>6</v>
      </c>
      <c r="C189" s="16"/>
      <c r="D189" s="17"/>
      <c r="E189" s="17"/>
      <c r="F189" s="18"/>
      <c r="G189" s="19">
        <v>9.4999999999999998E-3</v>
      </c>
      <c r="H189" s="20"/>
      <c r="I189" s="21"/>
      <c r="J189" s="20">
        <v>0.51649999999999996</v>
      </c>
      <c r="K189" s="20"/>
    </row>
    <row r="190" spans="1:11" ht="15" customHeight="1" x14ac:dyDescent="0.25">
      <c r="A190" s="22" t="s">
        <v>154</v>
      </c>
      <c r="B190" s="23" t="s">
        <v>8</v>
      </c>
      <c r="C190" s="23" t="s">
        <v>9</v>
      </c>
      <c r="D190" s="24" t="s">
        <v>20</v>
      </c>
      <c r="E190" s="24" t="s">
        <v>24</v>
      </c>
      <c r="F190" s="18"/>
      <c r="G190" s="19">
        <v>9.4999999999999998E-3</v>
      </c>
      <c r="H190" s="20"/>
      <c r="I190" s="21"/>
      <c r="J190" s="20">
        <v>0.51649999999999996</v>
      </c>
      <c r="K190" s="20"/>
    </row>
    <row r="191" spans="1:11" ht="15" customHeight="1" x14ac:dyDescent="0.25">
      <c r="A191" s="14" t="s">
        <v>867</v>
      </c>
      <c r="B191" s="15" t="s">
        <v>6</v>
      </c>
      <c r="C191" s="16"/>
      <c r="D191" s="17"/>
      <c r="E191" s="17"/>
      <c r="F191" s="18">
        <v>27.842099999999999</v>
      </c>
      <c r="G191" s="19">
        <v>189.22739999999999</v>
      </c>
      <c r="H191" s="20">
        <v>44.134900000000002</v>
      </c>
      <c r="I191" s="21">
        <v>1267.7428</v>
      </c>
      <c r="J191" s="20">
        <v>11056.5895</v>
      </c>
      <c r="K191" s="20">
        <v>2900.9742999999999</v>
      </c>
    </row>
    <row r="192" spans="1:11" ht="15" customHeight="1" x14ac:dyDescent="0.25">
      <c r="A192" s="22" t="s">
        <v>155</v>
      </c>
      <c r="B192" s="23" t="s">
        <v>8</v>
      </c>
      <c r="C192" s="23" t="s">
        <v>9</v>
      </c>
      <c r="D192" s="24" t="s">
        <v>64</v>
      </c>
      <c r="E192" s="24" t="s">
        <v>156</v>
      </c>
      <c r="F192" s="18">
        <v>0.34189999999999998</v>
      </c>
      <c r="G192" s="19"/>
      <c r="H192" s="20"/>
      <c r="I192" s="21">
        <v>17.095199999999998</v>
      </c>
      <c r="J192" s="20"/>
      <c r="K192" s="20"/>
    </row>
    <row r="193" spans="1:11" ht="15" customHeight="1" x14ac:dyDescent="0.25">
      <c r="A193" s="22" t="s">
        <v>157</v>
      </c>
      <c r="B193" s="23" t="s">
        <v>8</v>
      </c>
      <c r="C193" s="23" t="s">
        <v>9</v>
      </c>
      <c r="D193" s="24" t="s">
        <v>30</v>
      </c>
      <c r="E193" s="24" t="s">
        <v>24</v>
      </c>
      <c r="F193" s="18"/>
      <c r="G193" s="19">
        <v>36.513300000000001</v>
      </c>
      <c r="H193" s="20">
        <v>9.9184000000000001</v>
      </c>
      <c r="I193" s="21"/>
      <c r="J193" s="20">
        <v>2225.7903999999999</v>
      </c>
      <c r="K193" s="20">
        <v>665.84569999999997</v>
      </c>
    </row>
    <row r="194" spans="1:11" ht="15" customHeight="1" x14ac:dyDescent="0.25">
      <c r="A194" s="22" t="s">
        <v>158</v>
      </c>
      <c r="B194" s="23" t="s">
        <v>8</v>
      </c>
      <c r="C194" s="23" t="s">
        <v>9</v>
      </c>
      <c r="D194" s="24" t="s">
        <v>30</v>
      </c>
      <c r="E194" s="24" t="s">
        <v>24</v>
      </c>
      <c r="F194" s="18"/>
      <c r="G194" s="19">
        <v>28.314</v>
      </c>
      <c r="H194" s="20">
        <v>9.1574000000000009</v>
      </c>
      <c r="I194" s="21"/>
      <c r="J194" s="20">
        <v>1712.6693</v>
      </c>
      <c r="K194" s="20">
        <v>592.38390000000004</v>
      </c>
    </row>
    <row r="195" spans="1:11" ht="15" customHeight="1" x14ac:dyDescent="0.25">
      <c r="A195" s="22" t="s">
        <v>159</v>
      </c>
      <c r="B195" s="23" t="s">
        <v>8</v>
      </c>
      <c r="C195" s="23" t="s">
        <v>9</v>
      </c>
      <c r="D195" s="24" t="s">
        <v>30</v>
      </c>
      <c r="E195" s="24" t="s">
        <v>24</v>
      </c>
      <c r="F195" s="18"/>
      <c r="G195" s="19">
        <v>24.999500000000001</v>
      </c>
      <c r="H195" s="20">
        <v>5.0659999999999998</v>
      </c>
      <c r="I195" s="21"/>
      <c r="J195" s="20">
        <v>1534.4268</v>
      </c>
      <c r="K195" s="20">
        <v>349.95659999999998</v>
      </c>
    </row>
    <row r="196" spans="1:11" ht="15" customHeight="1" x14ac:dyDescent="0.25">
      <c r="A196" s="22" t="s">
        <v>160</v>
      </c>
      <c r="B196" s="23" t="s">
        <v>8</v>
      </c>
      <c r="C196" s="23" t="s">
        <v>9</v>
      </c>
      <c r="D196" s="24" t="s">
        <v>20</v>
      </c>
      <c r="E196" s="24" t="s">
        <v>24</v>
      </c>
      <c r="F196" s="18">
        <v>25.1</v>
      </c>
      <c r="G196" s="19">
        <v>61.22</v>
      </c>
      <c r="H196" s="20">
        <v>8.9021000000000008</v>
      </c>
      <c r="I196" s="21">
        <v>1136.2986000000001</v>
      </c>
      <c r="J196" s="20">
        <v>3402.5661</v>
      </c>
      <c r="K196" s="20">
        <v>613.3809</v>
      </c>
    </row>
    <row r="197" spans="1:11" ht="15" customHeight="1" x14ac:dyDescent="0.25">
      <c r="A197" s="22" t="s">
        <v>161</v>
      </c>
      <c r="B197" s="23" t="s">
        <v>8</v>
      </c>
      <c r="C197" s="23" t="s">
        <v>9</v>
      </c>
      <c r="D197" s="24" t="s">
        <v>30</v>
      </c>
      <c r="E197" s="24" t="s">
        <v>24</v>
      </c>
      <c r="F197" s="18"/>
      <c r="G197" s="19">
        <v>18.822399999999998</v>
      </c>
      <c r="H197" s="20">
        <v>7.1738</v>
      </c>
      <c r="I197" s="21"/>
      <c r="J197" s="20">
        <v>1176.8929000000001</v>
      </c>
      <c r="K197" s="20">
        <v>487.85019999999997</v>
      </c>
    </row>
    <row r="198" spans="1:11" ht="15" customHeight="1" x14ac:dyDescent="0.25">
      <c r="A198" s="22" t="s">
        <v>162</v>
      </c>
      <c r="B198" s="23" t="s">
        <v>8</v>
      </c>
      <c r="C198" s="23" t="s">
        <v>9</v>
      </c>
      <c r="D198" s="24" t="s">
        <v>20</v>
      </c>
      <c r="E198" s="24" t="s">
        <v>26</v>
      </c>
      <c r="F198" s="18">
        <v>1.24</v>
      </c>
      <c r="G198" s="19">
        <v>2.9891000000000001</v>
      </c>
      <c r="H198" s="20">
        <v>0.81240000000000001</v>
      </c>
      <c r="I198" s="21">
        <v>69.486800000000002</v>
      </c>
      <c r="J198" s="20">
        <v>154.24979999999999</v>
      </c>
      <c r="K198" s="20">
        <v>41.637500000000003</v>
      </c>
    </row>
    <row r="199" spans="1:11" ht="15" customHeight="1" x14ac:dyDescent="0.25">
      <c r="A199" s="22" t="s">
        <v>163</v>
      </c>
      <c r="B199" s="23" t="s">
        <v>8</v>
      </c>
      <c r="C199" s="23" t="s">
        <v>9</v>
      </c>
      <c r="D199" s="24" t="s">
        <v>20</v>
      </c>
      <c r="E199" s="24" t="s">
        <v>103</v>
      </c>
      <c r="F199" s="18">
        <v>1.1599999999999999</v>
      </c>
      <c r="G199" s="19">
        <v>1.8923000000000001</v>
      </c>
      <c r="H199" s="20"/>
      <c r="I199" s="21">
        <v>44.862200000000001</v>
      </c>
      <c r="J199" s="20">
        <v>87.694800000000001</v>
      </c>
      <c r="K199" s="20"/>
    </row>
    <row r="200" spans="1:11" ht="15" customHeight="1" x14ac:dyDescent="0.25">
      <c r="A200" s="22" t="s">
        <v>820</v>
      </c>
      <c r="B200" s="23" t="s">
        <v>8</v>
      </c>
      <c r="C200" s="23" t="s">
        <v>9</v>
      </c>
      <c r="D200" s="24" t="s">
        <v>10</v>
      </c>
      <c r="E200" s="24" t="s">
        <v>68</v>
      </c>
      <c r="F200" s="18"/>
      <c r="G200" s="19">
        <v>14.477</v>
      </c>
      <c r="H200" s="20">
        <v>3.1046999999999998</v>
      </c>
      <c r="I200" s="21"/>
      <c r="J200" s="20">
        <v>762.29949999999997</v>
      </c>
      <c r="K200" s="20">
        <v>149.91970000000001</v>
      </c>
    </row>
    <row r="201" spans="1:11" ht="15" customHeight="1" x14ac:dyDescent="0.25">
      <c r="A201" s="14" t="s">
        <v>164</v>
      </c>
      <c r="B201" s="15" t="s">
        <v>6</v>
      </c>
      <c r="C201" s="16"/>
      <c r="D201" s="17"/>
      <c r="E201" s="17"/>
      <c r="F201" s="18">
        <v>0.25940000000000002</v>
      </c>
      <c r="G201" s="19">
        <v>52.957299999999996</v>
      </c>
      <c r="H201" s="20">
        <v>23.471399999999999</v>
      </c>
      <c r="I201" s="21">
        <v>15.5664</v>
      </c>
      <c r="J201" s="20">
        <v>2545.1428999999998</v>
      </c>
      <c r="K201" s="20">
        <v>1037.0354</v>
      </c>
    </row>
    <row r="202" spans="1:11" ht="15" customHeight="1" x14ac:dyDescent="0.25">
      <c r="A202" s="22" t="s">
        <v>165</v>
      </c>
      <c r="B202" s="23" t="s">
        <v>8</v>
      </c>
      <c r="C202" s="23" t="s">
        <v>9</v>
      </c>
      <c r="D202" s="24" t="s">
        <v>30</v>
      </c>
      <c r="E202" s="24" t="s">
        <v>24</v>
      </c>
      <c r="F202" s="18">
        <v>0.25940000000000002</v>
      </c>
      <c r="G202" s="19">
        <v>47.287300000000002</v>
      </c>
      <c r="H202" s="20">
        <v>13.3363</v>
      </c>
      <c r="I202" s="21">
        <v>15.5664</v>
      </c>
      <c r="J202" s="20">
        <v>2338.1842000000001</v>
      </c>
      <c r="K202" s="20">
        <v>671.9117</v>
      </c>
    </row>
    <row r="203" spans="1:11" ht="15" customHeight="1" x14ac:dyDescent="0.25">
      <c r="A203" s="22" t="s">
        <v>166</v>
      </c>
      <c r="B203" s="23" t="s">
        <v>8</v>
      </c>
      <c r="C203" s="23" t="s">
        <v>9</v>
      </c>
      <c r="D203" s="24" t="s">
        <v>30</v>
      </c>
      <c r="E203" s="24" t="s">
        <v>26</v>
      </c>
      <c r="F203" s="18"/>
      <c r="G203" s="19">
        <v>5.6702000000000004</v>
      </c>
      <c r="H203" s="20">
        <v>10.135199999999999</v>
      </c>
      <c r="I203" s="21"/>
      <c r="J203" s="20">
        <v>206.95869999999999</v>
      </c>
      <c r="K203" s="20">
        <v>365.12360000000001</v>
      </c>
    </row>
    <row r="204" spans="1:11" ht="14.25" customHeight="1" x14ac:dyDescent="0.25">
      <c r="A204" s="25" t="s">
        <v>739</v>
      </c>
      <c r="B204" s="4" t="s">
        <v>5</v>
      </c>
      <c r="C204" s="4"/>
      <c r="D204" s="5"/>
      <c r="E204" s="5"/>
      <c r="F204" s="10"/>
      <c r="G204" s="11">
        <v>170.6652</v>
      </c>
      <c r="H204" s="12">
        <v>101.533</v>
      </c>
      <c r="I204" s="13"/>
      <c r="J204" s="12">
        <v>10947.355799999999</v>
      </c>
      <c r="K204" s="12">
        <v>5713.8589000000002</v>
      </c>
    </row>
    <row r="205" spans="1:11" ht="15" customHeight="1" x14ac:dyDescent="0.25">
      <c r="A205" s="14" t="s">
        <v>868</v>
      </c>
      <c r="B205" s="15" t="s">
        <v>6</v>
      </c>
      <c r="C205" s="16"/>
      <c r="D205" s="17"/>
      <c r="E205" s="17"/>
      <c r="F205" s="18"/>
      <c r="G205" s="19">
        <v>170.6652</v>
      </c>
      <c r="H205" s="20">
        <v>101.533</v>
      </c>
      <c r="I205" s="21"/>
      <c r="J205" s="20">
        <v>10947.355799999999</v>
      </c>
      <c r="K205" s="20">
        <v>5713.8589000000002</v>
      </c>
    </row>
    <row r="206" spans="1:11" ht="15" customHeight="1" x14ac:dyDescent="0.25">
      <c r="A206" s="22" t="s">
        <v>167</v>
      </c>
      <c r="B206" s="23" t="s">
        <v>8</v>
      </c>
      <c r="C206" s="23" t="s">
        <v>9</v>
      </c>
      <c r="D206" s="24" t="s">
        <v>64</v>
      </c>
      <c r="E206" s="24" t="s">
        <v>24</v>
      </c>
      <c r="F206" s="18"/>
      <c r="G206" s="19">
        <v>82.250100000000003</v>
      </c>
      <c r="H206" s="20">
        <v>55.842500000000001</v>
      </c>
      <c r="I206" s="21"/>
      <c r="J206" s="20">
        <v>5284.8972000000003</v>
      </c>
      <c r="K206" s="20">
        <v>3137.2123999999999</v>
      </c>
    </row>
    <row r="207" spans="1:11" ht="15" customHeight="1" x14ac:dyDescent="0.25">
      <c r="A207" s="22" t="s">
        <v>168</v>
      </c>
      <c r="B207" s="23" t="s">
        <v>8</v>
      </c>
      <c r="C207" s="23" t="s">
        <v>9</v>
      </c>
      <c r="D207" s="24" t="s">
        <v>64</v>
      </c>
      <c r="E207" s="24" t="s">
        <v>24</v>
      </c>
      <c r="F207" s="18"/>
      <c r="G207" s="19">
        <v>88.414900000000003</v>
      </c>
      <c r="H207" s="20">
        <v>45.6905</v>
      </c>
      <c r="I207" s="21"/>
      <c r="J207" s="20">
        <v>5662.4585999999999</v>
      </c>
      <c r="K207" s="20">
        <v>2576.6464000000001</v>
      </c>
    </row>
    <row r="208" spans="1:11" ht="14.25" customHeight="1" x14ac:dyDescent="0.25">
      <c r="A208" s="25" t="s">
        <v>740</v>
      </c>
      <c r="B208" s="4" t="s">
        <v>5</v>
      </c>
      <c r="C208" s="4"/>
      <c r="D208" s="5"/>
      <c r="E208" s="5"/>
      <c r="F208" s="10">
        <v>0.24010000000000001</v>
      </c>
      <c r="G208" s="11"/>
      <c r="H208" s="12"/>
      <c r="I208" s="13">
        <v>10.8056</v>
      </c>
      <c r="J208" s="12"/>
      <c r="K208" s="12"/>
    </row>
    <row r="209" spans="1:11" ht="15" customHeight="1" x14ac:dyDescent="0.25">
      <c r="A209" s="14" t="s">
        <v>869</v>
      </c>
      <c r="B209" s="15" t="s">
        <v>6</v>
      </c>
      <c r="C209" s="16"/>
      <c r="D209" s="17"/>
      <c r="E209" s="17"/>
      <c r="F209" s="18">
        <v>0.24010000000000001</v>
      </c>
      <c r="G209" s="19"/>
      <c r="H209" s="20"/>
      <c r="I209" s="21">
        <v>10.8056</v>
      </c>
      <c r="J209" s="20"/>
      <c r="K209" s="20"/>
    </row>
    <row r="210" spans="1:11" ht="15" customHeight="1" x14ac:dyDescent="0.25">
      <c r="A210" s="22" t="s">
        <v>169</v>
      </c>
      <c r="B210" s="23" t="s">
        <v>8</v>
      </c>
      <c r="C210" s="23" t="s">
        <v>9</v>
      </c>
      <c r="D210" s="24" t="s">
        <v>20</v>
      </c>
      <c r="E210" s="24" t="s">
        <v>42</v>
      </c>
      <c r="F210" s="18">
        <v>0.24010000000000001</v>
      </c>
      <c r="G210" s="19"/>
      <c r="H210" s="20"/>
      <c r="I210" s="21">
        <v>10.8056</v>
      </c>
      <c r="J210" s="20"/>
      <c r="K210" s="20"/>
    </row>
    <row r="211" spans="1:11" ht="14.25" customHeight="1" x14ac:dyDescent="0.25">
      <c r="A211" s="25" t="s">
        <v>741</v>
      </c>
      <c r="B211" s="4" t="s">
        <v>5</v>
      </c>
      <c r="C211" s="4"/>
      <c r="D211" s="5"/>
      <c r="E211" s="5"/>
      <c r="F211" s="10">
        <v>8.6900999999999993</v>
      </c>
      <c r="G211" s="11">
        <v>1.1979</v>
      </c>
      <c r="H211" s="12">
        <v>0.1404</v>
      </c>
      <c r="I211" s="13">
        <v>161.07130000000001</v>
      </c>
      <c r="J211" s="12">
        <v>29.083500000000001</v>
      </c>
      <c r="K211" s="12">
        <v>1.4401999999999999</v>
      </c>
    </row>
    <row r="212" spans="1:11" ht="15" customHeight="1" x14ac:dyDescent="0.25">
      <c r="A212" s="14" t="s">
        <v>170</v>
      </c>
      <c r="B212" s="15" t="s">
        <v>6</v>
      </c>
      <c r="C212" s="16"/>
      <c r="D212" s="17"/>
      <c r="E212" s="17"/>
      <c r="F212" s="18">
        <v>8.6900999999999993</v>
      </c>
      <c r="G212" s="19">
        <v>1.1979</v>
      </c>
      <c r="H212" s="20">
        <v>0.1404</v>
      </c>
      <c r="I212" s="21">
        <v>161.07130000000001</v>
      </c>
      <c r="J212" s="20">
        <v>29.083500000000001</v>
      </c>
      <c r="K212" s="20">
        <v>1.4401999999999999</v>
      </c>
    </row>
    <row r="213" spans="1:11" ht="15" customHeight="1" x14ac:dyDescent="0.25">
      <c r="A213" s="22" t="s">
        <v>171</v>
      </c>
      <c r="B213" s="23" t="s">
        <v>8</v>
      </c>
      <c r="C213" s="23" t="s">
        <v>9</v>
      </c>
      <c r="D213" s="24" t="s">
        <v>30</v>
      </c>
      <c r="E213" s="24" t="s">
        <v>11</v>
      </c>
      <c r="F213" s="18">
        <v>8.8999999999999999E-3</v>
      </c>
      <c r="G213" s="19">
        <v>1.9E-3</v>
      </c>
      <c r="H213" s="20"/>
      <c r="I213" s="21">
        <v>0.1</v>
      </c>
      <c r="J213" s="20">
        <v>0.02</v>
      </c>
      <c r="K213" s="20"/>
    </row>
    <row r="214" spans="1:11" ht="15" customHeight="1" x14ac:dyDescent="0.25">
      <c r="A214" s="22" t="s">
        <v>172</v>
      </c>
      <c r="B214" s="23" t="s">
        <v>8</v>
      </c>
      <c r="C214" s="23" t="s">
        <v>9</v>
      </c>
      <c r="D214" s="24" t="s">
        <v>30</v>
      </c>
      <c r="E214" s="24" t="s">
        <v>11</v>
      </c>
      <c r="F214" s="18">
        <v>3.6436000000000002</v>
      </c>
      <c r="G214" s="19">
        <v>0.20610000000000001</v>
      </c>
      <c r="H214" s="20">
        <v>0.1404</v>
      </c>
      <c r="I214" s="21">
        <v>40.526699999999998</v>
      </c>
      <c r="J214" s="20">
        <v>2.1286999999999998</v>
      </c>
      <c r="K214" s="20">
        <v>1.4401999999999999</v>
      </c>
    </row>
    <row r="215" spans="1:11" ht="15" customHeight="1" x14ac:dyDescent="0.25">
      <c r="A215" s="22" t="s">
        <v>173</v>
      </c>
      <c r="B215" s="23" t="s">
        <v>8</v>
      </c>
      <c r="C215" s="23" t="s">
        <v>9</v>
      </c>
      <c r="D215" s="24" t="s">
        <v>30</v>
      </c>
      <c r="E215" s="24" t="s">
        <v>37</v>
      </c>
      <c r="F215" s="18">
        <v>4.9200000000000001E-2</v>
      </c>
      <c r="G215" s="19">
        <v>1.14E-2</v>
      </c>
      <c r="H215" s="20"/>
      <c r="I215" s="21">
        <v>3.4851000000000001</v>
      </c>
      <c r="J215" s="20">
        <v>0.25600000000000001</v>
      </c>
      <c r="K215" s="20"/>
    </row>
    <row r="216" spans="1:11" ht="15" customHeight="1" x14ac:dyDescent="0.25">
      <c r="A216" s="22" t="s">
        <v>174</v>
      </c>
      <c r="B216" s="23" t="s">
        <v>8</v>
      </c>
      <c r="C216" s="23" t="s">
        <v>9</v>
      </c>
      <c r="D216" s="24" t="s">
        <v>30</v>
      </c>
      <c r="E216" s="24" t="s">
        <v>37</v>
      </c>
      <c r="F216" s="18">
        <v>4.9882</v>
      </c>
      <c r="G216" s="19">
        <v>0.97860000000000003</v>
      </c>
      <c r="H216" s="20"/>
      <c r="I216" s="21">
        <v>116.9594</v>
      </c>
      <c r="J216" s="20">
        <v>26.678799999999999</v>
      </c>
      <c r="K216" s="20"/>
    </row>
    <row r="217" spans="1:11" ht="14.25" customHeight="1" x14ac:dyDescent="0.25">
      <c r="A217" s="25" t="s">
        <v>742</v>
      </c>
      <c r="B217" s="4" t="s">
        <v>5</v>
      </c>
      <c r="C217" s="4"/>
      <c r="D217" s="5"/>
      <c r="E217" s="5"/>
      <c r="F217" s="10">
        <v>15.6523</v>
      </c>
      <c r="G217" s="11">
        <v>38.264400000000002</v>
      </c>
      <c r="H217" s="12">
        <v>12.5626</v>
      </c>
      <c r="I217" s="13">
        <v>709.8646</v>
      </c>
      <c r="J217" s="12">
        <v>1422.4413</v>
      </c>
      <c r="K217" s="12">
        <v>440.17869999999999</v>
      </c>
    </row>
    <row r="218" spans="1:11" ht="15" customHeight="1" x14ac:dyDescent="0.25">
      <c r="A218" s="14" t="s">
        <v>870</v>
      </c>
      <c r="B218" s="15" t="s">
        <v>6</v>
      </c>
      <c r="C218" s="16"/>
      <c r="D218" s="17"/>
      <c r="E218" s="17"/>
      <c r="F218" s="18">
        <v>15.6523</v>
      </c>
      <c r="G218" s="19">
        <v>38.264400000000002</v>
      </c>
      <c r="H218" s="20">
        <v>12.5626</v>
      </c>
      <c r="I218" s="21">
        <v>709.8646</v>
      </c>
      <c r="J218" s="20">
        <v>1422.4413</v>
      </c>
      <c r="K218" s="20">
        <v>440.17869999999999</v>
      </c>
    </row>
    <row r="219" spans="1:11" ht="15" customHeight="1" x14ac:dyDescent="0.25">
      <c r="A219" s="22" t="s">
        <v>175</v>
      </c>
      <c r="B219" s="23" t="s">
        <v>8</v>
      </c>
      <c r="C219" s="23" t="s">
        <v>9</v>
      </c>
      <c r="D219" s="24" t="s">
        <v>30</v>
      </c>
      <c r="E219" s="24" t="s">
        <v>15</v>
      </c>
      <c r="F219" s="18"/>
      <c r="G219" s="19"/>
      <c r="H219" s="20">
        <v>0.16420000000000001</v>
      </c>
      <c r="I219" s="21"/>
      <c r="J219" s="20"/>
      <c r="K219" s="20">
        <v>5.0327000000000002</v>
      </c>
    </row>
    <row r="220" spans="1:11" ht="15" customHeight="1" x14ac:dyDescent="0.25">
      <c r="A220" s="22" t="s">
        <v>176</v>
      </c>
      <c r="B220" s="23" t="s">
        <v>8</v>
      </c>
      <c r="C220" s="23" t="s">
        <v>9</v>
      </c>
      <c r="D220" s="24" t="s">
        <v>30</v>
      </c>
      <c r="E220" s="24" t="s">
        <v>34</v>
      </c>
      <c r="F220" s="18">
        <v>2.3513000000000002</v>
      </c>
      <c r="G220" s="19">
        <v>13.7189</v>
      </c>
      <c r="H220" s="20">
        <v>5.1338999999999997</v>
      </c>
      <c r="I220" s="21">
        <v>93.938999999999993</v>
      </c>
      <c r="J220" s="20">
        <v>476.75330000000002</v>
      </c>
      <c r="K220" s="20">
        <v>161.36660000000001</v>
      </c>
    </row>
    <row r="221" spans="1:11" ht="15" customHeight="1" x14ac:dyDescent="0.25">
      <c r="A221" s="22" t="s">
        <v>177</v>
      </c>
      <c r="B221" s="23" t="s">
        <v>8</v>
      </c>
      <c r="C221" s="23" t="s">
        <v>9</v>
      </c>
      <c r="D221" s="24" t="s">
        <v>30</v>
      </c>
      <c r="E221" s="24" t="s">
        <v>99</v>
      </c>
      <c r="F221" s="18">
        <v>7.0484</v>
      </c>
      <c r="G221" s="19">
        <v>24.545400000000001</v>
      </c>
      <c r="H221" s="20">
        <v>7.2644000000000002</v>
      </c>
      <c r="I221" s="21">
        <v>315.70249999999999</v>
      </c>
      <c r="J221" s="20">
        <v>945.68759999999997</v>
      </c>
      <c r="K221" s="20">
        <v>273.77960000000002</v>
      </c>
    </row>
    <row r="222" spans="1:11" ht="15" customHeight="1" x14ac:dyDescent="0.25">
      <c r="A222" s="22" t="s">
        <v>178</v>
      </c>
      <c r="B222" s="23" t="s">
        <v>8</v>
      </c>
      <c r="C222" s="23" t="s">
        <v>9</v>
      </c>
      <c r="D222" s="24" t="s">
        <v>30</v>
      </c>
      <c r="E222" s="24" t="s">
        <v>99</v>
      </c>
      <c r="F222" s="18">
        <v>6.2529000000000003</v>
      </c>
      <c r="G222" s="19"/>
      <c r="H222" s="20"/>
      <c r="I222" s="21">
        <v>300.22300000000001</v>
      </c>
      <c r="J222" s="20"/>
      <c r="K222" s="20"/>
    </row>
    <row r="223" spans="1:11" ht="14.25" customHeight="1" x14ac:dyDescent="0.25">
      <c r="A223" s="25" t="s">
        <v>743</v>
      </c>
      <c r="B223" s="4" t="s">
        <v>5</v>
      </c>
      <c r="C223" s="4"/>
      <c r="D223" s="5"/>
      <c r="E223" s="5"/>
      <c r="F223" s="10">
        <v>9.2643000000000004</v>
      </c>
      <c r="G223" s="11">
        <v>0.1729</v>
      </c>
      <c r="H223" s="12">
        <v>3.0000000000000001E-3</v>
      </c>
      <c r="I223" s="13">
        <v>358.95979999999997</v>
      </c>
      <c r="J223" s="12">
        <v>4.9572000000000003</v>
      </c>
      <c r="K223" s="12">
        <v>7.1999999999999995E-2</v>
      </c>
    </row>
    <row r="224" spans="1:11" ht="15" customHeight="1" x14ac:dyDescent="0.25">
      <c r="A224" s="14" t="s">
        <v>179</v>
      </c>
      <c r="B224" s="15" t="s">
        <v>6</v>
      </c>
      <c r="C224" s="16"/>
      <c r="D224" s="17"/>
      <c r="E224" s="17"/>
      <c r="F224" s="18">
        <v>9.2643000000000004</v>
      </c>
      <c r="G224" s="19">
        <v>0.1729</v>
      </c>
      <c r="H224" s="20">
        <v>3.0000000000000001E-3</v>
      </c>
      <c r="I224" s="21">
        <v>358.95979999999997</v>
      </c>
      <c r="J224" s="20">
        <v>4.9572000000000003</v>
      </c>
      <c r="K224" s="20">
        <v>7.1999999999999995E-2</v>
      </c>
    </row>
    <row r="225" spans="1:11" ht="15" customHeight="1" x14ac:dyDescent="0.25">
      <c r="A225" s="22" t="s">
        <v>180</v>
      </c>
      <c r="B225" s="23" t="s">
        <v>8</v>
      </c>
      <c r="C225" s="23" t="s">
        <v>9</v>
      </c>
      <c r="D225" s="24" t="s">
        <v>20</v>
      </c>
      <c r="E225" s="24" t="s">
        <v>42</v>
      </c>
      <c r="F225" s="18">
        <v>1.6668000000000001</v>
      </c>
      <c r="G225" s="19">
        <v>3.7600000000000001E-2</v>
      </c>
      <c r="H225" s="20"/>
      <c r="I225" s="21">
        <v>75.837299999999999</v>
      </c>
      <c r="J225" s="20">
        <v>1.6555</v>
      </c>
      <c r="K225" s="20"/>
    </row>
    <row r="226" spans="1:11" ht="15" customHeight="1" x14ac:dyDescent="0.25">
      <c r="A226" s="22" t="s">
        <v>181</v>
      </c>
      <c r="B226" s="23" t="s">
        <v>8</v>
      </c>
      <c r="C226" s="23" t="s">
        <v>9</v>
      </c>
      <c r="D226" s="24" t="s">
        <v>20</v>
      </c>
      <c r="E226" s="24" t="s">
        <v>42</v>
      </c>
      <c r="F226" s="18">
        <v>7.5975000000000001</v>
      </c>
      <c r="G226" s="19">
        <v>0.1353</v>
      </c>
      <c r="H226" s="20">
        <v>3.0000000000000001E-3</v>
      </c>
      <c r="I226" s="21">
        <v>283.12259999999998</v>
      </c>
      <c r="J226" s="20">
        <v>3.3016999999999999</v>
      </c>
      <c r="K226" s="20">
        <v>7.1999999999999995E-2</v>
      </c>
    </row>
    <row r="227" spans="1:11" ht="14.25" customHeight="1" x14ac:dyDescent="0.25">
      <c r="A227" s="25" t="s">
        <v>744</v>
      </c>
      <c r="B227" s="4" t="s">
        <v>5</v>
      </c>
      <c r="C227" s="4"/>
      <c r="D227" s="5"/>
      <c r="E227" s="5"/>
      <c r="F227" s="10">
        <v>1012.9229</v>
      </c>
      <c r="G227" s="11">
        <v>822.98099999999999</v>
      </c>
      <c r="H227" s="12">
        <v>367.98759999999999</v>
      </c>
      <c r="I227" s="13">
        <v>57405.585500000001</v>
      </c>
      <c r="J227" s="12">
        <v>44546.773000000001</v>
      </c>
      <c r="K227" s="12">
        <v>18766.233499999998</v>
      </c>
    </row>
    <row r="228" spans="1:11" ht="15" customHeight="1" x14ac:dyDescent="0.25">
      <c r="A228" s="14" t="s">
        <v>182</v>
      </c>
      <c r="B228" s="15" t="s">
        <v>6</v>
      </c>
      <c r="C228" s="16"/>
      <c r="D228" s="17"/>
      <c r="E228" s="17"/>
      <c r="F228" s="18">
        <v>2.5741999999999998</v>
      </c>
      <c r="G228" s="19">
        <v>0.58250000000000002</v>
      </c>
      <c r="H228" s="20">
        <v>9.0300000000000005E-2</v>
      </c>
      <c r="I228" s="21">
        <v>138.52269999999999</v>
      </c>
      <c r="J228" s="20">
        <v>28.354600000000001</v>
      </c>
      <c r="K228" s="20">
        <v>3.9451999999999998</v>
      </c>
    </row>
    <row r="229" spans="1:11" ht="15" customHeight="1" x14ac:dyDescent="0.25">
      <c r="A229" s="22" t="s">
        <v>183</v>
      </c>
      <c r="B229" s="23" t="s">
        <v>8</v>
      </c>
      <c r="C229" s="23" t="s">
        <v>9</v>
      </c>
      <c r="D229" s="24" t="s">
        <v>30</v>
      </c>
      <c r="E229" s="24" t="s">
        <v>42</v>
      </c>
      <c r="F229" s="18">
        <v>2.5741999999999998</v>
      </c>
      <c r="G229" s="19">
        <v>0.57930000000000004</v>
      </c>
      <c r="H229" s="20">
        <v>9.0300000000000005E-2</v>
      </c>
      <c r="I229" s="21">
        <v>138.52269999999999</v>
      </c>
      <c r="J229" s="20">
        <v>28.2058</v>
      </c>
      <c r="K229" s="20">
        <v>3.9451999999999998</v>
      </c>
    </row>
    <row r="230" spans="1:11" ht="15" customHeight="1" x14ac:dyDescent="0.25">
      <c r="A230" s="22" t="s">
        <v>184</v>
      </c>
      <c r="B230" s="23" t="s">
        <v>8</v>
      </c>
      <c r="C230" s="23" t="s">
        <v>9</v>
      </c>
      <c r="D230" s="24" t="s">
        <v>10</v>
      </c>
      <c r="E230" s="24" t="s">
        <v>42</v>
      </c>
      <c r="F230" s="18"/>
      <c r="G230" s="19">
        <v>3.2000000000000002E-3</v>
      </c>
      <c r="H230" s="20"/>
      <c r="I230" s="21"/>
      <c r="J230" s="20">
        <v>0.14879999999999999</v>
      </c>
      <c r="K230" s="20"/>
    </row>
    <row r="231" spans="1:11" ht="15" customHeight="1" x14ac:dyDescent="0.25">
      <c r="A231" s="14" t="s">
        <v>185</v>
      </c>
      <c r="B231" s="15" t="s">
        <v>6</v>
      </c>
      <c r="C231" s="16"/>
      <c r="D231" s="17"/>
      <c r="E231" s="17"/>
      <c r="F231" s="18">
        <v>30.201799999999999</v>
      </c>
      <c r="G231" s="19">
        <v>8.3574999999999999</v>
      </c>
      <c r="H231" s="20">
        <v>2.2814000000000001</v>
      </c>
      <c r="I231" s="21">
        <v>1834.3515</v>
      </c>
      <c r="J231" s="20">
        <v>456.8947</v>
      </c>
      <c r="K231" s="20">
        <v>133.4556</v>
      </c>
    </row>
    <row r="232" spans="1:11" ht="15" customHeight="1" x14ac:dyDescent="0.25">
      <c r="A232" s="22" t="s">
        <v>186</v>
      </c>
      <c r="B232" s="23" t="s">
        <v>8</v>
      </c>
      <c r="C232" s="23" t="s">
        <v>9</v>
      </c>
      <c r="D232" s="24" t="s">
        <v>20</v>
      </c>
      <c r="E232" s="24" t="s">
        <v>24</v>
      </c>
      <c r="F232" s="18">
        <v>29.782299999999999</v>
      </c>
      <c r="G232" s="19">
        <v>8.0821000000000005</v>
      </c>
      <c r="H232" s="20">
        <v>2.2058</v>
      </c>
      <c r="I232" s="21">
        <v>1812.3146999999999</v>
      </c>
      <c r="J232" s="20">
        <v>442.9864</v>
      </c>
      <c r="K232" s="20">
        <v>129.73259999999999</v>
      </c>
    </row>
    <row r="233" spans="1:11" ht="15" customHeight="1" x14ac:dyDescent="0.25">
      <c r="A233" s="22" t="s">
        <v>187</v>
      </c>
      <c r="B233" s="23" t="s">
        <v>8</v>
      </c>
      <c r="C233" s="23" t="s">
        <v>9</v>
      </c>
      <c r="D233" s="24" t="s">
        <v>10</v>
      </c>
      <c r="E233" s="24" t="s">
        <v>37</v>
      </c>
      <c r="F233" s="18">
        <v>0.4194</v>
      </c>
      <c r="G233" s="19">
        <v>0.27539999999999998</v>
      </c>
      <c r="H233" s="20">
        <v>7.5600000000000001E-2</v>
      </c>
      <c r="I233" s="21">
        <v>22.036999999999999</v>
      </c>
      <c r="J233" s="20">
        <v>13.908200000000001</v>
      </c>
      <c r="K233" s="20">
        <v>3.7229000000000001</v>
      </c>
    </row>
    <row r="234" spans="1:11" ht="15" customHeight="1" x14ac:dyDescent="0.25">
      <c r="A234" s="22" t="s">
        <v>188</v>
      </c>
      <c r="B234" s="23" t="s">
        <v>8</v>
      </c>
      <c r="C234" s="23" t="s">
        <v>9</v>
      </c>
      <c r="D234" s="24" t="s">
        <v>10</v>
      </c>
      <c r="E234" s="24" t="s">
        <v>37</v>
      </c>
      <c r="F234" s="18"/>
      <c r="G234" s="19"/>
      <c r="H234" s="20"/>
      <c r="I234" s="21"/>
      <c r="J234" s="20"/>
      <c r="K234" s="20"/>
    </row>
    <row r="235" spans="1:11" ht="15" customHeight="1" x14ac:dyDescent="0.25">
      <c r="A235" s="14" t="s">
        <v>189</v>
      </c>
      <c r="B235" s="15" t="s">
        <v>6</v>
      </c>
      <c r="C235" s="16"/>
      <c r="D235" s="17"/>
      <c r="E235" s="17"/>
      <c r="F235" s="18">
        <v>447.58159999999998</v>
      </c>
      <c r="G235" s="19">
        <v>351.95119999999997</v>
      </c>
      <c r="H235" s="20">
        <v>140.74770000000001</v>
      </c>
      <c r="I235" s="21">
        <v>23420.140299999999</v>
      </c>
      <c r="J235" s="20">
        <v>17186.2664</v>
      </c>
      <c r="K235" s="20">
        <v>6668.4120999999996</v>
      </c>
    </row>
    <row r="236" spans="1:11" ht="15" customHeight="1" x14ac:dyDescent="0.25">
      <c r="A236" s="22" t="s">
        <v>190</v>
      </c>
      <c r="B236" s="23" t="s">
        <v>8</v>
      </c>
      <c r="C236" s="23" t="s">
        <v>9</v>
      </c>
      <c r="D236" s="24" t="s">
        <v>20</v>
      </c>
      <c r="E236" s="24" t="s">
        <v>21</v>
      </c>
      <c r="F236" s="18"/>
      <c r="G236" s="19"/>
      <c r="H236" s="20"/>
      <c r="I236" s="21"/>
      <c r="J236" s="20"/>
      <c r="K236" s="20"/>
    </row>
    <row r="237" spans="1:11" ht="15" customHeight="1" x14ac:dyDescent="0.25">
      <c r="A237" s="22" t="s">
        <v>191</v>
      </c>
      <c r="B237" s="23" t="s">
        <v>8</v>
      </c>
      <c r="C237" s="23" t="s">
        <v>9</v>
      </c>
      <c r="D237" s="24" t="s">
        <v>20</v>
      </c>
      <c r="E237" s="24" t="s">
        <v>24</v>
      </c>
      <c r="F237" s="18">
        <v>393.93759999999997</v>
      </c>
      <c r="G237" s="19">
        <v>316.5532</v>
      </c>
      <c r="H237" s="20">
        <v>120.4361</v>
      </c>
      <c r="I237" s="21">
        <v>20334.628400000001</v>
      </c>
      <c r="J237" s="20">
        <v>15456.115599999999</v>
      </c>
      <c r="K237" s="20">
        <v>5660.8364000000001</v>
      </c>
    </row>
    <row r="238" spans="1:11" ht="15" customHeight="1" x14ac:dyDescent="0.25">
      <c r="A238" s="22" t="s">
        <v>192</v>
      </c>
      <c r="B238" s="23" t="s">
        <v>8</v>
      </c>
      <c r="C238" s="23" t="s">
        <v>9</v>
      </c>
      <c r="D238" s="24" t="s">
        <v>20</v>
      </c>
      <c r="E238" s="24" t="s">
        <v>42</v>
      </c>
      <c r="F238" s="18">
        <v>11.008699999999999</v>
      </c>
      <c r="G238" s="19"/>
      <c r="H238" s="20"/>
      <c r="I238" s="21">
        <v>653.37990000000002</v>
      </c>
      <c r="J238" s="20"/>
      <c r="K238" s="20"/>
    </row>
    <row r="239" spans="1:11" ht="15" customHeight="1" x14ac:dyDescent="0.25">
      <c r="A239" s="22" t="s">
        <v>193</v>
      </c>
      <c r="B239" s="23" t="s">
        <v>8</v>
      </c>
      <c r="C239" s="23" t="s">
        <v>9</v>
      </c>
      <c r="D239" s="24" t="s">
        <v>20</v>
      </c>
      <c r="E239" s="24" t="s">
        <v>42</v>
      </c>
      <c r="F239" s="18">
        <v>6.3380999999999998</v>
      </c>
      <c r="G239" s="19">
        <v>2.2010000000000001</v>
      </c>
      <c r="H239" s="20">
        <v>4.9340999999999999</v>
      </c>
      <c r="I239" s="21">
        <v>360.70839999999998</v>
      </c>
      <c r="J239" s="20">
        <v>122.7465</v>
      </c>
      <c r="K239" s="20">
        <v>260.16239999999999</v>
      </c>
    </row>
    <row r="240" spans="1:11" ht="15" customHeight="1" x14ac:dyDescent="0.25">
      <c r="A240" s="22" t="s">
        <v>194</v>
      </c>
      <c r="B240" s="23" t="s">
        <v>8</v>
      </c>
      <c r="C240" s="23" t="s">
        <v>9</v>
      </c>
      <c r="D240" s="24" t="s">
        <v>20</v>
      </c>
      <c r="E240" s="24" t="s">
        <v>42</v>
      </c>
      <c r="F240" s="18">
        <v>17.2865</v>
      </c>
      <c r="G240" s="19">
        <v>3.1953</v>
      </c>
      <c r="H240" s="20"/>
      <c r="I240" s="21">
        <v>1104.6166000000001</v>
      </c>
      <c r="J240" s="20">
        <v>157.0744</v>
      </c>
      <c r="K240" s="20"/>
    </row>
    <row r="241" spans="1:11" ht="15" customHeight="1" x14ac:dyDescent="0.25">
      <c r="A241" s="22" t="s">
        <v>195</v>
      </c>
      <c r="B241" s="23" t="s">
        <v>8</v>
      </c>
      <c r="C241" s="23" t="s">
        <v>9</v>
      </c>
      <c r="D241" s="24" t="s">
        <v>10</v>
      </c>
      <c r="E241" s="24" t="s">
        <v>42</v>
      </c>
      <c r="F241" s="18">
        <v>8.3360000000000003</v>
      </c>
      <c r="G241" s="19">
        <v>4.1882999999999999</v>
      </c>
      <c r="H241" s="20">
        <v>0.16869999999999999</v>
      </c>
      <c r="I241" s="21">
        <v>355.34039999999999</v>
      </c>
      <c r="J241" s="20">
        <v>181.6489</v>
      </c>
      <c r="K241" s="20">
        <v>7.0335999999999999</v>
      </c>
    </row>
    <row r="242" spans="1:11" ht="15" customHeight="1" x14ac:dyDescent="0.25">
      <c r="A242" s="22" t="s">
        <v>196</v>
      </c>
      <c r="B242" s="23" t="s">
        <v>8</v>
      </c>
      <c r="C242" s="23" t="s">
        <v>9</v>
      </c>
      <c r="D242" s="24" t="s">
        <v>30</v>
      </c>
      <c r="E242" s="24" t="s">
        <v>42</v>
      </c>
      <c r="F242" s="18">
        <v>10.51</v>
      </c>
      <c r="G242" s="19">
        <v>23.858699999999999</v>
      </c>
      <c r="H242" s="20">
        <v>12.9741</v>
      </c>
      <c r="I242" s="21">
        <v>602.08569999999997</v>
      </c>
      <c r="J242" s="20">
        <v>1188.0914</v>
      </c>
      <c r="K242" s="20">
        <v>658.29200000000003</v>
      </c>
    </row>
    <row r="243" spans="1:11" ht="15" customHeight="1" x14ac:dyDescent="0.25">
      <c r="A243" s="22" t="s">
        <v>197</v>
      </c>
      <c r="B243" s="23" t="s">
        <v>8</v>
      </c>
      <c r="C243" s="23" t="s">
        <v>9</v>
      </c>
      <c r="D243" s="24" t="s">
        <v>20</v>
      </c>
      <c r="E243" s="24" t="s">
        <v>42</v>
      </c>
      <c r="F243" s="18">
        <v>0.1246</v>
      </c>
      <c r="G243" s="19"/>
      <c r="H243" s="20">
        <v>4.1500000000000002E-2</v>
      </c>
      <c r="I243" s="21">
        <v>7.4763999999999999</v>
      </c>
      <c r="J243" s="20"/>
      <c r="K243" s="20">
        <v>3.0169000000000001</v>
      </c>
    </row>
    <row r="244" spans="1:11" ht="15" customHeight="1" x14ac:dyDescent="0.25">
      <c r="A244" s="22" t="s">
        <v>198</v>
      </c>
      <c r="B244" s="23" t="s">
        <v>8</v>
      </c>
      <c r="C244" s="23" t="s">
        <v>9</v>
      </c>
      <c r="D244" s="24" t="s">
        <v>20</v>
      </c>
      <c r="E244" s="24" t="s">
        <v>68</v>
      </c>
      <c r="F244" s="18"/>
      <c r="G244" s="19">
        <v>1.9545999999999999</v>
      </c>
      <c r="H244" s="20">
        <v>2.1882000000000001</v>
      </c>
      <c r="I244" s="21"/>
      <c r="J244" s="20">
        <v>80.589100000000002</v>
      </c>
      <c r="K244" s="20">
        <v>78.875</v>
      </c>
    </row>
    <row r="245" spans="1:11" ht="15" customHeight="1" x14ac:dyDescent="0.25">
      <c r="A245" s="22" t="s">
        <v>199</v>
      </c>
      <c r="B245" s="23" t="s">
        <v>8</v>
      </c>
      <c r="C245" s="23" t="s">
        <v>9</v>
      </c>
      <c r="D245" s="24" t="s">
        <v>64</v>
      </c>
      <c r="E245" s="24" t="s">
        <v>68</v>
      </c>
      <c r="F245" s="18">
        <v>4.02E-2</v>
      </c>
      <c r="G245" s="19"/>
      <c r="H245" s="20">
        <v>5.1000000000000004E-3</v>
      </c>
      <c r="I245" s="21">
        <v>1.9040999999999999</v>
      </c>
      <c r="J245" s="20"/>
      <c r="K245" s="20">
        <v>0.1958</v>
      </c>
    </row>
    <row r="246" spans="1:11" ht="15" customHeight="1" x14ac:dyDescent="0.25">
      <c r="A246" s="14" t="s">
        <v>200</v>
      </c>
      <c r="B246" s="15" t="s">
        <v>6</v>
      </c>
      <c r="C246" s="16"/>
      <c r="D246" s="17"/>
      <c r="E246" s="17"/>
      <c r="F246" s="18"/>
      <c r="G246" s="19">
        <v>6.88E-2</v>
      </c>
      <c r="H246" s="20">
        <v>1.5603</v>
      </c>
      <c r="I246" s="21"/>
      <c r="J246" s="20">
        <v>2.9011</v>
      </c>
      <c r="K246" s="20">
        <v>56.070300000000003</v>
      </c>
    </row>
    <row r="247" spans="1:11" ht="15" customHeight="1" x14ac:dyDescent="0.25">
      <c r="A247" s="22" t="s">
        <v>201</v>
      </c>
      <c r="B247" s="23" t="s">
        <v>8</v>
      </c>
      <c r="C247" s="23" t="s">
        <v>9</v>
      </c>
      <c r="D247" s="24" t="s">
        <v>20</v>
      </c>
      <c r="E247" s="24" t="s">
        <v>21</v>
      </c>
      <c r="F247" s="18"/>
      <c r="G247" s="19">
        <v>6.88E-2</v>
      </c>
      <c r="H247" s="20">
        <v>1.5603</v>
      </c>
      <c r="I247" s="21"/>
      <c r="J247" s="20">
        <v>2.9011</v>
      </c>
      <c r="K247" s="20">
        <v>56.070300000000003</v>
      </c>
    </row>
    <row r="248" spans="1:11" ht="15" customHeight="1" x14ac:dyDescent="0.25">
      <c r="A248" s="14" t="s">
        <v>202</v>
      </c>
      <c r="B248" s="15" t="s">
        <v>6</v>
      </c>
      <c r="C248" s="16"/>
      <c r="D248" s="17"/>
      <c r="E248" s="17"/>
      <c r="F248" s="18">
        <v>225.05289999999999</v>
      </c>
      <c r="G248" s="19">
        <v>160.9256</v>
      </c>
      <c r="H248" s="20">
        <v>66.089799999999997</v>
      </c>
      <c r="I248" s="21">
        <v>14096.87</v>
      </c>
      <c r="J248" s="20">
        <v>9843.2201000000005</v>
      </c>
      <c r="K248" s="20">
        <v>3643.3836000000001</v>
      </c>
    </row>
    <row r="249" spans="1:11" ht="15" customHeight="1" x14ac:dyDescent="0.25">
      <c r="A249" s="22" t="s">
        <v>203</v>
      </c>
      <c r="B249" s="23" t="s">
        <v>8</v>
      </c>
      <c r="C249" s="23" t="s">
        <v>9</v>
      </c>
      <c r="D249" s="24" t="s">
        <v>20</v>
      </c>
      <c r="E249" s="24" t="s">
        <v>42</v>
      </c>
      <c r="F249" s="18">
        <v>225.05289999999999</v>
      </c>
      <c r="G249" s="19">
        <v>160.9256</v>
      </c>
      <c r="H249" s="20">
        <v>66.089799999999997</v>
      </c>
      <c r="I249" s="21">
        <v>14096.87</v>
      </c>
      <c r="J249" s="20">
        <v>9843.2201000000005</v>
      </c>
      <c r="K249" s="20">
        <v>3643.3836000000001</v>
      </c>
    </row>
    <row r="250" spans="1:11" ht="15" customHeight="1" x14ac:dyDescent="0.25">
      <c r="A250" s="14" t="s">
        <v>204</v>
      </c>
      <c r="B250" s="15" t="s">
        <v>6</v>
      </c>
      <c r="C250" s="16"/>
      <c r="D250" s="17"/>
      <c r="E250" s="17"/>
      <c r="F250" s="18">
        <v>27.677700000000002</v>
      </c>
      <c r="G250" s="19">
        <v>22.1416</v>
      </c>
      <c r="H250" s="20">
        <v>9.0610999999999997</v>
      </c>
      <c r="I250" s="21">
        <v>1974.3932</v>
      </c>
      <c r="J250" s="20">
        <v>1482.2675999999999</v>
      </c>
      <c r="K250" s="20">
        <v>601.1807</v>
      </c>
    </row>
    <row r="251" spans="1:11" ht="15" customHeight="1" x14ac:dyDescent="0.25">
      <c r="A251" s="22" t="s">
        <v>205</v>
      </c>
      <c r="B251" s="23" t="s">
        <v>8</v>
      </c>
      <c r="C251" s="23" t="s">
        <v>9</v>
      </c>
      <c r="D251" s="24" t="s">
        <v>30</v>
      </c>
      <c r="E251" s="24" t="s">
        <v>42</v>
      </c>
      <c r="F251" s="18">
        <v>27.677700000000002</v>
      </c>
      <c r="G251" s="19">
        <v>22.1416</v>
      </c>
      <c r="H251" s="20">
        <v>9.0610999999999997</v>
      </c>
      <c r="I251" s="21">
        <v>1974.3932</v>
      </c>
      <c r="J251" s="20">
        <v>1482.2675999999999</v>
      </c>
      <c r="K251" s="20">
        <v>601.1807</v>
      </c>
    </row>
    <row r="252" spans="1:11" ht="15" customHeight="1" x14ac:dyDescent="0.25">
      <c r="A252" s="14" t="s">
        <v>206</v>
      </c>
      <c r="B252" s="15" t="s">
        <v>6</v>
      </c>
      <c r="C252" s="16"/>
      <c r="D252" s="17"/>
      <c r="E252" s="17"/>
      <c r="F252" s="18"/>
      <c r="G252" s="19"/>
      <c r="H252" s="20"/>
      <c r="I252" s="21"/>
      <c r="J252" s="20"/>
      <c r="K252" s="20"/>
    </row>
    <row r="253" spans="1:11" ht="15" customHeight="1" x14ac:dyDescent="0.25">
      <c r="A253" s="22" t="s">
        <v>821</v>
      </c>
      <c r="B253" s="23" t="s">
        <v>8</v>
      </c>
      <c r="C253" s="23" t="s">
        <v>9</v>
      </c>
      <c r="D253" s="24" t="s">
        <v>30</v>
      </c>
      <c r="E253" s="24" t="s">
        <v>42</v>
      </c>
      <c r="F253" s="18"/>
      <c r="G253" s="19"/>
      <c r="H253" s="20"/>
      <c r="I253" s="21"/>
      <c r="J253" s="20"/>
      <c r="K253" s="20"/>
    </row>
    <row r="254" spans="1:11" ht="15" customHeight="1" x14ac:dyDescent="0.25">
      <c r="A254" s="14" t="s">
        <v>207</v>
      </c>
      <c r="B254" s="15" t="s">
        <v>6</v>
      </c>
      <c r="C254" s="16"/>
      <c r="D254" s="17"/>
      <c r="E254" s="17"/>
      <c r="F254" s="18">
        <v>138.01410000000001</v>
      </c>
      <c r="G254" s="19">
        <v>157.21960000000001</v>
      </c>
      <c r="H254" s="20">
        <v>81.463999999999999</v>
      </c>
      <c r="I254" s="21">
        <v>7869.3761999999997</v>
      </c>
      <c r="J254" s="20">
        <v>8660.3381000000008</v>
      </c>
      <c r="K254" s="20">
        <v>4114.0384000000004</v>
      </c>
    </row>
    <row r="255" spans="1:11" ht="15" customHeight="1" x14ac:dyDescent="0.25">
      <c r="A255" s="22" t="s">
        <v>208</v>
      </c>
      <c r="B255" s="23" t="s">
        <v>8</v>
      </c>
      <c r="C255" s="23" t="s">
        <v>9</v>
      </c>
      <c r="D255" s="24" t="s">
        <v>30</v>
      </c>
      <c r="E255" s="24" t="s">
        <v>24</v>
      </c>
      <c r="F255" s="18">
        <v>41.221899999999998</v>
      </c>
      <c r="G255" s="19">
        <v>44.201300000000003</v>
      </c>
      <c r="H255" s="20">
        <v>20.616900000000001</v>
      </c>
      <c r="I255" s="21">
        <v>1922.9742000000001</v>
      </c>
      <c r="J255" s="20">
        <v>2020.3897999999999</v>
      </c>
      <c r="K255" s="20">
        <v>923.72320000000002</v>
      </c>
    </row>
    <row r="256" spans="1:11" ht="15" customHeight="1" x14ac:dyDescent="0.25">
      <c r="A256" s="22" t="s">
        <v>209</v>
      </c>
      <c r="B256" s="23" t="s">
        <v>8</v>
      </c>
      <c r="C256" s="23" t="s">
        <v>9</v>
      </c>
      <c r="D256" s="24" t="s">
        <v>30</v>
      </c>
      <c r="E256" s="24" t="s">
        <v>24</v>
      </c>
      <c r="F256" s="18">
        <v>41.486600000000003</v>
      </c>
      <c r="G256" s="19">
        <v>73.395700000000005</v>
      </c>
      <c r="H256" s="20">
        <v>40.033299999999997</v>
      </c>
      <c r="I256" s="21">
        <v>2454.0007999999998</v>
      </c>
      <c r="J256" s="20">
        <v>4307.1679999999997</v>
      </c>
      <c r="K256" s="20">
        <v>2180.9749000000002</v>
      </c>
    </row>
    <row r="257" spans="1:11" ht="15" customHeight="1" x14ac:dyDescent="0.25">
      <c r="A257" s="22" t="s">
        <v>210</v>
      </c>
      <c r="B257" s="23" t="s">
        <v>8</v>
      </c>
      <c r="C257" s="23" t="s">
        <v>9</v>
      </c>
      <c r="D257" s="24" t="s">
        <v>30</v>
      </c>
      <c r="E257" s="24" t="s">
        <v>42</v>
      </c>
      <c r="F257" s="18"/>
      <c r="G257" s="19"/>
      <c r="H257" s="20">
        <v>0.36020000000000002</v>
      </c>
      <c r="I257" s="21"/>
      <c r="J257" s="20"/>
      <c r="K257" s="20">
        <v>18.523700000000002</v>
      </c>
    </row>
    <row r="258" spans="1:11" ht="15" customHeight="1" x14ac:dyDescent="0.25">
      <c r="A258" s="22" t="s">
        <v>211</v>
      </c>
      <c r="B258" s="23" t="s">
        <v>8</v>
      </c>
      <c r="C258" s="23" t="s">
        <v>9</v>
      </c>
      <c r="D258" s="24" t="s">
        <v>10</v>
      </c>
      <c r="E258" s="24" t="s">
        <v>42</v>
      </c>
      <c r="F258" s="18">
        <v>50.296300000000002</v>
      </c>
      <c r="G258" s="19">
        <v>34.107599999999998</v>
      </c>
      <c r="H258" s="20">
        <v>15.9543</v>
      </c>
      <c r="I258" s="21">
        <v>3350.8564000000001</v>
      </c>
      <c r="J258" s="20">
        <v>2178.5326</v>
      </c>
      <c r="K258" s="20">
        <v>866.22</v>
      </c>
    </row>
    <row r="259" spans="1:11" ht="15" customHeight="1" x14ac:dyDescent="0.25">
      <c r="A259" s="22" t="s">
        <v>212</v>
      </c>
      <c r="B259" s="23" t="s">
        <v>8</v>
      </c>
      <c r="C259" s="23" t="s">
        <v>9</v>
      </c>
      <c r="D259" s="24" t="s">
        <v>10</v>
      </c>
      <c r="E259" s="24" t="s">
        <v>42</v>
      </c>
      <c r="F259" s="18">
        <v>5.0095999999999998</v>
      </c>
      <c r="G259" s="19">
        <v>5.5152000000000001</v>
      </c>
      <c r="H259" s="20">
        <v>4.4993999999999996</v>
      </c>
      <c r="I259" s="21">
        <v>141.5444</v>
      </c>
      <c r="J259" s="20">
        <v>154.2473</v>
      </c>
      <c r="K259" s="20">
        <v>124.59650000000001</v>
      </c>
    </row>
    <row r="260" spans="1:11" ht="15" customHeight="1" x14ac:dyDescent="0.25">
      <c r="A260" s="14" t="s">
        <v>213</v>
      </c>
      <c r="B260" s="15" t="s">
        <v>6</v>
      </c>
      <c r="C260" s="16"/>
      <c r="D260" s="17"/>
      <c r="E260" s="17"/>
      <c r="F260" s="18">
        <v>4.6416000000000004</v>
      </c>
      <c r="G260" s="19">
        <v>5.1684999999999999</v>
      </c>
      <c r="H260" s="20">
        <v>0.78010000000000002</v>
      </c>
      <c r="I260" s="21">
        <v>142.55420000000001</v>
      </c>
      <c r="J260" s="20">
        <v>145.93899999999999</v>
      </c>
      <c r="K260" s="20">
        <v>21.435099999999998</v>
      </c>
    </row>
    <row r="261" spans="1:11" ht="15" customHeight="1" x14ac:dyDescent="0.25">
      <c r="A261" s="22" t="s">
        <v>214</v>
      </c>
      <c r="B261" s="23" t="s">
        <v>8</v>
      </c>
      <c r="C261" s="23" t="s">
        <v>9</v>
      </c>
      <c r="D261" s="24" t="s">
        <v>30</v>
      </c>
      <c r="E261" s="24" t="s">
        <v>42</v>
      </c>
      <c r="F261" s="18">
        <v>4.6416000000000004</v>
      </c>
      <c r="G261" s="19">
        <v>5.1684999999999999</v>
      </c>
      <c r="H261" s="20">
        <v>0.78010000000000002</v>
      </c>
      <c r="I261" s="21">
        <v>142.55420000000001</v>
      </c>
      <c r="J261" s="20">
        <v>145.93899999999999</v>
      </c>
      <c r="K261" s="20">
        <v>21.435099999999998</v>
      </c>
    </row>
    <row r="262" spans="1:11" ht="15" customHeight="1" x14ac:dyDescent="0.25">
      <c r="A262" s="14" t="s">
        <v>215</v>
      </c>
      <c r="B262" s="15" t="s">
        <v>6</v>
      </c>
      <c r="C262" s="16"/>
      <c r="D262" s="17"/>
      <c r="E262" s="17"/>
      <c r="F262" s="18">
        <v>137.1788</v>
      </c>
      <c r="G262" s="19">
        <v>116.5658</v>
      </c>
      <c r="H262" s="20">
        <v>65.912899999999993</v>
      </c>
      <c r="I262" s="21">
        <v>7929.3796000000002</v>
      </c>
      <c r="J262" s="20">
        <v>6740.5910999999996</v>
      </c>
      <c r="K262" s="20">
        <v>3524.3125</v>
      </c>
    </row>
    <row r="263" spans="1:11" ht="15" customHeight="1" x14ac:dyDescent="0.25">
      <c r="A263" s="22" t="s">
        <v>216</v>
      </c>
      <c r="B263" s="23" t="s">
        <v>8</v>
      </c>
      <c r="C263" s="23" t="s">
        <v>9</v>
      </c>
      <c r="D263" s="24" t="s">
        <v>30</v>
      </c>
      <c r="E263" s="24" t="s">
        <v>24</v>
      </c>
      <c r="F263" s="18">
        <v>137.1788</v>
      </c>
      <c r="G263" s="19">
        <v>116.5658</v>
      </c>
      <c r="H263" s="20">
        <v>65.912899999999993</v>
      </c>
      <c r="I263" s="21">
        <v>7929.3796000000002</v>
      </c>
      <c r="J263" s="20">
        <v>6740.5910999999996</v>
      </c>
      <c r="K263" s="20">
        <v>3524.3125</v>
      </c>
    </row>
    <row r="264" spans="1:11" ht="14.25" customHeight="1" x14ac:dyDescent="0.25">
      <c r="A264" s="25" t="s">
        <v>745</v>
      </c>
      <c r="B264" s="4" t="s">
        <v>5</v>
      </c>
      <c r="C264" s="4"/>
      <c r="D264" s="5"/>
      <c r="E264" s="5"/>
      <c r="F264" s="10">
        <v>14.2293</v>
      </c>
      <c r="G264" s="11">
        <v>21.789000000000001</v>
      </c>
      <c r="H264" s="12">
        <v>7.9466000000000001</v>
      </c>
      <c r="I264" s="13">
        <v>761.61429999999996</v>
      </c>
      <c r="J264" s="12">
        <v>1129.7994000000001</v>
      </c>
      <c r="K264" s="12">
        <v>412.24349999999998</v>
      </c>
    </row>
    <row r="265" spans="1:11" ht="15" customHeight="1" x14ac:dyDescent="0.25">
      <c r="A265" s="14" t="s">
        <v>217</v>
      </c>
      <c r="B265" s="15" t="s">
        <v>6</v>
      </c>
      <c r="C265" s="16"/>
      <c r="D265" s="17"/>
      <c r="E265" s="17"/>
      <c r="F265" s="18">
        <v>14.2293</v>
      </c>
      <c r="G265" s="19">
        <v>21.789000000000001</v>
      </c>
      <c r="H265" s="20">
        <v>7.9466000000000001</v>
      </c>
      <c r="I265" s="21">
        <v>761.61429999999996</v>
      </c>
      <c r="J265" s="20">
        <v>1129.7994000000001</v>
      </c>
      <c r="K265" s="20">
        <v>412.24349999999998</v>
      </c>
    </row>
    <row r="266" spans="1:11" ht="15" customHeight="1" x14ac:dyDescent="0.25">
      <c r="A266" s="22" t="s">
        <v>218</v>
      </c>
      <c r="B266" s="23" t="s">
        <v>8</v>
      </c>
      <c r="C266" s="23" t="s">
        <v>9</v>
      </c>
      <c r="D266" s="24" t="s">
        <v>20</v>
      </c>
      <c r="E266" s="24" t="s">
        <v>21</v>
      </c>
      <c r="F266" s="18">
        <v>14.2293</v>
      </c>
      <c r="G266" s="19">
        <v>21.789000000000001</v>
      </c>
      <c r="H266" s="20">
        <v>7.9466000000000001</v>
      </c>
      <c r="I266" s="21">
        <v>761.61429999999996</v>
      </c>
      <c r="J266" s="20">
        <v>1129.7994000000001</v>
      </c>
      <c r="K266" s="20">
        <v>412.24349999999998</v>
      </c>
    </row>
    <row r="267" spans="1:11" ht="14.25" customHeight="1" x14ac:dyDescent="0.25">
      <c r="A267" s="25" t="s">
        <v>746</v>
      </c>
      <c r="B267" s="4" t="s">
        <v>5</v>
      </c>
      <c r="C267" s="4"/>
      <c r="D267" s="5"/>
      <c r="E267" s="5"/>
      <c r="F267" s="10">
        <v>7.4866999999999999</v>
      </c>
      <c r="G267" s="11">
        <v>1.5100000000000001E-2</v>
      </c>
      <c r="H267" s="12"/>
      <c r="I267" s="13">
        <v>509.18150000000003</v>
      </c>
      <c r="J267" s="12">
        <v>0.77590000000000003</v>
      </c>
      <c r="K267" s="12"/>
    </row>
    <row r="268" spans="1:11" ht="15" customHeight="1" x14ac:dyDescent="0.25">
      <c r="A268" s="14" t="s">
        <v>219</v>
      </c>
      <c r="B268" s="15" t="s">
        <v>6</v>
      </c>
      <c r="C268" s="16"/>
      <c r="D268" s="17"/>
      <c r="E268" s="17"/>
      <c r="F268" s="18">
        <v>7.4866999999999999</v>
      </c>
      <c r="G268" s="19">
        <v>1.5100000000000001E-2</v>
      </c>
      <c r="H268" s="20"/>
      <c r="I268" s="21">
        <v>509.18150000000003</v>
      </c>
      <c r="J268" s="20">
        <v>0.77590000000000003</v>
      </c>
      <c r="K268" s="20"/>
    </row>
    <row r="269" spans="1:11" ht="15" customHeight="1" x14ac:dyDescent="0.25">
      <c r="A269" s="22" t="s">
        <v>220</v>
      </c>
      <c r="B269" s="23" t="s">
        <v>8</v>
      </c>
      <c r="C269" s="23" t="s">
        <v>9</v>
      </c>
      <c r="D269" s="24" t="s">
        <v>64</v>
      </c>
      <c r="E269" s="24" t="s">
        <v>42</v>
      </c>
      <c r="F269" s="18">
        <v>7.4866999999999999</v>
      </c>
      <c r="G269" s="19">
        <v>1.5100000000000001E-2</v>
      </c>
      <c r="H269" s="20"/>
      <c r="I269" s="21">
        <v>509.18150000000003</v>
      </c>
      <c r="J269" s="20">
        <v>0.77590000000000003</v>
      </c>
      <c r="K269" s="20"/>
    </row>
    <row r="270" spans="1:11" ht="14.25" customHeight="1" x14ac:dyDescent="0.25">
      <c r="A270" s="25" t="s">
        <v>747</v>
      </c>
      <c r="B270" s="4" t="s">
        <v>5</v>
      </c>
      <c r="C270" s="4"/>
      <c r="D270" s="5"/>
      <c r="E270" s="5"/>
      <c r="F270" s="10">
        <v>9.1872000000000007</v>
      </c>
      <c r="G270" s="11"/>
      <c r="H270" s="12"/>
      <c r="I270" s="13">
        <v>430.16879999999998</v>
      </c>
      <c r="J270" s="12"/>
      <c r="K270" s="12"/>
    </row>
    <row r="271" spans="1:11" ht="15" customHeight="1" x14ac:dyDescent="0.25">
      <c r="A271" s="14" t="s">
        <v>221</v>
      </c>
      <c r="B271" s="15" t="s">
        <v>6</v>
      </c>
      <c r="C271" s="16"/>
      <c r="D271" s="17"/>
      <c r="E271" s="17"/>
      <c r="F271" s="18">
        <v>9.1872000000000007</v>
      </c>
      <c r="G271" s="19"/>
      <c r="H271" s="20"/>
      <c r="I271" s="21">
        <v>430.16879999999998</v>
      </c>
      <c r="J271" s="20"/>
      <c r="K271" s="20"/>
    </row>
    <row r="272" spans="1:11" ht="15" customHeight="1" x14ac:dyDescent="0.25">
      <c r="A272" s="22" t="s">
        <v>222</v>
      </c>
      <c r="B272" s="23" t="s">
        <v>8</v>
      </c>
      <c r="C272" s="23" t="s">
        <v>9</v>
      </c>
      <c r="D272" s="24" t="s">
        <v>64</v>
      </c>
      <c r="E272" s="24" t="s">
        <v>123</v>
      </c>
      <c r="F272" s="18"/>
      <c r="G272" s="19"/>
      <c r="H272" s="20"/>
      <c r="I272" s="21"/>
      <c r="J272" s="20"/>
      <c r="K272" s="20"/>
    </row>
    <row r="273" spans="1:11" ht="15" customHeight="1" x14ac:dyDescent="0.25">
      <c r="A273" s="22" t="s">
        <v>223</v>
      </c>
      <c r="B273" s="23" t="s">
        <v>8</v>
      </c>
      <c r="C273" s="23" t="s">
        <v>9</v>
      </c>
      <c r="D273" s="24" t="s">
        <v>64</v>
      </c>
      <c r="E273" s="24" t="s">
        <v>123</v>
      </c>
      <c r="F273" s="18">
        <v>1.3945000000000001</v>
      </c>
      <c r="G273" s="19"/>
      <c r="H273" s="20"/>
      <c r="I273" s="21">
        <v>67.202299999999994</v>
      </c>
      <c r="J273" s="20"/>
      <c r="K273" s="20"/>
    </row>
    <row r="274" spans="1:11" ht="15" customHeight="1" x14ac:dyDescent="0.25">
      <c r="A274" s="22" t="s">
        <v>224</v>
      </c>
      <c r="B274" s="23" t="s">
        <v>8</v>
      </c>
      <c r="C274" s="23" t="s">
        <v>9</v>
      </c>
      <c r="D274" s="24" t="s">
        <v>30</v>
      </c>
      <c r="E274" s="24" t="s">
        <v>42</v>
      </c>
      <c r="F274" s="18">
        <v>7.7927999999999997</v>
      </c>
      <c r="G274" s="19"/>
      <c r="H274" s="20"/>
      <c r="I274" s="21">
        <v>362.96660000000003</v>
      </c>
      <c r="J274" s="20"/>
      <c r="K274" s="20"/>
    </row>
    <row r="275" spans="1:11" ht="14.25" customHeight="1" x14ac:dyDescent="0.25">
      <c r="A275" s="25" t="s">
        <v>748</v>
      </c>
      <c r="B275" s="4" t="s">
        <v>5</v>
      </c>
      <c r="C275" s="4"/>
      <c r="D275" s="5"/>
      <c r="E275" s="5"/>
      <c r="F275" s="10">
        <v>77.652299999999997</v>
      </c>
      <c r="G275" s="11">
        <v>36.366500000000002</v>
      </c>
      <c r="H275" s="12">
        <v>17.4222</v>
      </c>
      <c r="I275" s="13">
        <v>3136.2818000000002</v>
      </c>
      <c r="J275" s="12">
        <v>1512.1391000000001</v>
      </c>
      <c r="K275" s="12">
        <v>684.81539999999995</v>
      </c>
    </row>
    <row r="276" spans="1:11" ht="15" customHeight="1" x14ac:dyDescent="0.25">
      <c r="A276" s="14" t="s">
        <v>225</v>
      </c>
      <c r="B276" s="15" t="s">
        <v>6</v>
      </c>
      <c r="C276" s="16"/>
      <c r="D276" s="17"/>
      <c r="E276" s="17"/>
      <c r="F276" s="18">
        <v>76.472300000000004</v>
      </c>
      <c r="G276" s="19">
        <v>36.366500000000002</v>
      </c>
      <c r="H276" s="20">
        <v>17.4222</v>
      </c>
      <c r="I276" s="21">
        <v>3099.3413999999998</v>
      </c>
      <c r="J276" s="20">
        <v>1512.1391000000001</v>
      </c>
      <c r="K276" s="20">
        <v>684.81539999999995</v>
      </c>
    </row>
    <row r="277" spans="1:11" ht="15" customHeight="1" x14ac:dyDescent="0.25">
      <c r="A277" s="22" t="s">
        <v>226</v>
      </c>
      <c r="B277" s="23" t="s">
        <v>8</v>
      </c>
      <c r="C277" s="23" t="s">
        <v>9</v>
      </c>
      <c r="D277" s="24" t="s">
        <v>10</v>
      </c>
      <c r="E277" s="24" t="s">
        <v>42</v>
      </c>
      <c r="F277" s="18">
        <v>63.770400000000002</v>
      </c>
      <c r="G277" s="19">
        <v>23.340299999999999</v>
      </c>
      <c r="H277" s="20">
        <v>11.8607</v>
      </c>
      <c r="I277" s="21">
        <v>2545.3452000000002</v>
      </c>
      <c r="J277" s="20">
        <v>949.45609999999999</v>
      </c>
      <c r="K277" s="20">
        <v>459.19099999999997</v>
      </c>
    </row>
    <row r="278" spans="1:11" ht="15" customHeight="1" x14ac:dyDescent="0.25">
      <c r="A278" s="22" t="s">
        <v>227</v>
      </c>
      <c r="B278" s="23" t="s">
        <v>8</v>
      </c>
      <c r="C278" s="23" t="s">
        <v>9</v>
      </c>
      <c r="D278" s="24" t="s">
        <v>30</v>
      </c>
      <c r="E278" s="24" t="s">
        <v>42</v>
      </c>
      <c r="F278" s="18">
        <v>12.7019</v>
      </c>
      <c r="G278" s="19">
        <v>13.0259</v>
      </c>
      <c r="H278" s="20">
        <v>5.5613999999999999</v>
      </c>
      <c r="I278" s="21">
        <v>553.99599999999998</v>
      </c>
      <c r="J278" s="20">
        <v>562.68320000000006</v>
      </c>
      <c r="K278" s="20">
        <v>225.62440000000001</v>
      </c>
    </row>
    <row r="279" spans="1:11" ht="15" customHeight="1" x14ac:dyDescent="0.25">
      <c r="A279" s="14" t="s">
        <v>228</v>
      </c>
      <c r="B279" s="15" t="s">
        <v>6</v>
      </c>
      <c r="C279" s="16"/>
      <c r="D279" s="17"/>
      <c r="E279" s="17"/>
      <c r="F279" s="18">
        <v>1.18</v>
      </c>
      <c r="G279" s="19"/>
      <c r="H279" s="20"/>
      <c r="I279" s="21">
        <v>36.940399999999997</v>
      </c>
      <c r="J279" s="20"/>
      <c r="K279" s="20"/>
    </row>
    <row r="280" spans="1:11" ht="15" customHeight="1" x14ac:dyDescent="0.25">
      <c r="A280" s="22" t="s">
        <v>229</v>
      </c>
      <c r="B280" s="23" t="s">
        <v>8</v>
      </c>
      <c r="C280" s="23" t="s">
        <v>9</v>
      </c>
      <c r="D280" s="24" t="s">
        <v>20</v>
      </c>
      <c r="E280" s="24" t="s">
        <v>42</v>
      </c>
      <c r="F280" s="18">
        <v>0.59</v>
      </c>
      <c r="G280" s="19"/>
      <c r="H280" s="20"/>
      <c r="I280" s="21">
        <v>18.470099999999999</v>
      </c>
      <c r="J280" s="20"/>
      <c r="K280" s="20"/>
    </row>
    <row r="281" spans="1:11" ht="15" customHeight="1" x14ac:dyDescent="0.25">
      <c r="A281" s="22" t="s">
        <v>230</v>
      </c>
      <c r="B281" s="23" t="s">
        <v>8</v>
      </c>
      <c r="C281" s="23" t="s">
        <v>9</v>
      </c>
      <c r="D281" s="24" t="s">
        <v>30</v>
      </c>
      <c r="E281" s="24" t="s">
        <v>42</v>
      </c>
      <c r="F281" s="18">
        <v>0.59</v>
      </c>
      <c r="G281" s="19"/>
      <c r="H281" s="20"/>
      <c r="I281" s="21">
        <v>18.470099999999999</v>
      </c>
      <c r="J281" s="20"/>
      <c r="K281" s="20"/>
    </row>
    <row r="282" spans="1:11" ht="14.25" customHeight="1" x14ac:dyDescent="0.25">
      <c r="A282" s="25" t="s">
        <v>749</v>
      </c>
      <c r="B282" s="4" t="s">
        <v>5</v>
      </c>
      <c r="C282" s="4"/>
      <c r="D282" s="5"/>
      <c r="E282" s="5"/>
      <c r="F282" s="10">
        <v>230.7484</v>
      </c>
      <c r="G282" s="11">
        <v>302.06599999999997</v>
      </c>
      <c r="H282" s="12">
        <v>144.0025</v>
      </c>
      <c r="I282" s="13">
        <v>11792.665300000001</v>
      </c>
      <c r="J282" s="12">
        <v>15544.8174</v>
      </c>
      <c r="K282" s="12">
        <v>7126.6583000000001</v>
      </c>
    </row>
    <row r="283" spans="1:11" ht="15" customHeight="1" x14ac:dyDescent="0.25">
      <c r="A283" s="14" t="s">
        <v>231</v>
      </c>
      <c r="B283" s="15" t="s">
        <v>6</v>
      </c>
      <c r="C283" s="16"/>
      <c r="D283" s="17"/>
      <c r="E283" s="17"/>
      <c r="F283" s="18"/>
      <c r="G283" s="19">
        <v>3.052</v>
      </c>
      <c r="H283" s="20">
        <v>0.7581</v>
      </c>
      <c r="I283" s="21"/>
      <c r="J283" s="20">
        <v>36.4679</v>
      </c>
      <c r="K283" s="20">
        <v>10.828200000000001</v>
      </c>
    </row>
    <row r="284" spans="1:11" ht="15" customHeight="1" x14ac:dyDescent="0.25">
      <c r="A284" s="22" t="s">
        <v>232</v>
      </c>
      <c r="B284" s="23" t="s">
        <v>8</v>
      </c>
      <c r="C284" s="23" t="s">
        <v>9</v>
      </c>
      <c r="D284" s="24" t="s">
        <v>69</v>
      </c>
      <c r="E284" s="24" t="s">
        <v>15</v>
      </c>
      <c r="F284" s="18"/>
      <c r="G284" s="19">
        <v>1.1446000000000001</v>
      </c>
      <c r="H284" s="20">
        <v>0.29039999999999999</v>
      </c>
      <c r="I284" s="21"/>
      <c r="J284" s="20">
        <v>11.6808</v>
      </c>
      <c r="K284" s="20">
        <v>3.3864000000000001</v>
      </c>
    </row>
    <row r="285" spans="1:11" ht="15" customHeight="1" x14ac:dyDescent="0.25">
      <c r="A285" s="22" t="s">
        <v>233</v>
      </c>
      <c r="B285" s="23" t="s">
        <v>8</v>
      </c>
      <c r="C285" s="23" t="s">
        <v>9</v>
      </c>
      <c r="D285" s="24" t="s">
        <v>69</v>
      </c>
      <c r="E285" s="24" t="s">
        <v>15</v>
      </c>
      <c r="F285" s="18"/>
      <c r="G285" s="19">
        <v>0.49220000000000003</v>
      </c>
      <c r="H285" s="20">
        <v>0.1164</v>
      </c>
      <c r="I285" s="21"/>
      <c r="J285" s="20">
        <v>4.2202000000000002</v>
      </c>
      <c r="K285" s="20">
        <v>0.85</v>
      </c>
    </row>
    <row r="286" spans="1:11" ht="15" customHeight="1" x14ac:dyDescent="0.25">
      <c r="A286" s="22" t="s">
        <v>234</v>
      </c>
      <c r="B286" s="23" t="s">
        <v>8</v>
      </c>
      <c r="C286" s="23" t="s">
        <v>9</v>
      </c>
      <c r="D286" s="24" t="s">
        <v>20</v>
      </c>
      <c r="E286" s="24" t="s">
        <v>15</v>
      </c>
      <c r="F286" s="18"/>
      <c r="G286" s="19">
        <v>1.4152</v>
      </c>
      <c r="H286" s="20">
        <v>0.3513</v>
      </c>
      <c r="I286" s="21"/>
      <c r="J286" s="20">
        <v>20.5671</v>
      </c>
      <c r="K286" s="20">
        <v>6.5918999999999999</v>
      </c>
    </row>
    <row r="287" spans="1:11" ht="15" customHeight="1" x14ac:dyDescent="0.25">
      <c r="A287" s="14" t="s">
        <v>235</v>
      </c>
      <c r="B287" s="15" t="s">
        <v>6</v>
      </c>
      <c r="C287" s="16"/>
      <c r="D287" s="17"/>
      <c r="E287" s="17"/>
      <c r="F287" s="18">
        <v>230.7484</v>
      </c>
      <c r="G287" s="19">
        <v>299.01389999999998</v>
      </c>
      <c r="H287" s="20">
        <v>143.24440000000001</v>
      </c>
      <c r="I287" s="21">
        <v>11792.665300000001</v>
      </c>
      <c r="J287" s="20">
        <v>15508.3496</v>
      </c>
      <c r="K287" s="20">
        <v>7115.8298999999997</v>
      </c>
    </row>
    <row r="288" spans="1:11" ht="15" customHeight="1" x14ac:dyDescent="0.25">
      <c r="A288" s="22" t="s">
        <v>236</v>
      </c>
      <c r="B288" s="23" t="s">
        <v>8</v>
      </c>
      <c r="C288" s="23" t="s">
        <v>9</v>
      </c>
      <c r="D288" s="24" t="s">
        <v>10</v>
      </c>
      <c r="E288" s="24" t="s">
        <v>24</v>
      </c>
      <c r="F288" s="18">
        <v>6.1999999999999998E-3</v>
      </c>
      <c r="G288" s="19">
        <v>21.155899999999999</v>
      </c>
      <c r="H288" s="20">
        <v>10.029400000000001</v>
      </c>
      <c r="I288" s="21">
        <v>0.32569999999999999</v>
      </c>
      <c r="J288" s="20">
        <v>1092.0349000000001</v>
      </c>
      <c r="K288" s="20">
        <v>489.28280000000001</v>
      </c>
    </row>
    <row r="289" spans="1:11" ht="15" customHeight="1" x14ac:dyDescent="0.25">
      <c r="A289" s="22" t="s">
        <v>237</v>
      </c>
      <c r="B289" s="23" t="s">
        <v>8</v>
      </c>
      <c r="C289" s="23" t="s">
        <v>9</v>
      </c>
      <c r="D289" s="24" t="s">
        <v>10</v>
      </c>
      <c r="E289" s="24" t="s">
        <v>42</v>
      </c>
      <c r="F289" s="18">
        <v>230.74209999999999</v>
      </c>
      <c r="G289" s="19">
        <v>277.85789999999997</v>
      </c>
      <c r="H289" s="20">
        <v>133.2149</v>
      </c>
      <c r="I289" s="21">
        <v>11792.3397</v>
      </c>
      <c r="J289" s="20">
        <v>14416.314700000001</v>
      </c>
      <c r="K289" s="20">
        <v>6626.5474000000004</v>
      </c>
    </row>
    <row r="290" spans="1:11" ht="14.25" customHeight="1" x14ac:dyDescent="0.25">
      <c r="A290" s="25" t="s">
        <v>750</v>
      </c>
      <c r="B290" s="4" t="s">
        <v>5</v>
      </c>
      <c r="C290" s="4"/>
      <c r="D290" s="5"/>
      <c r="E290" s="5"/>
      <c r="F290" s="10">
        <v>332.01650000000001</v>
      </c>
      <c r="G290" s="11">
        <v>406.09359999999998</v>
      </c>
      <c r="H290" s="12">
        <v>185.505</v>
      </c>
      <c r="I290" s="13">
        <v>9811.9591</v>
      </c>
      <c r="J290" s="12">
        <v>12002.149100000001</v>
      </c>
      <c r="K290" s="12">
        <v>5143.8028000000004</v>
      </c>
    </row>
    <row r="291" spans="1:11" ht="15" customHeight="1" x14ac:dyDescent="0.25">
      <c r="A291" s="14" t="s">
        <v>238</v>
      </c>
      <c r="B291" s="15" t="s">
        <v>6</v>
      </c>
      <c r="C291" s="16"/>
      <c r="D291" s="17"/>
      <c r="E291" s="17"/>
      <c r="F291" s="18">
        <v>332.01650000000001</v>
      </c>
      <c r="G291" s="19">
        <v>406.09359999999998</v>
      </c>
      <c r="H291" s="20">
        <v>185.505</v>
      </c>
      <c r="I291" s="21">
        <v>9811.9591</v>
      </c>
      <c r="J291" s="20">
        <v>12002.149100000001</v>
      </c>
      <c r="K291" s="20">
        <v>5143.8028000000004</v>
      </c>
    </row>
    <row r="292" spans="1:11" ht="15" customHeight="1" x14ac:dyDescent="0.25">
      <c r="A292" s="22" t="s">
        <v>239</v>
      </c>
      <c r="B292" s="23" t="s">
        <v>8</v>
      </c>
      <c r="C292" s="23" t="s">
        <v>9</v>
      </c>
      <c r="D292" s="24" t="s">
        <v>64</v>
      </c>
      <c r="E292" s="24" t="s">
        <v>32</v>
      </c>
      <c r="F292" s="18"/>
      <c r="G292" s="19"/>
      <c r="H292" s="20"/>
      <c r="I292" s="21"/>
      <c r="J292" s="20"/>
      <c r="K292" s="20"/>
    </row>
    <row r="293" spans="1:11" ht="15" customHeight="1" x14ac:dyDescent="0.25">
      <c r="A293" s="22" t="s">
        <v>240</v>
      </c>
      <c r="B293" s="23" t="s">
        <v>8</v>
      </c>
      <c r="C293" s="23" t="s">
        <v>9</v>
      </c>
      <c r="D293" s="24" t="s">
        <v>20</v>
      </c>
      <c r="E293" s="24" t="s">
        <v>15</v>
      </c>
      <c r="F293" s="18">
        <v>0.37059999999999998</v>
      </c>
      <c r="G293" s="19">
        <v>0.24890000000000001</v>
      </c>
      <c r="H293" s="20"/>
      <c r="I293" s="21">
        <v>9.2727000000000004</v>
      </c>
      <c r="J293" s="20">
        <v>7.0415000000000001</v>
      </c>
      <c r="K293" s="20"/>
    </row>
    <row r="294" spans="1:11" ht="15" customHeight="1" x14ac:dyDescent="0.25">
      <c r="A294" s="22" t="s">
        <v>241</v>
      </c>
      <c r="B294" s="23" t="s">
        <v>8</v>
      </c>
      <c r="C294" s="23" t="s">
        <v>9</v>
      </c>
      <c r="D294" s="24" t="s">
        <v>20</v>
      </c>
      <c r="E294" s="24" t="s">
        <v>99</v>
      </c>
      <c r="F294" s="18">
        <v>29.4162</v>
      </c>
      <c r="G294" s="19">
        <v>107.9663</v>
      </c>
      <c r="H294" s="20">
        <v>52.6723</v>
      </c>
      <c r="I294" s="21">
        <v>866.39819999999997</v>
      </c>
      <c r="J294" s="20">
        <v>3176.0981999999999</v>
      </c>
      <c r="K294" s="20">
        <v>1396.3396</v>
      </c>
    </row>
    <row r="295" spans="1:11" ht="15" customHeight="1" x14ac:dyDescent="0.25">
      <c r="A295" s="22" t="s">
        <v>242</v>
      </c>
      <c r="B295" s="23" t="s">
        <v>8</v>
      </c>
      <c r="C295" s="23" t="s">
        <v>9</v>
      </c>
      <c r="D295" s="24" t="s">
        <v>20</v>
      </c>
      <c r="E295" s="24" t="s">
        <v>99</v>
      </c>
      <c r="F295" s="18">
        <v>2.2702</v>
      </c>
      <c r="G295" s="19">
        <v>6.8476999999999997</v>
      </c>
      <c r="H295" s="20">
        <v>4.3963000000000001</v>
      </c>
      <c r="I295" s="21">
        <v>71.277600000000007</v>
      </c>
      <c r="J295" s="20">
        <v>210.60059999999999</v>
      </c>
      <c r="K295" s="20">
        <v>121.2728</v>
      </c>
    </row>
    <row r="296" spans="1:11" ht="15" customHeight="1" x14ac:dyDescent="0.25">
      <c r="A296" s="22" t="s">
        <v>243</v>
      </c>
      <c r="B296" s="23" t="s">
        <v>8</v>
      </c>
      <c r="C296" s="23" t="s">
        <v>9</v>
      </c>
      <c r="D296" s="24" t="s">
        <v>20</v>
      </c>
      <c r="E296" s="24" t="s">
        <v>99</v>
      </c>
      <c r="F296" s="18">
        <v>296.26589999999999</v>
      </c>
      <c r="G296" s="19">
        <v>290.55259999999998</v>
      </c>
      <c r="H296" s="20">
        <v>128.1713</v>
      </c>
      <c r="I296" s="21">
        <v>8749.3634000000002</v>
      </c>
      <c r="J296" s="20">
        <v>8593.8201000000008</v>
      </c>
      <c r="K296" s="20">
        <v>3618.6093999999998</v>
      </c>
    </row>
    <row r="297" spans="1:11" ht="15" customHeight="1" x14ac:dyDescent="0.25">
      <c r="A297" s="22" t="s">
        <v>244</v>
      </c>
      <c r="B297" s="23" t="s">
        <v>8</v>
      </c>
      <c r="C297" s="23" t="s">
        <v>9</v>
      </c>
      <c r="D297" s="24" t="s">
        <v>20</v>
      </c>
      <c r="E297" s="24" t="s">
        <v>99</v>
      </c>
      <c r="F297" s="18">
        <v>2.9716999999999998</v>
      </c>
      <c r="G297" s="19">
        <v>0.47810000000000002</v>
      </c>
      <c r="H297" s="20">
        <v>0.26490000000000002</v>
      </c>
      <c r="I297" s="21">
        <v>93.2804</v>
      </c>
      <c r="J297" s="20">
        <v>14.5885</v>
      </c>
      <c r="K297" s="20">
        <v>7.5808999999999997</v>
      </c>
    </row>
    <row r="298" spans="1:11" ht="15" customHeight="1" x14ac:dyDescent="0.25">
      <c r="A298" s="22" t="s">
        <v>245</v>
      </c>
      <c r="B298" s="23" t="s">
        <v>8</v>
      </c>
      <c r="C298" s="23" t="s">
        <v>9</v>
      </c>
      <c r="D298" s="24" t="s">
        <v>20</v>
      </c>
      <c r="E298" s="24" t="s">
        <v>123</v>
      </c>
      <c r="F298" s="18">
        <v>0.21840000000000001</v>
      </c>
      <c r="G298" s="19"/>
      <c r="H298" s="20"/>
      <c r="I298" s="21">
        <v>7.3784000000000001</v>
      </c>
      <c r="J298" s="20"/>
      <c r="K298" s="20"/>
    </row>
    <row r="299" spans="1:11" ht="15" customHeight="1" x14ac:dyDescent="0.25">
      <c r="A299" s="22" t="s">
        <v>246</v>
      </c>
      <c r="B299" s="23" t="s">
        <v>8</v>
      </c>
      <c r="C299" s="23" t="s">
        <v>9</v>
      </c>
      <c r="D299" s="24" t="s">
        <v>10</v>
      </c>
      <c r="E299" s="24" t="s">
        <v>123</v>
      </c>
      <c r="F299" s="18">
        <v>0.50360000000000005</v>
      </c>
      <c r="G299" s="19"/>
      <c r="H299" s="20"/>
      <c r="I299" s="21">
        <v>14.988200000000001</v>
      </c>
      <c r="J299" s="20"/>
      <c r="K299" s="20"/>
    </row>
    <row r="300" spans="1:11" ht="14.25" customHeight="1" x14ac:dyDescent="0.25">
      <c r="A300" s="25" t="s">
        <v>751</v>
      </c>
      <c r="B300" s="4" t="s">
        <v>5</v>
      </c>
      <c r="C300" s="4"/>
      <c r="D300" s="5"/>
      <c r="E300" s="5"/>
      <c r="F300" s="10">
        <v>4.0102000000000002</v>
      </c>
      <c r="G300" s="11">
        <v>6.6558000000000002</v>
      </c>
      <c r="H300" s="12"/>
      <c r="I300" s="13">
        <v>83.551900000000003</v>
      </c>
      <c r="J300" s="12">
        <v>115.5257</v>
      </c>
      <c r="K300" s="12"/>
    </row>
    <row r="301" spans="1:11" ht="15" customHeight="1" x14ac:dyDescent="0.25">
      <c r="A301" s="14" t="s">
        <v>247</v>
      </c>
      <c r="B301" s="15" t="s">
        <v>6</v>
      </c>
      <c r="C301" s="16"/>
      <c r="D301" s="17"/>
      <c r="E301" s="17"/>
      <c r="F301" s="18">
        <v>4.0102000000000002</v>
      </c>
      <c r="G301" s="19">
        <v>6.6558000000000002</v>
      </c>
      <c r="H301" s="20"/>
      <c r="I301" s="21">
        <v>83.551900000000003</v>
      </c>
      <c r="J301" s="20">
        <v>115.5257</v>
      </c>
      <c r="K301" s="20"/>
    </row>
    <row r="302" spans="1:11" ht="15" customHeight="1" x14ac:dyDescent="0.25">
      <c r="A302" s="22" t="s">
        <v>248</v>
      </c>
      <c r="B302" s="23" t="s">
        <v>8</v>
      </c>
      <c r="C302" s="23" t="s">
        <v>9</v>
      </c>
      <c r="D302" s="24" t="s">
        <v>249</v>
      </c>
      <c r="E302" s="24" t="s">
        <v>11</v>
      </c>
      <c r="F302" s="18">
        <v>0.17610000000000001</v>
      </c>
      <c r="G302" s="19">
        <v>1.0699999999999999E-2</v>
      </c>
      <c r="H302" s="20"/>
      <c r="I302" s="21">
        <v>3.1602000000000001</v>
      </c>
      <c r="J302" s="20">
        <v>0.19450000000000001</v>
      </c>
      <c r="K302" s="20"/>
    </row>
    <row r="303" spans="1:11" ht="15" customHeight="1" x14ac:dyDescent="0.25">
      <c r="A303" s="22" t="s">
        <v>250</v>
      </c>
      <c r="B303" s="23" t="s">
        <v>8</v>
      </c>
      <c r="C303" s="23" t="s">
        <v>9</v>
      </c>
      <c r="D303" s="24" t="s">
        <v>249</v>
      </c>
      <c r="E303" s="24" t="s">
        <v>11</v>
      </c>
      <c r="F303" s="18">
        <v>0.50239999999999996</v>
      </c>
      <c r="G303" s="19">
        <v>6.6451000000000002</v>
      </c>
      <c r="H303" s="20"/>
      <c r="I303" s="21">
        <v>10.56</v>
      </c>
      <c r="J303" s="20">
        <v>115.3312</v>
      </c>
      <c r="K303" s="20"/>
    </row>
    <row r="304" spans="1:11" ht="15" customHeight="1" x14ac:dyDescent="0.25">
      <c r="A304" s="22" t="s">
        <v>251</v>
      </c>
      <c r="B304" s="23" t="s">
        <v>8</v>
      </c>
      <c r="C304" s="23" t="s">
        <v>9</v>
      </c>
      <c r="D304" s="24" t="s">
        <v>249</v>
      </c>
      <c r="E304" s="24" t="s">
        <v>34</v>
      </c>
      <c r="F304" s="18">
        <v>0.31990000000000002</v>
      </c>
      <c r="G304" s="19"/>
      <c r="H304" s="20"/>
      <c r="I304" s="21">
        <v>7.3638000000000003</v>
      </c>
      <c r="J304" s="20"/>
      <c r="K304" s="20"/>
    </row>
    <row r="305" spans="1:11" ht="15" customHeight="1" x14ac:dyDescent="0.25">
      <c r="A305" s="22" t="s">
        <v>252</v>
      </c>
      <c r="B305" s="23" t="s">
        <v>8</v>
      </c>
      <c r="C305" s="23" t="s">
        <v>9</v>
      </c>
      <c r="D305" s="24" t="s">
        <v>249</v>
      </c>
      <c r="E305" s="24" t="s">
        <v>34</v>
      </c>
      <c r="F305" s="18">
        <v>3.0116000000000001</v>
      </c>
      <c r="G305" s="19"/>
      <c r="H305" s="20"/>
      <c r="I305" s="21">
        <v>62.468000000000004</v>
      </c>
      <c r="J305" s="20"/>
      <c r="K305" s="20"/>
    </row>
    <row r="306" spans="1:11" ht="14.25" customHeight="1" x14ac:dyDescent="0.25">
      <c r="A306" s="25" t="s">
        <v>752</v>
      </c>
      <c r="B306" s="4" t="s">
        <v>5</v>
      </c>
      <c r="C306" s="4"/>
      <c r="D306" s="5"/>
      <c r="E306" s="5"/>
      <c r="F306" s="10">
        <v>113.4864</v>
      </c>
      <c r="G306" s="11">
        <v>49.046199999999999</v>
      </c>
      <c r="H306" s="12">
        <v>12.333</v>
      </c>
      <c r="I306" s="13">
        <v>2663.5762</v>
      </c>
      <c r="J306" s="12">
        <v>1050.6376</v>
      </c>
      <c r="K306" s="12">
        <v>244.38679999999999</v>
      </c>
    </row>
    <row r="307" spans="1:11" ht="15" customHeight="1" x14ac:dyDescent="0.25">
      <c r="A307" s="14" t="s">
        <v>253</v>
      </c>
      <c r="B307" s="15" t="s">
        <v>6</v>
      </c>
      <c r="C307" s="16"/>
      <c r="D307" s="17"/>
      <c r="E307" s="17"/>
      <c r="F307" s="18">
        <v>113.4864</v>
      </c>
      <c r="G307" s="19">
        <v>49.046199999999999</v>
      </c>
      <c r="H307" s="20">
        <v>12.333</v>
      </c>
      <c r="I307" s="21">
        <v>2663.5762</v>
      </c>
      <c r="J307" s="20">
        <v>1050.6376</v>
      </c>
      <c r="K307" s="20">
        <v>244.38679999999999</v>
      </c>
    </row>
    <row r="308" spans="1:11" ht="15" customHeight="1" x14ac:dyDescent="0.25">
      <c r="A308" s="22" t="s">
        <v>254</v>
      </c>
      <c r="B308" s="23" t="s">
        <v>8</v>
      </c>
      <c r="C308" s="23" t="s">
        <v>9</v>
      </c>
      <c r="D308" s="24" t="s">
        <v>20</v>
      </c>
      <c r="E308" s="24" t="s">
        <v>13</v>
      </c>
      <c r="F308" s="18">
        <v>1.7111000000000001</v>
      </c>
      <c r="G308" s="19">
        <v>0.48920000000000002</v>
      </c>
      <c r="H308" s="20">
        <v>7.6600000000000001E-2</v>
      </c>
      <c r="I308" s="21">
        <v>14.330299999999999</v>
      </c>
      <c r="J308" s="20">
        <v>3.8454999999999999</v>
      </c>
      <c r="K308" s="20">
        <v>0.62309999999999999</v>
      </c>
    </row>
    <row r="309" spans="1:11" ht="15" customHeight="1" x14ac:dyDescent="0.25">
      <c r="A309" s="22" t="s">
        <v>255</v>
      </c>
      <c r="B309" s="23" t="s">
        <v>8</v>
      </c>
      <c r="C309" s="23" t="s">
        <v>9</v>
      </c>
      <c r="D309" s="24" t="s">
        <v>64</v>
      </c>
      <c r="E309" s="24" t="s">
        <v>256</v>
      </c>
      <c r="F309" s="18">
        <v>88.057900000000004</v>
      </c>
      <c r="G309" s="19">
        <v>26.767399999999999</v>
      </c>
      <c r="H309" s="20">
        <v>2.3372999999999999</v>
      </c>
      <c r="I309" s="21">
        <v>2166.7952</v>
      </c>
      <c r="J309" s="20">
        <v>614.64589999999998</v>
      </c>
      <c r="K309" s="20">
        <v>48.202599999999997</v>
      </c>
    </row>
    <row r="310" spans="1:11" ht="15" customHeight="1" x14ac:dyDescent="0.25">
      <c r="A310" s="22" t="s">
        <v>257</v>
      </c>
      <c r="B310" s="23" t="s">
        <v>8</v>
      </c>
      <c r="C310" s="23" t="s">
        <v>9</v>
      </c>
      <c r="D310" s="24" t="s">
        <v>10</v>
      </c>
      <c r="E310" s="24" t="s">
        <v>34</v>
      </c>
      <c r="F310" s="18">
        <v>1.0826</v>
      </c>
      <c r="G310" s="19">
        <v>0.79220000000000002</v>
      </c>
      <c r="H310" s="20"/>
      <c r="I310" s="21">
        <v>19.760000000000002</v>
      </c>
      <c r="J310" s="20">
        <v>17.024000000000001</v>
      </c>
      <c r="K310" s="20"/>
    </row>
    <row r="311" spans="1:11" ht="15" customHeight="1" x14ac:dyDescent="0.25">
      <c r="A311" s="22" t="s">
        <v>258</v>
      </c>
      <c r="B311" s="23" t="s">
        <v>8</v>
      </c>
      <c r="C311" s="23" t="s">
        <v>9</v>
      </c>
      <c r="D311" s="24" t="s">
        <v>20</v>
      </c>
      <c r="E311" s="24" t="s">
        <v>34</v>
      </c>
      <c r="F311" s="18">
        <v>0.44109999999999999</v>
      </c>
      <c r="G311" s="19">
        <v>0.41260000000000002</v>
      </c>
      <c r="H311" s="20">
        <v>4.5600000000000002E-2</v>
      </c>
      <c r="I311" s="21">
        <v>8.4567999999999994</v>
      </c>
      <c r="J311" s="20">
        <v>6.601</v>
      </c>
      <c r="K311" s="20">
        <v>0.72929999999999995</v>
      </c>
    </row>
    <row r="312" spans="1:11" ht="15" customHeight="1" x14ac:dyDescent="0.25">
      <c r="A312" s="22" t="s">
        <v>259</v>
      </c>
      <c r="B312" s="23" t="s">
        <v>8</v>
      </c>
      <c r="C312" s="23" t="s">
        <v>9</v>
      </c>
      <c r="D312" s="24" t="s">
        <v>64</v>
      </c>
      <c r="E312" s="24" t="s">
        <v>34</v>
      </c>
      <c r="F312" s="18">
        <v>2.1700000000000001E-2</v>
      </c>
      <c r="G312" s="19"/>
      <c r="H312" s="20"/>
      <c r="I312" s="21">
        <v>0.48470000000000002</v>
      </c>
      <c r="J312" s="20"/>
      <c r="K312" s="20"/>
    </row>
    <row r="313" spans="1:11" ht="15" customHeight="1" x14ac:dyDescent="0.25">
      <c r="A313" s="22" t="s">
        <v>260</v>
      </c>
      <c r="B313" s="23" t="s">
        <v>8</v>
      </c>
      <c r="C313" s="23" t="s">
        <v>9</v>
      </c>
      <c r="D313" s="24" t="s">
        <v>20</v>
      </c>
      <c r="E313" s="24" t="s">
        <v>34</v>
      </c>
      <c r="F313" s="18">
        <v>1.675</v>
      </c>
      <c r="G313" s="19">
        <v>2.4634999999999998</v>
      </c>
      <c r="H313" s="20">
        <v>0.86060000000000003</v>
      </c>
      <c r="I313" s="21">
        <v>31.331099999999999</v>
      </c>
      <c r="J313" s="20">
        <v>43.584000000000003</v>
      </c>
      <c r="K313" s="20">
        <v>15.645899999999999</v>
      </c>
    </row>
    <row r="314" spans="1:11" ht="15" customHeight="1" x14ac:dyDescent="0.25">
      <c r="A314" s="22" t="s">
        <v>261</v>
      </c>
      <c r="B314" s="23" t="s">
        <v>8</v>
      </c>
      <c r="C314" s="23" t="s">
        <v>9</v>
      </c>
      <c r="D314" s="24" t="s">
        <v>20</v>
      </c>
      <c r="E314" s="24" t="s">
        <v>34</v>
      </c>
      <c r="F314" s="18">
        <v>9.3126999999999995</v>
      </c>
      <c r="G314" s="19">
        <v>6.4108999999999998</v>
      </c>
      <c r="H314" s="20">
        <v>5.0708000000000002</v>
      </c>
      <c r="I314" s="21">
        <v>206.11410000000001</v>
      </c>
      <c r="J314" s="20">
        <v>126.16</v>
      </c>
      <c r="K314" s="20">
        <v>101.6622</v>
      </c>
    </row>
    <row r="315" spans="1:11" ht="15" customHeight="1" x14ac:dyDescent="0.25">
      <c r="A315" s="22" t="s">
        <v>262</v>
      </c>
      <c r="B315" s="23" t="s">
        <v>8</v>
      </c>
      <c r="C315" s="23" t="s">
        <v>9</v>
      </c>
      <c r="D315" s="24" t="s">
        <v>20</v>
      </c>
      <c r="E315" s="24" t="s">
        <v>34</v>
      </c>
      <c r="F315" s="18">
        <v>11.1845</v>
      </c>
      <c r="G315" s="19">
        <v>11.7105</v>
      </c>
      <c r="H315" s="20">
        <v>3.9420000000000002</v>
      </c>
      <c r="I315" s="21">
        <v>216.30410000000001</v>
      </c>
      <c r="J315" s="20">
        <v>238.77709999999999</v>
      </c>
      <c r="K315" s="20">
        <v>77.523899999999998</v>
      </c>
    </row>
    <row r="316" spans="1:11" ht="14.25" customHeight="1" x14ac:dyDescent="0.25">
      <c r="A316" s="25" t="s">
        <v>753</v>
      </c>
      <c r="B316" s="4" t="s">
        <v>5</v>
      </c>
      <c r="C316" s="4"/>
      <c r="D316" s="5"/>
      <c r="E316" s="5"/>
      <c r="F316" s="10">
        <v>6.6299999999999998E-2</v>
      </c>
      <c r="G316" s="11">
        <v>0.12959999999999999</v>
      </c>
      <c r="H316" s="12">
        <v>7.1499999999999994E-2</v>
      </c>
      <c r="I316" s="13">
        <v>0.504</v>
      </c>
      <c r="J316" s="12">
        <v>0.91539999999999999</v>
      </c>
      <c r="K316" s="12">
        <v>0.52459999999999996</v>
      </c>
    </row>
    <row r="317" spans="1:11" ht="15" customHeight="1" x14ac:dyDescent="0.25">
      <c r="A317" s="14" t="s">
        <v>263</v>
      </c>
      <c r="B317" s="15" t="s">
        <v>6</v>
      </c>
      <c r="C317" s="16"/>
      <c r="D317" s="17"/>
      <c r="E317" s="17"/>
      <c r="F317" s="18">
        <v>6.6299999999999998E-2</v>
      </c>
      <c r="G317" s="19">
        <v>0.12959999999999999</v>
      </c>
      <c r="H317" s="20">
        <v>7.1499999999999994E-2</v>
      </c>
      <c r="I317" s="21">
        <v>0.504</v>
      </c>
      <c r="J317" s="20">
        <v>0.91539999999999999</v>
      </c>
      <c r="K317" s="20">
        <v>0.52459999999999996</v>
      </c>
    </row>
    <row r="318" spans="1:11" ht="15" customHeight="1" x14ac:dyDescent="0.25">
      <c r="A318" s="22" t="s">
        <v>264</v>
      </c>
      <c r="B318" s="23" t="s">
        <v>8</v>
      </c>
      <c r="C318" s="23" t="s">
        <v>9</v>
      </c>
      <c r="D318" s="24" t="s">
        <v>69</v>
      </c>
      <c r="E318" s="24" t="s">
        <v>42</v>
      </c>
      <c r="F318" s="18">
        <v>6.6299999999999998E-2</v>
      </c>
      <c r="G318" s="19">
        <v>0.12959999999999999</v>
      </c>
      <c r="H318" s="20">
        <v>7.1499999999999994E-2</v>
      </c>
      <c r="I318" s="21">
        <v>0.504</v>
      </c>
      <c r="J318" s="20">
        <v>0.91539999999999999</v>
      </c>
      <c r="K318" s="20">
        <v>0.52459999999999996</v>
      </c>
    </row>
    <row r="319" spans="1:11" ht="14.25" customHeight="1" x14ac:dyDescent="0.25">
      <c r="A319" s="25" t="s">
        <v>754</v>
      </c>
      <c r="B319" s="4" t="s">
        <v>5</v>
      </c>
      <c r="C319" s="4"/>
      <c r="D319" s="5"/>
      <c r="E319" s="5"/>
      <c r="F319" s="10">
        <v>220.27789999999999</v>
      </c>
      <c r="G319" s="11">
        <v>271.99849999999998</v>
      </c>
      <c r="H319" s="12">
        <v>141.2388</v>
      </c>
      <c r="I319" s="13">
        <v>1748.9223999999999</v>
      </c>
      <c r="J319" s="12">
        <v>2358.5315000000001</v>
      </c>
      <c r="K319" s="12">
        <v>1240.7411999999999</v>
      </c>
    </row>
    <row r="320" spans="1:11" ht="15" customHeight="1" x14ac:dyDescent="0.25">
      <c r="A320" s="14" t="s">
        <v>265</v>
      </c>
      <c r="B320" s="15" t="s">
        <v>6</v>
      </c>
      <c r="C320" s="16"/>
      <c r="D320" s="17"/>
      <c r="E320" s="17"/>
      <c r="F320" s="18">
        <v>220.27789999999999</v>
      </c>
      <c r="G320" s="19">
        <v>271.99849999999998</v>
      </c>
      <c r="H320" s="20">
        <v>141.2388</v>
      </c>
      <c r="I320" s="21">
        <v>1748.9223999999999</v>
      </c>
      <c r="J320" s="20">
        <v>2358.5315000000001</v>
      </c>
      <c r="K320" s="20">
        <v>1240.7411999999999</v>
      </c>
    </row>
    <row r="321" spans="1:11" ht="15" customHeight="1" x14ac:dyDescent="0.25">
      <c r="A321" s="22" t="s">
        <v>266</v>
      </c>
      <c r="B321" s="23" t="s">
        <v>8</v>
      </c>
      <c r="C321" s="23" t="s">
        <v>9</v>
      </c>
      <c r="D321" s="24" t="s">
        <v>10</v>
      </c>
      <c r="E321" s="24" t="s">
        <v>13</v>
      </c>
      <c r="F321" s="18">
        <v>0.61529999999999996</v>
      </c>
      <c r="G321" s="19">
        <v>0.502</v>
      </c>
      <c r="H321" s="20">
        <v>4.99E-2</v>
      </c>
      <c r="I321" s="21">
        <v>4.0616000000000003</v>
      </c>
      <c r="J321" s="20">
        <v>3.2562000000000002</v>
      </c>
      <c r="K321" s="20">
        <v>0.25269999999999998</v>
      </c>
    </row>
    <row r="322" spans="1:11" ht="15" customHeight="1" x14ac:dyDescent="0.25">
      <c r="A322" s="22" t="s">
        <v>267</v>
      </c>
      <c r="B322" s="23" t="s">
        <v>8</v>
      </c>
      <c r="C322" s="23" t="s">
        <v>9</v>
      </c>
      <c r="D322" s="24" t="s">
        <v>10</v>
      </c>
      <c r="E322" s="24" t="s">
        <v>268</v>
      </c>
      <c r="F322" s="18">
        <v>18.4224</v>
      </c>
      <c r="G322" s="19">
        <v>21.849599999999999</v>
      </c>
      <c r="H322" s="20">
        <v>15.9329</v>
      </c>
      <c r="I322" s="21">
        <v>154.90440000000001</v>
      </c>
      <c r="J322" s="20">
        <v>191.65379999999999</v>
      </c>
      <c r="K322" s="20">
        <v>151.1</v>
      </c>
    </row>
    <row r="323" spans="1:11" ht="15" customHeight="1" x14ac:dyDescent="0.25">
      <c r="A323" s="22" t="s">
        <v>269</v>
      </c>
      <c r="B323" s="23" t="s">
        <v>8</v>
      </c>
      <c r="C323" s="23" t="s">
        <v>9</v>
      </c>
      <c r="D323" s="24" t="s">
        <v>10</v>
      </c>
      <c r="E323" s="24" t="s">
        <v>270</v>
      </c>
      <c r="F323" s="18">
        <v>1.851</v>
      </c>
      <c r="G323" s="19">
        <v>2.4146999999999998</v>
      </c>
      <c r="H323" s="20">
        <v>0.80920000000000003</v>
      </c>
      <c r="I323" s="21">
        <v>10.083500000000001</v>
      </c>
      <c r="J323" s="20">
        <v>14.928100000000001</v>
      </c>
      <c r="K323" s="20">
        <v>5.5830000000000002</v>
      </c>
    </row>
    <row r="324" spans="1:11" ht="15" customHeight="1" x14ac:dyDescent="0.25">
      <c r="A324" s="22" t="s">
        <v>271</v>
      </c>
      <c r="B324" s="23" t="s">
        <v>8</v>
      </c>
      <c r="C324" s="23" t="s">
        <v>9</v>
      </c>
      <c r="D324" s="24" t="s">
        <v>10</v>
      </c>
      <c r="E324" s="24" t="s">
        <v>99</v>
      </c>
      <c r="F324" s="18">
        <v>198.11109999999999</v>
      </c>
      <c r="G324" s="19">
        <v>233.6309</v>
      </c>
      <c r="H324" s="20">
        <v>113.3126</v>
      </c>
      <c r="I324" s="21">
        <v>1569.5084999999999</v>
      </c>
      <c r="J324" s="20">
        <v>2030.1902</v>
      </c>
      <c r="K324" s="20">
        <v>989.67420000000004</v>
      </c>
    </row>
    <row r="325" spans="1:11" ht="15" customHeight="1" x14ac:dyDescent="0.25">
      <c r="A325" s="22" t="s">
        <v>272</v>
      </c>
      <c r="B325" s="23" t="s">
        <v>8</v>
      </c>
      <c r="C325" s="23" t="s">
        <v>9</v>
      </c>
      <c r="D325" s="24" t="s">
        <v>10</v>
      </c>
      <c r="E325" s="24" t="s">
        <v>99</v>
      </c>
      <c r="F325" s="18">
        <v>1.278</v>
      </c>
      <c r="G325" s="19">
        <v>13.6012</v>
      </c>
      <c r="H325" s="20">
        <v>11.1342</v>
      </c>
      <c r="I325" s="21">
        <v>10.3644</v>
      </c>
      <c r="J325" s="20">
        <v>118.5029</v>
      </c>
      <c r="K325" s="20">
        <v>94.131399999999999</v>
      </c>
    </row>
    <row r="326" spans="1:11" ht="14.25" customHeight="1" x14ac:dyDescent="0.25">
      <c r="A326" s="25" t="s">
        <v>755</v>
      </c>
      <c r="B326" s="4" t="s">
        <v>5</v>
      </c>
      <c r="C326" s="4"/>
      <c r="D326" s="5"/>
      <c r="E326" s="5"/>
      <c r="F326" s="10"/>
      <c r="G326" s="11">
        <v>0.44869999999999999</v>
      </c>
      <c r="H326" s="12">
        <v>0.1852</v>
      </c>
      <c r="I326" s="13"/>
      <c r="J326" s="12">
        <v>7.1882999999999999</v>
      </c>
      <c r="K326" s="12">
        <v>2.9676999999999998</v>
      </c>
    </row>
    <row r="327" spans="1:11" ht="15" customHeight="1" x14ac:dyDescent="0.25">
      <c r="A327" s="14" t="s">
        <v>273</v>
      </c>
      <c r="B327" s="15" t="s">
        <v>6</v>
      </c>
      <c r="C327" s="16"/>
      <c r="D327" s="17"/>
      <c r="E327" s="17"/>
      <c r="F327" s="18"/>
      <c r="G327" s="19">
        <v>0.2286</v>
      </c>
      <c r="H327" s="20">
        <v>8.4099999999999994E-2</v>
      </c>
      <c r="I327" s="21"/>
      <c r="J327" s="20">
        <v>3.6671999999999998</v>
      </c>
      <c r="K327" s="20">
        <v>1.3489</v>
      </c>
    </row>
    <row r="328" spans="1:11" ht="15" customHeight="1" x14ac:dyDescent="0.25">
      <c r="A328" s="22" t="s">
        <v>822</v>
      </c>
      <c r="B328" s="23" t="s">
        <v>8</v>
      </c>
      <c r="C328" s="23" t="s">
        <v>9</v>
      </c>
      <c r="D328" s="24" t="s">
        <v>10</v>
      </c>
      <c r="E328" s="24" t="s">
        <v>34</v>
      </c>
      <c r="F328" s="18"/>
      <c r="G328" s="19">
        <v>0.2286</v>
      </c>
      <c r="H328" s="20">
        <v>8.4099999999999994E-2</v>
      </c>
      <c r="I328" s="21"/>
      <c r="J328" s="20">
        <v>3.6671999999999998</v>
      </c>
      <c r="K328" s="20">
        <v>1.3489</v>
      </c>
    </row>
    <row r="329" spans="1:11" ht="15" customHeight="1" x14ac:dyDescent="0.25">
      <c r="A329" s="14" t="s">
        <v>274</v>
      </c>
      <c r="B329" s="15" t="s">
        <v>6</v>
      </c>
      <c r="C329" s="16"/>
      <c r="D329" s="17"/>
      <c r="E329" s="17"/>
      <c r="F329" s="18"/>
      <c r="G329" s="19">
        <v>0.22009999999999999</v>
      </c>
      <c r="H329" s="20">
        <v>0.1012</v>
      </c>
      <c r="I329" s="21"/>
      <c r="J329" s="20">
        <v>3.5211000000000001</v>
      </c>
      <c r="K329" s="20">
        <v>1.6187</v>
      </c>
    </row>
    <row r="330" spans="1:11" ht="15" customHeight="1" x14ac:dyDescent="0.25">
      <c r="A330" s="22" t="s">
        <v>275</v>
      </c>
      <c r="B330" s="23" t="s">
        <v>8</v>
      </c>
      <c r="C330" s="23" t="s">
        <v>9</v>
      </c>
      <c r="D330" s="24" t="s">
        <v>10</v>
      </c>
      <c r="E330" s="24" t="s">
        <v>34</v>
      </c>
      <c r="F330" s="18"/>
      <c r="G330" s="19">
        <v>0.22009999999999999</v>
      </c>
      <c r="H330" s="20">
        <v>0.1012</v>
      </c>
      <c r="I330" s="21"/>
      <c r="J330" s="20">
        <v>3.5211000000000001</v>
      </c>
      <c r="K330" s="20">
        <v>1.6187</v>
      </c>
    </row>
    <row r="331" spans="1:11" ht="14.25" customHeight="1" x14ac:dyDescent="0.25">
      <c r="A331" s="25" t="s">
        <v>756</v>
      </c>
      <c r="B331" s="4" t="s">
        <v>5</v>
      </c>
      <c r="C331" s="4"/>
      <c r="D331" s="5"/>
      <c r="E331" s="5"/>
      <c r="F331" s="10">
        <v>34.405999999999999</v>
      </c>
      <c r="G331" s="11">
        <v>2.0082</v>
      </c>
      <c r="H331" s="12">
        <v>5.9400000000000001E-2</v>
      </c>
      <c r="I331" s="13">
        <v>1027.0906</v>
      </c>
      <c r="J331" s="12">
        <v>44.666600000000003</v>
      </c>
      <c r="K331" s="12">
        <v>0.51659999999999995</v>
      </c>
    </row>
    <row r="332" spans="1:11" ht="15" customHeight="1" x14ac:dyDescent="0.25">
      <c r="A332" s="14" t="s">
        <v>276</v>
      </c>
      <c r="B332" s="15" t="s">
        <v>6</v>
      </c>
      <c r="C332" s="16"/>
      <c r="D332" s="17"/>
      <c r="E332" s="17"/>
      <c r="F332" s="18">
        <v>34.405999999999999</v>
      </c>
      <c r="G332" s="19">
        <v>2.0082</v>
      </c>
      <c r="H332" s="20">
        <v>5.9400000000000001E-2</v>
      </c>
      <c r="I332" s="21">
        <v>1027.0906</v>
      </c>
      <c r="J332" s="20">
        <v>44.666600000000003</v>
      </c>
      <c r="K332" s="20">
        <v>0.51659999999999995</v>
      </c>
    </row>
    <row r="333" spans="1:11" ht="15" customHeight="1" x14ac:dyDescent="0.25">
      <c r="A333" s="22" t="s">
        <v>277</v>
      </c>
      <c r="B333" s="23" t="s">
        <v>8</v>
      </c>
      <c r="C333" s="23" t="s">
        <v>9</v>
      </c>
      <c r="D333" s="24" t="s">
        <v>249</v>
      </c>
      <c r="E333" s="24" t="s">
        <v>11</v>
      </c>
      <c r="F333" s="18">
        <v>0.3851</v>
      </c>
      <c r="G333" s="19">
        <v>0.10680000000000001</v>
      </c>
      <c r="H333" s="20"/>
      <c r="I333" s="21">
        <v>4.9682000000000004</v>
      </c>
      <c r="J333" s="20">
        <v>1.3105</v>
      </c>
      <c r="K333" s="20"/>
    </row>
    <row r="334" spans="1:11" ht="15" customHeight="1" x14ac:dyDescent="0.25">
      <c r="A334" s="22" t="s">
        <v>278</v>
      </c>
      <c r="B334" s="23" t="s">
        <v>8</v>
      </c>
      <c r="C334" s="23" t="s">
        <v>9</v>
      </c>
      <c r="D334" s="24" t="s">
        <v>64</v>
      </c>
      <c r="E334" s="24" t="s">
        <v>34</v>
      </c>
      <c r="F334" s="18">
        <v>1.0960000000000001</v>
      </c>
      <c r="G334" s="19">
        <v>0.3664</v>
      </c>
      <c r="H334" s="20">
        <v>5.7799999999999997E-2</v>
      </c>
      <c r="I334" s="21">
        <v>13.8332</v>
      </c>
      <c r="J334" s="20">
        <v>3.4159999999999999</v>
      </c>
      <c r="K334" s="20">
        <v>0.48</v>
      </c>
    </row>
    <row r="335" spans="1:11" ht="15" customHeight="1" x14ac:dyDescent="0.25">
      <c r="A335" s="22" t="s">
        <v>279</v>
      </c>
      <c r="B335" s="23" t="s">
        <v>8</v>
      </c>
      <c r="C335" s="23" t="s">
        <v>9</v>
      </c>
      <c r="D335" s="24" t="s">
        <v>64</v>
      </c>
      <c r="E335" s="24" t="s">
        <v>34</v>
      </c>
      <c r="F335" s="18">
        <v>8.1957000000000004</v>
      </c>
      <c r="G335" s="19">
        <v>0.14119999999999999</v>
      </c>
      <c r="H335" s="20">
        <v>1.1000000000000001E-3</v>
      </c>
      <c r="I335" s="21">
        <v>213.62710000000001</v>
      </c>
      <c r="J335" s="20">
        <v>2.6021999999999998</v>
      </c>
      <c r="K335" s="20">
        <v>1.6E-2</v>
      </c>
    </row>
    <row r="336" spans="1:11" ht="15" customHeight="1" x14ac:dyDescent="0.25">
      <c r="A336" s="22" t="s">
        <v>280</v>
      </c>
      <c r="B336" s="23" t="s">
        <v>8</v>
      </c>
      <c r="C336" s="23" t="s">
        <v>9</v>
      </c>
      <c r="D336" s="24" t="s">
        <v>249</v>
      </c>
      <c r="E336" s="24" t="s">
        <v>34</v>
      </c>
      <c r="F336" s="18">
        <v>2.8999999999999998E-3</v>
      </c>
      <c r="G336" s="19"/>
      <c r="H336" s="20"/>
      <c r="I336" s="21">
        <v>0.17960000000000001</v>
      </c>
      <c r="J336" s="20"/>
      <c r="K336" s="20"/>
    </row>
    <row r="337" spans="1:11" ht="15" customHeight="1" x14ac:dyDescent="0.25">
      <c r="A337" s="22" t="s">
        <v>281</v>
      </c>
      <c r="B337" s="23" t="s">
        <v>8</v>
      </c>
      <c r="C337" s="23" t="s">
        <v>9</v>
      </c>
      <c r="D337" s="24" t="s">
        <v>249</v>
      </c>
      <c r="E337" s="24" t="s">
        <v>34</v>
      </c>
      <c r="F337" s="18"/>
      <c r="G337" s="19"/>
      <c r="H337" s="20"/>
      <c r="I337" s="21"/>
      <c r="J337" s="20"/>
      <c r="K337" s="20"/>
    </row>
    <row r="338" spans="1:11" ht="15" customHeight="1" x14ac:dyDescent="0.25">
      <c r="A338" s="22" t="s">
        <v>282</v>
      </c>
      <c r="B338" s="23" t="s">
        <v>8</v>
      </c>
      <c r="C338" s="23" t="s">
        <v>9</v>
      </c>
      <c r="D338" s="24" t="s">
        <v>10</v>
      </c>
      <c r="E338" s="24" t="s">
        <v>34</v>
      </c>
      <c r="F338" s="18">
        <v>0.22670000000000001</v>
      </c>
      <c r="G338" s="19"/>
      <c r="H338" s="20"/>
      <c r="I338" s="21">
        <v>4.5189000000000004</v>
      </c>
      <c r="J338" s="20"/>
      <c r="K338" s="20"/>
    </row>
    <row r="339" spans="1:11" ht="15" customHeight="1" x14ac:dyDescent="0.25">
      <c r="A339" s="22" t="s">
        <v>283</v>
      </c>
      <c r="B339" s="23" t="s">
        <v>8</v>
      </c>
      <c r="C339" s="23" t="s">
        <v>9</v>
      </c>
      <c r="D339" s="24" t="s">
        <v>249</v>
      </c>
      <c r="E339" s="24" t="s">
        <v>42</v>
      </c>
      <c r="F339" s="18">
        <v>24.499500000000001</v>
      </c>
      <c r="G339" s="19">
        <v>1.3658999999999999</v>
      </c>
      <c r="H339" s="20">
        <v>5.9999999999999995E-4</v>
      </c>
      <c r="I339" s="21">
        <v>789.96360000000004</v>
      </c>
      <c r="J339" s="20">
        <v>36.531500000000001</v>
      </c>
      <c r="K339" s="20">
        <v>2.06E-2</v>
      </c>
    </row>
    <row r="340" spans="1:11" ht="15" customHeight="1" x14ac:dyDescent="0.25">
      <c r="A340" s="22" t="s">
        <v>284</v>
      </c>
      <c r="B340" s="23" t="s">
        <v>8</v>
      </c>
      <c r="C340" s="23" t="s">
        <v>9</v>
      </c>
      <c r="D340" s="24" t="s">
        <v>64</v>
      </c>
      <c r="E340" s="24" t="s">
        <v>42</v>
      </c>
      <c r="F340" s="18"/>
      <c r="G340" s="19">
        <v>2.8000000000000001E-2</v>
      </c>
      <c r="H340" s="20"/>
      <c r="I340" s="21"/>
      <c r="J340" s="20">
        <v>0.80640000000000001</v>
      </c>
      <c r="K340" s="20"/>
    </row>
    <row r="341" spans="1:11" ht="14.25" customHeight="1" x14ac:dyDescent="0.25">
      <c r="A341" s="25" t="s">
        <v>757</v>
      </c>
      <c r="B341" s="4" t="s">
        <v>5</v>
      </c>
      <c r="C341" s="4"/>
      <c r="D341" s="5"/>
      <c r="E341" s="5"/>
      <c r="F341" s="10"/>
      <c r="G341" s="11">
        <v>10.2052</v>
      </c>
      <c r="H341" s="12">
        <v>14.4321</v>
      </c>
      <c r="I341" s="13"/>
      <c r="J341" s="12">
        <v>569.2527</v>
      </c>
      <c r="K341" s="12">
        <v>716.4248</v>
      </c>
    </row>
    <row r="342" spans="1:11" ht="15" customHeight="1" x14ac:dyDescent="0.25">
      <c r="A342" s="14" t="s">
        <v>285</v>
      </c>
      <c r="B342" s="15" t="s">
        <v>6</v>
      </c>
      <c r="C342" s="16"/>
      <c r="D342" s="17"/>
      <c r="E342" s="17"/>
      <c r="F342" s="18"/>
      <c r="G342" s="19">
        <v>10.2052</v>
      </c>
      <c r="H342" s="20">
        <v>14.4321</v>
      </c>
      <c r="I342" s="21"/>
      <c r="J342" s="20">
        <v>569.2527</v>
      </c>
      <c r="K342" s="20">
        <v>716.4248</v>
      </c>
    </row>
    <row r="343" spans="1:11" ht="15" customHeight="1" x14ac:dyDescent="0.25">
      <c r="A343" s="22" t="s">
        <v>286</v>
      </c>
      <c r="B343" s="23" t="s">
        <v>8</v>
      </c>
      <c r="C343" s="23" t="s">
        <v>9</v>
      </c>
      <c r="D343" s="24" t="s">
        <v>20</v>
      </c>
      <c r="E343" s="24" t="s">
        <v>42</v>
      </c>
      <c r="F343" s="18"/>
      <c r="G343" s="19">
        <v>10.2052</v>
      </c>
      <c r="H343" s="20">
        <v>14.4321</v>
      </c>
      <c r="I343" s="21"/>
      <c r="J343" s="20">
        <v>569.2527</v>
      </c>
      <c r="K343" s="20">
        <v>716.4248</v>
      </c>
    </row>
    <row r="344" spans="1:11" ht="14.25" customHeight="1" x14ac:dyDescent="0.25">
      <c r="A344" s="25" t="s">
        <v>758</v>
      </c>
      <c r="B344" s="4" t="s">
        <v>5</v>
      </c>
      <c r="C344" s="4"/>
      <c r="D344" s="5"/>
      <c r="E344" s="5"/>
      <c r="F344" s="10"/>
      <c r="G344" s="11"/>
      <c r="H344" s="12"/>
      <c r="I344" s="13"/>
      <c r="J344" s="12"/>
      <c r="K344" s="12"/>
    </row>
    <row r="345" spans="1:11" ht="15" customHeight="1" x14ac:dyDescent="0.25">
      <c r="A345" s="14" t="s">
        <v>287</v>
      </c>
      <c r="B345" s="15" t="s">
        <v>6</v>
      </c>
      <c r="C345" s="16"/>
      <c r="D345" s="17"/>
      <c r="E345" s="17"/>
      <c r="F345" s="18"/>
      <c r="G345" s="19"/>
      <c r="H345" s="20"/>
      <c r="I345" s="21"/>
      <c r="J345" s="20"/>
      <c r="K345" s="20"/>
    </row>
    <row r="346" spans="1:11" ht="15" customHeight="1" x14ac:dyDescent="0.25">
      <c r="A346" s="22" t="s">
        <v>288</v>
      </c>
      <c r="B346" s="23" t="s">
        <v>8</v>
      </c>
      <c r="C346" s="23" t="s">
        <v>9</v>
      </c>
      <c r="D346" s="24" t="s">
        <v>20</v>
      </c>
      <c r="E346" s="24" t="s">
        <v>42</v>
      </c>
      <c r="F346" s="18"/>
      <c r="G346" s="19"/>
      <c r="H346" s="20"/>
      <c r="I346" s="21"/>
      <c r="J346" s="20"/>
      <c r="K346" s="20"/>
    </row>
    <row r="347" spans="1:11" ht="14.25" customHeight="1" x14ac:dyDescent="0.25">
      <c r="A347" s="25" t="s">
        <v>759</v>
      </c>
      <c r="B347" s="4" t="s">
        <v>5</v>
      </c>
      <c r="C347" s="4"/>
      <c r="D347" s="5"/>
      <c r="E347" s="5"/>
      <c r="F347" s="10">
        <v>1.1900000000000001E-2</v>
      </c>
      <c r="G347" s="11"/>
      <c r="H347" s="12"/>
      <c r="I347" s="13">
        <v>0.14000000000000001</v>
      </c>
      <c r="J347" s="12"/>
      <c r="K347" s="12"/>
    </row>
    <row r="348" spans="1:11" ht="15" customHeight="1" x14ac:dyDescent="0.25">
      <c r="A348" s="14" t="s">
        <v>289</v>
      </c>
      <c r="B348" s="15" t="s">
        <v>6</v>
      </c>
      <c r="C348" s="16"/>
      <c r="D348" s="17"/>
      <c r="E348" s="17"/>
      <c r="F348" s="18">
        <v>1.1900000000000001E-2</v>
      </c>
      <c r="G348" s="19"/>
      <c r="H348" s="20"/>
      <c r="I348" s="21">
        <v>0.14000000000000001</v>
      </c>
      <c r="J348" s="20"/>
      <c r="K348" s="20"/>
    </row>
    <row r="349" spans="1:11" ht="15" customHeight="1" x14ac:dyDescent="0.25">
      <c r="A349" s="22" t="s">
        <v>290</v>
      </c>
      <c r="B349" s="23" t="s">
        <v>8</v>
      </c>
      <c r="C349" s="23" t="s">
        <v>9</v>
      </c>
      <c r="D349" s="24" t="s">
        <v>10</v>
      </c>
      <c r="E349" s="24" t="s">
        <v>26</v>
      </c>
      <c r="F349" s="18">
        <v>1.1900000000000001E-2</v>
      </c>
      <c r="G349" s="19"/>
      <c r="H349" s="20"/>
      <c r="I349" s="21">
        <v>0.14000000000000001</v>
      </c>
      <c r="J349" s="20"/>
      <c r="K349" s="20"/>
    </row>
    <row r="350" spans="1:11" ht="15" customHeight="1" x14ac:dyDescent="0.25">
      <c r="A350" s="22" t="s">
        <v>291</v>
      </c>
      <c r="B350" s="23" t="s">
        <v>8</v>
      </c>
      <c r="C350" s="23" t="s">
        <v>9</v>
      </c>
      <c r="D350" s="24" t="s">
        <v>20</v>
      </c>
      <c r="E350" s="24" t="s">
        <v>17</v>
      </c>
      <c r="F350" s="18"/>
      <c r="G350" s="19"/>
      <c r="H350" s="20"/>
      <c r="I350" s="21"/>
      <c r="J350" s="20"/>
      <c r="K350" s="20"/>
    </row>
    <row r="351" spans="1:11" ht="14.25" customHeight="1" x14ac:dyDescent="0.25">
      <c r="A351" s="25" t="s">
        <v>760</v>
      </c>
      <c r="B351" s="4" t="s">
        <v>5</v>
      </c>
      <c r="C351" s="4"/>
      <c r="D351" s="5"/>
      <c r="E351" s="5"/>
      <c r="F351" s="10">
        <v>0.33289999999999997</v>
      </c>
      <c r="G351" s="11">
        <v>2.7199999999999998E-2</v>
      </c>
      <c r="H351" s="12">
        <v>1.4402999999999999</v>
      </c>
      <c r="I351" s="13">
        <v>16.585699999999999</v>
      </c>
      <c r="J351" s="12">
        <v>2.2242999999999999</v>
      </c>
      <c r="K351" s="12">
        <v>35.560600000000001</v>
      </c>
    </row>
    <row r="352" spans="1:11" ht="15" customHeight="1" x14ac:dyDescent="0.25">
      <c r="A352" s="14" t="s">
        <v>292</v>
      </c>
      <c r="B352" s="15" t="s">
        <v>6</v>
      </c>
      <c r="C352" s="16"/>
      <c r="D352" s="17"/>
      <c r="E352" s="17"/>
      <c r="F352" s="18">
        <v>0.33289999999999997</v>
      </c>
      <c r="G352" s="19">
        <v>2.7199999999999998E-2</v>
      </c>
      <c r="H352" s="20">
        <v>1.4402999999999999</v>
      </c>
      <c r="I352" s="21">
        <v>16.585699999999999</v>
      </c>
      <c r="J352" s="20">
        <v>2.2242999999999999</v>
      </c>
      <c r="K352" s="20">
        <v>35.560600000000001</v>
      </c>
    </row>
    <row r="353" spans="1:11" ht="15" customHeight="1" x14ac:dyDescent="0.25">
      <c r="A353" s="22" t="s">
        <v>293</v>
      </c>
      <c r="B353" s="23" t="s">
        <v>8</v>
      </c>
      <c r="C353" s="23" t="s">
        <v>9</v>
      </c>
      <c r="D353" s="24" t="s">
        <v>20</v>
      </c>
      <c r="E353" s="24" t="s">
        <v>32</v>
      </c>
      <c r="F353" s="18"/>
      <c r="G353" s="19"/>
      <c r="H353" s="20">
        <v>0.69599999999999995</v>
      </c>
      <c r="I353" s="21"/>
      <c r="J353" s="20"/>
      <c r="K353" s="20">
        <v>11.551500000000001</v>
      </c>
    </row>
    <row r="354" spans="1:11" ht="15" customHeight="1" x14ac:dyDescent="0.25">
      <c r="A354" s="22" t="s">
        <v>294</v>
      </c>
      <c r="B354" s="23" t="s">
        <v>8</v>
      </c>
      <c r="C354" s="23" t="s">
        <v>9</v>
      </c>
      <c r="D354" s="24" t="s">
        <v>20</v>
      </c>
      <c r="E354" s="24" t="s">
        <v>68</v>
      </c>
      <c r="F354" s="18">
        <v>0.33289999999999997</v>
      </c>
      <c r="G354" s="19">
        <v>2.7199999999999998E-2</v>
      </c>
      <c r="H354" s="20">
        <v>0.74419999999999997</v>
      </c>
      <c r="I354" s="21">
        <v>16.585699999999999</v>
      </c>
      <c r="J354" s="20">
        <v>2.2242999999999999</v>
      </c>
      <c r="K354" s="20">
        <v>24.0091</v>
      </c>
    </row>
    <row r="355" spans="1:11" ht="14.25" customHeight="1" x14ac:dyDescent="0.25">
      <c r="A355" s="25" t="s">
        <v>761</v>
      </c>
      <c r="B355" s="4" t="s">
        <v>5</v>
      </c>
      <c r="C355" s="4"/>
      <c r="D355" s="5"/>
      <c r="E355" s="5"/>
      <c r="F355" s="10">
        <v>41.451799999999999</v>
      </c>
      <c r="G355" s="11">
        <v>23.849699999999999</v>
      </c>
      <c r="H355" s="12">
        <v>14.791499999999999</v>
      </c>
      <c r="I355" s="13">
        <v>1547.7049999999999</v>
      </c>
      <c r="J355" s="12">
        <v>1096.4466</v>
      </c>
      <c r="K355" s="12">
        <v>817.30290000000002</v>
      </c>
    </row>
    <row r="356" spans="1:11" ht="15" customHeight="1" x14ac:dyDescent="0.25">
      <c r="A356" s="14" t="s">
        <v>295</v>
      </c>
      <c r="B356" s="15" t="s">
        <v>6</v>
      </c>
      <c r="C356" s="16"/>
      <c r="D356" s="17"/>
      <c r="E356" s="17"/>
      <c r="F356" s="18">
        <v>41.451799999999999</v>
      </c>
      <c r="G356" s="19">
        <v>23.849699999999999</v>
      </c>
      <c r="H356" s="20">
        <v>14.791499999999999</v>
      </c>
      <c r="I356" s="21">
        <v>1547.7049999999999</v>
      </c>
      <c r="J356" s="20">
        <v>1096.4466</v>
      </c>
      <c r="K356" s="20">
        <v>817.30290000000002</v>
      </c>
    </row>
    <row r="357" spans="1:11" ht="15" customHeight="1" x14ac:dyDescent="0.25">
      <c r="A357" s="22" t="s">
        <v>296</v>
      </c>
      <c r="B357" s="23" t="s">
        <v>8</v>
      </c>
      <c r="C357" s="23" t="s">
        <v>9</v>
      </c>
      <c r="D357" s="24" t="s">
        <v>20</v>
      </c>
      <c r="E357" s="24" t="s">
        <v>24</v>
      </c>
      <c r="F357" s="18"/>
      <c r="G357" s="19">
        <v>3.2099999999999997E-2</v>
      </c>
      <c r="H357" s="20">
        <v>0.19070000000000001</v>
      </c>
      <c r="I357" s="21"/>
      <c r="J357" s="20">
        <v>1.7567999999999999</v>
      </c>
      <c r="K357" s="20">
        <v>7.8956</v>
      </c>
    </row>
    <row r="358" spans="1:11" ht="15" customHeight="1" x14ac:dyDescent="0.25">
      <c r="A358" s="22" t="s">
        <v>297</v>
      </c>
      <c r="B358" s="23" t="s">
        <v>8</v>
      </c>
      <c r="C358" s="23" t="s">
        <v>9</v>
      </c>
      <c r="D358" s="24" t="s">
        <v>30</v>
      </c>
      <c r="E358" s="24" t="s">
        <v>103</v>
      </c>
      <c r="F358" s="18"/>
      <c r="G358" s="19"/>
      <c r="H358" s="20">
        <v>2.2185000000000001</v>
      </c>
      <c r="I358" s="21"/>
      <c r="J358" s="20"/>
      <c r="K358" s="20">
        <v>128.51750000000001</v>
      </c>
    </row>
    <row r="359" spans="1:11" ht="15" customHeight="1" x14ac:dyDescent="0.25">
      <c r="A359" s="22" t="s">
        <v>298</v>
      </c>
      <c r="B359" s="23" t="s">
        <v>8</v>
      </c>
      <c r="C359" s="23" t="s">
        <v>9</v>
      </c>
      <c r="D359" s="24" t="s">
        <v>20</v>
      </c>
      <c r="E359" s="24" t="s">
        <v>103</v>
      </c>
      <c r="F359" s="18"/>
      <c r="G359" s="19">
        <v>7.0191999999999997</v>
      </c>
      <c r="H359" s="20">
        <v>7.8216999999999999</v>
      </c>
      <c r="I359" s="21"/>
      <c r="J359" s="20">
        <v>471.142</v>
      </c>
      <c r="K359" s="20">
        <v>503.7824</v>
      </c>
    </row>
    <row r="360" spans="1:11" ht="15" customHeight="1" x14ac:dyDescent="0.25">
      <c r="A360" s="22" t="s">
        <v>299</v>
      </c>
      <c r="B360" s="23" t="s">
        <v>8</v>
      </c>
      <c r="C360" s="23" t="s">
        <v>9</v>
      </c>
      <c r="D360" s="24" t="s">
        <v>20</v>
      </c>
      <c r="E360" s="24" t="s">
        <v>42</v>
      </c>
      <c r="F360" s="18">
        <v>8.5007999999999999</v>
      </c>
      <c r="G360" s="19">
        <v>1.8512999999999999</v>
      </c>
      <c r="H360" s="20">
        <v>0.35020000000000001</v>
      </c>
      <c r="I360" s="21">
        <v>288.41750000000002</v>
      </c>
      <c r="J360" s="20">
        <v>66.691299999999998</v>
      </c>
      <c r="K360" s="20">
        <v>13.4161</v>
      </c>
    </row>
    <row r="361" spans="1:11" ht="15" customHeight="1" x14ac:dyDescent="0.25">
      <c r="A361" s="22" t="s">
        <v>300</v>
      </c>
      <c r="B361" s="23" t="s">
        <v>8</v>
      </c>
      <c r="C361" s="23" t="s">
        <v>9</v>
      </c>
      <c r="D361" s="24" t="s">
        <v>20</v>
      </c>
      <c r="E361" s="24" t="s">
        <v>42</v>
      </c>
      <c r="F361" s="18">
        <v>32.951099999999997</v>
      </c>
      <c r="G361" s="19">
        <v>14.947100000000001</v>
      </c>
      <c r="H361" s="20">
        <v>4.2103999999999999</v>
      </c>
      <c r="I361" s="21">
        <v>1259.2874999999999</v>
      </c>
      <c r="J361" s="20">
        <v>556.85670000000005</v>
      </c>
      <c r="K361" s="20">
        <v>163.69149999999999</v>
      </c>
    </row>
    <row r="362" spans="1:11" ht="14.25" customHeight="1" x14ac:dyDescent="0.25">
      <c r="A362" s="25" t="s">
        <v>762</v>
      </c>
      <c r="B362" s="4" t="s">
        <v>5</v>
      </c>
      <c r="C362" s="4"/>
      <c r="D362" s="5"/>
      <c r="E362" s="5"/>
      <c r="F362" s="10">
        <v>168.57919999999999</v>
      </c>
      <c r="G362" s="11">
        <v>187.82560000000001</v>
      </c>
      <c r="H362" s="12">
        <v>100.9211</v>
      </c>
      <c r="I362" s="13">
        <v>4051.7896000000001</v>
      </c>
      <c r="J362" s="12">
        <v>4420.8852999999999</v>
      </c>
      <c r="K362" s="12">
        <v>2421.1071000000002</v>
      </c>
    </row>
    <row r="363" spans="1:11" ht="15" customHeight="1" x14ac:dyDescent="0.25">
      <c r="A363" s="14" t="s">
        <v>301</v>
      </c>
      <c r="B363" s="15" t="s">
        <v>6</v>
      </c>
      <c r="C363" s="16"/>
      <c r="D363" s="17"/>
      <c r="E363" s="17"/>
      <c r="F363" s="18">
        <v>168.57919999999999</v>
      </c>
      <c r="G363" s="19">
        <v>187.82560000000001</v>
      </c>
      <c r="H363" s="20">
        <v>100.9211</v>
      </c>
      <c r="I363" s="21">
        <v>4051.7896000000001</v>
      </c>
      <c r="J363" s="20">
        <v>4420.8852999999999</v>
      </c>
      <c r="K363" s="20">
        <v>2421.1071000000002</v>
      </c>
    </row>
    <row r="364" spans="1:11" ht="15" customHeight="1" x14ac:dyDescent="0.25">
      <c r="A364" s="22" t="s">
        <v>823</v>
      </c>
      <c r="B364" s="23" t="s">
        <v>8</v>
      </c>
      <c r="C364" s="23" t="s">
        <v>9</v>
      </c>
      <c r="D364" s="24" t="s">
        <v>30</v>
      </c>
      <c r="E364" s="24" t="s">
        <v>118</v>
      </c>
      <c r="F364" s="18"/>
      <c r="G364" s="19"/>
      <c r="H364" s="20"/>
      <c r="I364" s="21"/>
      <c r="J364" s="20"/>
      <c r="K364" s="20"/>
    </row>
    <row r="365" spans="1:11" ht="15" customHeight="1" x14ac:dyDescent="0.25">
      <c r="A365" s="22" t="s">
        <v>302</v>
      </c>
      <c r="B365" s="23" t="s">
        <v>8</v>
      </c>
      <c r="C365" s="23" t="s">
        <v>9</v>
      </c>
      <c r="D365" s="24" t="s">
        <v>30</v>
      </c>
      <c r="E365" s="24" t="s">
        <v>34</v>
      </c>
      <c r="F365" s="18">
        <v>53.822000000000003</v>
      </c>
      <c r="G365" s="19">
        <v>66.983199999999997</v>
      </c>
      <c r="H365" s="20">
        <v>42.143000000000001</v>
      </c>
      <c r="I365" s="21">
        <v>1325.5655999999999</v>
      </c>
      <c r="J365" s="20">
        <v>1594.76</v>
      </c>
      <c r="K365" s="20">
        <v>1015.3249</v>
      </c>
    </row>
    <row r="366" spans="1:11" ht="15" customHeight="1" x14ac:dyDescent="0.25">
      <c r="A366" s="22" t="s">
        <v>303</v>
      </c>
      <c r="B366" s="23" t="s">
        <v>8</v>
      </c>
      <c r="C366" s="23" t="s">
        <v>9</v>
      </c>
      <c r="D366" s="24" t="s">
        <v>30</v>
      </c>
      <c r="E366" s="24" t="s">
        <v>34</v>
      </c>
      <c r="F366" s="18">
        <v>81.760300000000001</v>
      </c>
      <c r="G366" s="19">
        <v>83.135000000000005</v>
      </c>
      <c r="H366" s="20">
        <v>53.412599999999998</v>
      </c>
      <c r="I366" s="21">
        <v>1959.0420999999999</v>
      </c>
      <c r="J366" s="20">
        <v>1973.6881000000001</v>
      </c>
      <c r="K366" s="20">
        <v>1284.8007</v>
      </c>
    </row>
    <row r="367" spans="1:11" ht="15" customHeight="1" x14ac:dyDescent="0.25">
      <c r="A367" s="22" t="s">
        <v>304</v>
      </c>
      <c r="B367" s="23" t="s">
        <v>8</v>
      </c>
      <c r="C367" s="23" t="s">
        <v>9</v>
      </c>
      <c r="D367" s="24" t="s">
        <v>30</v>
      </c>
      <c r="E367" s="24" t="s">
        <v>34</v>
      </c>
      <c r="F367" s="18">
        <v>24.3629</v>
      </c>
      <c r="G367" s="19">
        <v>18.871200000000002</v>
      </c>
      <c r="H367" s="20">
        <v>0.95489999999999997</v>
      </c>
      <c r="I367" s="21">
        <v>571.42309999999998</v>
      </c>
      <c r="J367" s="20">
        <v>430.0342</v>
      </c>
      <c r="K367" s="20">
        <v>21.356300000000001</v>
      </c>
    </row>
    <row r="368" spans="1:11" ht="15" customHeight="1" x14ac:dyDescent="0.25">
      <c r="A368" s="22" t="s">
        <v>305</v>
      </c>
      <c r="B368" s="23" t="s">
        <v>8</v>
      </c>
      <c r="C368" s="23" t="s">
        <v>9</v>
      </c>
      <c r="D368" s="24" t="s">
        <v>30</v>
      </c>
      <c r="E368" s="24" t="s">
        <v>34</v>
      </c>
      <c r="F368" s="18"/>
      <c r="G368" s="19"/>
      <c r="H368" s="20"/>
      <c r="I368" s="21"/>
      <c r="J368" s="20"/>
      <c r="K368" s="20"/>
    </row>
    <row r="369" spans="1:11" ht="15" customHeight="1" x14ac:dyDescent="0.25">
      <c r="A369" s="22" t="s">
        <v>306</v>
      </c>
      <c r="B369" s="23" t="s">
        <v>8</v>
      </c>
      <c r="C369" s="23" t="s">
        <v>9</v>
      </c>
      <c r="D369" s="24" t="s">
        <v>10</v>
      </c>
      <c r="E369" s="24" t="s">
        <v>34</v>
      </c>
      <c r="F369" s="18">
        <v>6.2572999999999999</v>
      </c>
      <c r="G369" s="19">
        <v>18.031600000000001</v>
      </c>
      <c r="H369" s="20">
        <v>4.2451999999999996</v>
      </c>
      <c r="I369" s="21">
        <v>140.29249999999999</v>
      </c>
      <c r="J369" s="20">
        <v>398.21929999999998</v>
      </c>
      <c r="K369" s="20">
        <v>95.220100000000002</v>
      </c>
    </row>
    <row r="370" spans="1:11" ht="15" customHeight="1" x14ac:dyDescent="0.25">
      <c r="A370" s="22" t="s">
        <v>307</v>
      </c>
      <c r="B370" s="23" t="s">
        <v>8</v>
      </c>
      <c r="C370" s="23" t="s">
        <v>9</v>
      </c>
      <c r="D370" s="24" t="s">
        <v>20</v>
      </c>
      <c r="E370" s="24" t="s">
        <v>37</v>
      </c>
      <c r="F370" s="18"/>
      <c r="G370" s="19"/>
      <c r="H370" s="20">
        <v>0.16520000000000001</v>
      </c>
      <c r="I370" s="21"/>
      <c r="J370" s="20"/>
      <c r="K370" s="20">
        <v>4.4053000000000004</v>
      </c>
    </row>
    <row r="371" spans="1:11" ht="15" customHeight="1" x14ac:dyDescent="0.25">
      <c r="A371" s="22" t="s">
        <v>308</v>
      </c>
      <c r="B371" s="23" t="s">
        <v>8</v>
      </c>
      <c r="C371" s="23" t="s">
        <v>9</v>
      </c>
      <c r="D371" s="24" t="s">
        <v>10</v>
      </c>
      <c r="E371" s="24" t="s">
        <v>37</v>
      </c>
      <c r="F371" s="18">
        <v>2.9600000000000001E-2</v>
      </c>
      <c r="G371" s="19"/>
      <c r="H371" s="20"/>
      <c r="I371" s="21">
        <v>0.8246</v>
      </c>
      <c r="J371" s="20"/>
      <c r="K371" s="20"/>
    </row>
    <row r="372" spans="1:11" ht="15" customHeight="1" x14ac:dyDescent="0.25">
      <c r="A372" s="22" t="s">
        <v>309</v>
      </c>
      <c r="B372" s="23" t="s">
        <v>8</v>
      </c>
      <c r="C372" s="23" t="s">
        <v>9</v>
      </c>
      <c r="D372" s="24" t="s">
        <v>10</v>
      </c>
      <c r="E372" s="24" t="s">
        <v>37</v>
      </c>
      <c r="F372" s="18"/>
      <c r="G372" s="19"/>
      <c r="H372" s="20"/>
      <c r="I372" s="21"/>
      <c r="J372" s="20"/>
      <c r="K372" s="20"/>
    </row>
    <row r="373" spans="1:11" ht="15" customHeight="1" x14ac:dyDescent="0.25">
      <c r="A373" s="22" t="s">
        <v>310</v>
      </c>
      <c r="B373" s="23" t="s">
        <v>8</v>
      </c>
      <c r="C373" s="23" t="s">
        <v>9</v>
      </c>
      <c r="D373" s="24" t="s">
        <v>10</v>
      </c>
      <c r="E373" s="24" t="s">
        <v>42</v>
      </c>
      <c r="F373" s="18">
        <v>2.3472</v>
      </c>
      <c r="G373" s="19">
        <v>0.8044</v>
      </c>
      <c r="H373" s="20"/>
      <c r="I373" s="21">
        <v>54.641800000000003</v>
      </c>
      <c r="J373" s="20">
        <v>24.183599999999998</v>
      </c>
      <c r="K373" s="20"/>
    </row>
    <row r="374" spans="1:11" ht="14.25" customHeight="1" x14ac:dyDescent="0.25">
      <c r="A374" s="25" t="s">
        <v>763</v>
      </c>
      <c r="B374" s="4" t="s">
        <v>5</v>
      </c>
      <c r="C374" s="4"/>
      <c r="D374" s="5"/>
      <c r="E374" s="5"/>
      <c r="F374" s="10">
        <v>6.1033999999999997</v>
      </c>
      <c r="G374" s="11">
        <v>8.2299999999999998E-2</v>
      </c>
      <c r="H374" s="12"/>
      <c r="I374" s="13">
        <v>422.25490000000002</v>
      </c>
      <c r="J374" s="12">
        <v>3.4649000000000001</v>
      </c>
      <c r="K374" s="12"/>
    </row>
    <row r="375" spans="1:11" ht="15" customHeight="1" x14ac:dyDescent="0.25">
      <c r="A375" s="14" t="s">
        <v>311</v>
      </c>
      <c r="B375" s="15" t="s">
        <v>6</v>
      </c>
      <c r="C375" s="16"/>
      <c r="D375" s="17"/>
      <c r="E375" s="17"/>
      <c r="F375" s="18">
        <v>6.1033999999999997</v>
      </c>
      <c r="G375" s="19">
        <v>8.2299999999999998E-2</v>
      </c>
      <c r="H375" s="20"/>
      <c r="I375" s="21">
        <v>422.25490000000002</v>
      </c>
      <c r="J375" s="20">
        <v>3.4649000000000001</v>
      </c>
      <c r="K375" s="20"/>
    </row>
    <row r="376" spans="1:11" ht="15" customHeight="1" x14ac:dyDescent="0.25">
      <c r="A376" s="22" t="s">
        <v>312</v>
      </c>
      <c r="B376" s="23" t="s">
        <v>8</v>
      </c>
      <c r="C376" s="23" t="s">
        <v>9</v>
      </c>
      <c r="D376" s="24" t="s">
        <v>30</v>
      </c>
      <c r="E376" s="24" t="s">
        <v>103</v>
      </c>
      <c r="F376" s="18">
        <v>5.9740000000000002</v>
      </c>
      <c r="G376" s="19"/>
      <c r="H376" s="20"/>
      <c r="I376" s="21">
        <v>416.80889999999999</v>
      </c>
      <c r="J376" s="20"/>
      <c r="K376" s="20"/>
    </row>
    <row r="377" spans="1:11" ht="15" customHeight="1" x14ac:dyDescent="0.25">
      <c r="A377" s="22" t="s">
        <v>313</v>
      </c>
      <c r="B377" s="23" t="s">
        <v>8</v>
      </c>
      <c r="C377" s="23" t="s">
        <v>9</v>
      </c>
      <c r="D377" s="24" t="s">
        <v>20</v>
      </c>
      <c r="E377" s="24" t="s">
        <v>17</v>
      </c>
      <c r="F377" s="18">
        <v>0.1293</v>
      </c>
      <c r="G377" s="19">
        <v>8.2299999999999998E-2</v>
      </c>
      <c r="H377" s="20"/>
      <c r="I377" s="21">
        <v>5.4459999999999997</v>
      </c>
      <c r="J377" s="20">
        <v>3.4649000000000001</v>
      </c>
      <c r="K377" s="20"/>
    </row>
    <row r="378" spans="1:11" ht="14.25" customHeight="1" x14ac:dyDescent="0.25">
      <c r="A378" s="25" t="s">
        <v>764</v>
      </c>
      <c r="B378" s="4" t="s">
        <v>5</v>
      </c>
      <c r="C378" s="4"/>
      <c r="D378" s="5"/>
      <c r="E378" s="5"/>
      <c r="F378" s="10">
        <v>11.181699999999999</v>
      </c>
      <c r="G378" s="11">
        <v>15.1816</v>
      </c>
      <c r="H378" s="12">
        <v>9.6165000000000003</v>
      </c>
      <c r="I378" s="13">
        <v>586.38080000000002</v>
      </c>
      <c r="J378" s="12">
        <v>752.94479999999999</v>
      </c>
      <c r="K378" s="12">
        <v>438.76389999999998</v>
      </c>
    </row>
    <row r="379" spans="1:11" ht="15" customHeight="1" x14ac:dyDescent="0.25">
      <c r="A379" s="14" t="s">
        <v>314</v>
      </c>
      <c r="B379" s="15" t="s">
        <v>6</v>
      </c>
      <c r="C379" s="16"/>
      <c r="D379" s="17"/>
      <c r="E379" s="17"/>
      <c r="F379" s="18">
        <v>11.181699999999999</v>
      </c>
      <c r="G379" s="19">
        <v>15.1816</v>
      </c>
      <c r="H379" s="20">
        <v>9.6165000000000003</v>
      </c>
      <c r="I379" s="21">
        <v>586.38080000000002</v>
      </c>
      <c r="J379" s="20">
        <v>752.94479999999999</v>
      </c>
      <c r="K379" s="20">
        <v>438.76389999999998</v>
      </c>
    </row>
    <row r="380" spans="1:11" ht="15" customHeight="1" x14ac:dyDescent="0.25">
      <c r="A380" s="22" t="s">
        <v>315</v>
      </c>
      <c r="B380" s="23" t="s">
        <v>8</v>
      </c>
      <c r="C380" s="23" t="s">
        <v>9</v>
      </c>
      <c r="D380" s="24" t="s">
        <v>30</v>
      </c>
      <c r="E380" s="24" t="s">
        <v>42</v>
      </c>
      <c r="F380" s="18">
        <v>11.181699999999999</v>
      </c>
      <c r="G380" s="19">
        <v>15.1816</v>
      </c>
      <c r="H380" s="20">
        <v>9.6165000000000003</v>
      </c>
      <c r="I380" s="21">
        <v>586.38080000000002</v>
      </c>
      <c r="J380" s="20">
        <v>752.94479999999999</v>
      </c>
      <c r="K380" s="20">
        <v>438.76389999999998</v>
      </c>
    </row>
    <row r="381" spans="1:11" ht="14.25" customHeight="1" x14ac:dyDescent="0.25">
      <c r="A381" s="25" t="s">
        <v>765</v>
      </c>
      <c r="B381" s="4" t="s">
        <v>5</v>
      </c>
      <c r="C381" s="4"/>
      <c r="D381" s="5"/>
      <c r="E381" s="5"/>
      <c r="F381" s="10">
        <v>20.5808</v>
      </c>
      <c r="G381" s="11">
        <v>16.885999999999999</v>
      </c>
      <c r="H381" s="12">
        <v>8.2624999999999993</v>
      </c>
      <c r="I381" s="13">
        <v>116.04819999999999</v>
      </c>
      <c r="J381" s="12">
        <v>107.1939</v>
      </c>
      <c r="K381" s="12">
        <v>44.347099999999998</v>
      </c>
    </row>
    <row r="382" spans="1:11" ht="15" customHeight="1" x14ac:dyDescent="0.25">
      <c r="A382" s="14" t="s">
        <v>316</v>
      </c>
      <c r="B382" s="15" t="s">
        <v>6</v>
      </c>
      <c r="C382" s="16"/>
      <c r="D382" s="17"/>
      <c r="E382" s="17"/>
      <c r="F382" s="18">
        <v>20.5808</v>
      </c>
      <c r="G382" s="19">
        <v>16.885999999999999</v>
      </c>
      <c r="H382" s="20">
        <v>8.2624999999999993</v>
      </c>
      <c r="I382" s="21">
        <v>116.04819999999999</v>
      </c>
      <c r="J382" s="20">
        <v>107.1939</v>
      </c>
      <c r="K382" s="20">
        <v>44.347099999999998</v>
      </c>
    </row>
    <row r="383" spans="1:11" ht="15" customHeight="1" x14ac:dyDescent="0.25">
      <c r="A383" s="22" t="s">
        <v>317</v>
      </c>
      <c r="B383" s="23" t="s">
        <v>8</v>
      </c>
      <c r="C383" s="23" t="s">
        <v>9</v>
      </c>
      <c r="D383" s="24" t="s">
        <v>69</v>
      </c>
      <c r="E383" s="24" t="s">
        <v>88</v>
      </c>
      <c r="F383" s="18">
        <v>8.2699999999999996E-2</v>
      </c>
      <c r="G383" s="19">
        <v>4.5199999999999997E-2</v>
      </c>
      <c r="H383" s="20">
        <v>5.4999999999999997E-3</v>
      </c>
      <c r="I383" s="21">
        <v>0.35360000000000003</v>
      </c>
      <c r="J383" s="20">
        <v>0.2</v>
      </c>
      <c r="K383" s="20">
        <v>2.5000000000000001E-2</v>
      </c>
    </row>
    <row r="384" spans="1:11" ht="15" customHeight="1" x14ac:dyDescent="0.25">
      <c r="A384" s="22" t="s">
        <v>318</v>
      </c>
      <c r="B384" s="23" t="s">
        <v>8</v>
      </c>
      <c r="C384" s="23" t="s">
        <v>9</v>
      </c>
      <c r="D384" s="24" t="s">
        <v>69</v>
      </c>
      <c r="E384" s="24" t="s">
        <v>88</v>
      </c>
      <c r="F384" s="18">
        <v>2.0510000000000002</v>
      </c>
      <c r="G384" s="19">
        <v>2.5941999999999998</v>
      </c>
      <c r="H384" s="20">
        <v>0.76219999999999999</v>
      </c>
      <c r="I384" s="21">
        <v>8.6088000000000005</v>
      </c>
      <c r="J384" s="20">
        <v>11.446400000000001</v>
      </c>
      <c r="K384" s="20">
        <v>3.6349999999999998</v>
      </c>
    </row>
    <row r="385" spans="1:11" ht="15" customHeight="1" x14ac:dyDescent="0.25">
      <c r="A385" s="22" t="s">
        <v>319</v>
      </c>
      <c r="B385" s="23" t="s">
        <v>8</v>
      </c>
      <c r="C385" s="23" t="s">
        <v>9</v>
      </c>
      <c r="D385" s="24" t="s">
        <v>69</v>
      </c>
      <c r="E385" s="24" t="s">
        <v>15</v>
      </c>
      <c r="F385" s="18">
        <v>10.297499999999999</v>
      </c>
      <c r="G385" s="19">
        <v>4.8240999999999996</v>
      </c>
      <c r="H385" s="20">
        <v>4.976</v>
      </c>
      <c r="I385" s="21">
        <v>49.665700000000001</v>
      </c>
      <c r="J385" s="20">
        <v>27.7622</v>
      </c>
      <c r="K385" s="20">
        <v>22.308599999999998</v>
      </c>
    </row>
    <row r="386" spans="1:11" ht="15" customHeight="1" x14ac:dyDescent="0.25">
      <c r="A386" s="22" t="s">
        <v>320</v>
      </c>
      <c r="B386" s="23" t="s">
        <v>8</v>
      </c>
      <c r="C386" s="23" t="s">
        <v>9</v>
      </c>
      <c r="D386" s="24" t="s">
        <v>69</v>
      </c>
      <c r="E386" s="24" t="s">
        <v>15</v>
      </c>
      <c r="F386" s="18">
        <v>0.2089</v>
      </c>
      <c r="G386" s="19"/>
      <c r="H386" s="20"/>
      <c r="I386" s="21">
        <v>1.25</v>
      </c>
      <c r="J386" s="20"/>
      <c r="K386" s="20"/>
    </row>
    <row r="387" spans="1:11" ht="15" customHeight="1" x14ac:dyDescent="0.25">
      <c r="A387" s="22" t="s">
        <v>321</v>
      </c>
      <c r="B387" s="23" t="s">
        <v>8</v>
      </c>
      <c r="C387" s="23" t="s">
        <v>9</v>
      </c>
      <c r="D387" s="24" t="s">
        <v>10</v>
      </c>
      <c r="E387" s="24" t="s">
        <v>99</v>
      </c>
      <c r="F387" s="18"/>
      <c r="G387" s="19"/>
      <c r="H387" s="20">
        <v>0.18790000000000001</v>
      </c>
      <c r="I387" s="21"/>
      <c r="J387" s="20"/>
      <c r="K387" s="20">
        <v>1.0885</v>
      </c>
    </row>
    <row r="388" spans="1:11" ht="15" customHeight="1" x14ac:dyDescent="0.25">
      <c r="A388" s="22" t="s">
        <v>322</v>
      </c>
      <c r="B388" s="23" t="s">
        <v>8</v>
      </c>
      <c r="C388" s="23" t="s">
        <v>9</v>
      </c>
      <c r="D388" s="24" t="s">
        <v>10</v>
      </c>
      <c r="E388" s="24" t="s">
        <v>103</v>
      </c>
      <c r="F388" s="18">
        <v>1.4366000000000001</v>
      </c>
      <c r="G388" s="19">
        <v>2.8525</v>
      </c>
      <c r="H388" s="20">
        <v>1.1071</v>
      </c>
      <c r="I388" s="21">
        <v>10.09</v>
      </c>
      <c r="J388" s="20">
        <v>20.329999999999998</v>
      </c>
      <c r="K388" s="20">
        <v>7.64</v>
      </c>
    </row>
    <row r="389" spans="1:11" ht="15" customHeight="1" x14ac:dyDescent="0.25">
      <c r="A389" s="22" t="s">
        <v>323</v>
      </c>
      <c r="B389" s="23" t="s">
        <v>8</v>
      </c>
      <c r="C389" s="23" t="s">
        <v>9</v>
      </c>
      <c r="D389" s="24" t="s">
        <v>69</v>
      </c>
      <c r="E389" s="24" t="s">
        <v>103</v>
      </c>
      <c r="F389" s="18">
        <v>6.5038999999999998</v>
      </c>
      <c r="G389" s="19">
        <v>6.5046999999999997</v>
      </c>
      <c r="H389" s="20">
        <v>1.2238</v>
      </c>
      <c r="I389" s="21">
        <v>46.08</v>
      </c>
      <c r="J389" s="20">
        <v>47.101700000000001</v>
      </c>
      <c r="K389" s="20">
        <v>9.65</v>
      </c>
    </row>
    <row r="390" spans="1:11" ht="15" customHeight="1" x14ac:dyDescent="0.25">
      <c r="A390" s="22" t="s">
        <v>324</v>
      </c>
      <c r="B390" s="23" t="s">
        <v>8</v>
      </c>
      <c r="C390" s="23" t="s">
        <v>9</v>
      </c>
      <c r="D390" s="24" t="s">
        <v>30</v>
      </c>
      <c r="E390" s="24" t="s">
        <v>103</v>
      </c>
      <c r="F390" s="18"/>
      <c r="G390" s="19">
        <v>6.5199999999999994E-2</v>
      </c>
      <c r="H390" s="20"/>
      <c r="I390" s="21"/>
      <c r="J390" s="20">
        <v>0.35370000000000001</v>
      </c>
      <c r="K390" s="20"/>
    </row>
    <row r="391" spans="1:11" ht="14.25" customHeight="1" x14ac:dyDescent="0.25">
      <c r="A391" s="25" t="s">
        <v>766</v>
      </c>
      <c r="B391" s="4" t="s">
        <v>5</v>
      </c>
      <c r="C391" s="4"/>
      <c r="D391" s="5"/>
      <c r="E391" s="5"/>
      <c r="F391" s="10">
        <v>7.0000000000000001E-3</v>
      </c>
      <c r="G391" s="11"/>
      <c r="H391" s="12"/>
      <c r="I391" s="13">
        <v>0.08</v>
      </c>
      <c r="J391" s="12"/>
      <c r="K391" s="12"/>
    </row>
    <row r="392" spans="1:11" ht="15" customHeight="1" x14ac:dyDescent="0.25">
      <c r="A392" s="14" t="s">
        <v>325</v>
      </c>
      <c r="B392" s="15" t="s">
        <v>6</v>
      </c>
      <c r="C392" s="16"/>
      <c r="D392" s="17"/>
      <c r="E392" s="17"/>
      <c r="F392" s="18">
        <v>7.0000000000000001E-3</v>
      </c>
      <c r="G392" s="19"/>
      <c r="H392" s="20"/>
      <c r="I392" s="21">
        <v>0.08</v>
      </c>
      <c r="J392" s="20"/>
      <c r="K392" s="20"/>
    </row>
    <row r="393" spans="1:11" ht="15" customHeight="1" x14ac:dyDescent="0.25">
      <c r="A393" s="22" t="s">
        <v>326</v>
      </c>
      <c r="B393" s="23" t="s">
        <v>8</v>
      </c>
      <c r="C393" s="23" t="s">
        <v>9</v>
      </c>
      <c r="D393" s="24" t="s">
        <v>30</v>
      </c>
      <c r="E393" s="24" t="s">
        <v>17</v>
      </c>
      <c r="F393" s="18">
        <v>7.0000000000000001E-3</v>
      </c>
      <c r="G393" s="19"/>
      <c r="H393" s="20"/>
      <c r="I393" s="21">
        <v>0.08</v>
      </c>
      <c r="J393" s="20"/>
      <c r="K393" s="20"/>
    </row>
    <row r="394" spans="1:11" ht="14.25" customHeight="1" x14ac:dyDescent="0.25">
      <c r="A394" s="25" t="s">
        <v>767</v>
      </c>
      <c r="B394" s="4" t="s">
        <v>5</v>
      </c>
      <c r="C394" s="4"/>
      <c r="D394" s="5"/>
      <c r="E394" s="5"/>
      <c r="F394" s="10">
        <v>394.68380000000002</v>
      </c>
      <c r="G394" s="11">
        <v>409.49610000000001</v>
      </c>
      <c r="H394" s="12">
        <v>321.2638</v>
      </c>
      <c r="I394" s="13">
        <v>18974.913799999998</v>
      </c>
      <c r="J394" s="12">
        <v>19732.122100000001</v>
      </c>
      <c r="K394" s="12">
        <v>15809.1695</v>
      </c>
    </row>
    <row r="395" spans="1:11" ht="15" customHeight="1" x14ac:dyDescent="0.25">
      <c r="A395" s="14" t="s">
        <v>327</v>
      </c>
      <c r="B395" s="15" t="s">
        <v>6</v>
      </c>
      <c r="C395" s="16"/>
      <c r="D395" s="17"/>
      <c r="E395" s="17"/>
      <c r="F395" s="18">
        <v>394.4622</v>
      </c>
      <c r="G395" s="19">
        <v>406.93380000000002</v>
      </c>
      <c r="H395" s="20">
        <v>320.21539999999999</v>
      </c>
      <c r="I395" s="21">
        <v>18966.535500000002</v>
      </c>
      <c r="J395" s="20">
        <v>19594.108899999999</v>
      </c>
      <c r="K395" s="20">
        <v>15751.087</v>
      </c>
    </row>
    <row r="396" spans="1:11" ht="15" customHeight="1" x14ac:dyDescent="0.25">
      <c r="A396" s="22" t="s">
        <v>328</v>
      </c>
      <c r="B396" s="23" t="s">
        <v>8</v>
      </c>
      <c r="C396" s="23" t="s">
        <v>9</v>
      </c>
      <c r="D396" s="24" t="s">
        <v>30</v>
      </c>
      <c r="E396" s="24" t="s">
        <v>21</v>
      </c>
      <c r="F396" s="18"/>
      <c r="G396" s="19"/>
      <c r="H396" s="20">
        <v>0.80289999999999995</v>
      </c>
      <c r="I396" s="21"/>
      <c r="J396" s="20"/>
      <c r="K396" s="20">
        <v>36.833599999999997</v>
      </c>
    </row>
    <row r="397" spans="1:11" ht="15" customHeight="1" x14ac:dyDescent="0.25">
      <c r="A397" s="22" t="s">
        <v>329</v>
      </c>
      <c r="B397" s="23" t="s">
        <v>8</v>
      </c>
      <c r="C397" s="23" t="s">
        <v>9</v>
      </c>
      <c r="D397" s="24" t="s">
        <v>20</v>
      </c>
      <c r="E397" s="24" t="s">
        <v>21</v>
      </c>
      <c r="F397" s="18">
        <v>9.9892000000000003</v>
      </c>
      <c r="G397" s="19">
        <v>8.1153999999999993</v>
      </c>
      <c r="H397" s="20">
        <v>3.5836999999999999</v>
      </c>
      <c r="I397" s="21">
        <v>492.51530000000002</v>
      </c>
      <c r="J397" s="20">
        <v>366.96510000000001</v>
      </c>
      <c r="K397" s="20">
        <v>145.6557</v>
      </c>
    </row>
    <row r="398" spans="1:11" ht="15" customHeight="1" x14ac:dyDescent="0.25">
      <c r="A398" s="22" t="s">
        <v>330</v>
      </c>
      <c r="B398" s="23" t="s">
        <v>8</v>
      </c>
      <c r="C398" s="23" t="s">
        <v>9</v>
      </c>
      <c r="D398" s="24" t="s">
        <v>30</v>
      </c>
      <c r="E398" s="24" t="s">
        <v>21</v>
      </c>
      <c r="F398" s="18">
        <v>2.3199999999999998E-2</v>
      </c>
      <c r="G398" s="19">
        <v>2.375</v>
      </c>
      <c r="H398" s="20">
        <v>2.0299</v>
      </c>
      <c r="I398" s="21">
        <v>1.054</v>
      </c>
      <c r="J398" s="20">
        <v>113.97580000000001</v>
      </c>
      <c r="K398" s="20">
        <v>89.836200000000005</v>
      </c>
    </row>
    <row r="399" spans="1:11" ht="15" customHeight="1" x14ac:dyDescent="0.25">
      <c r="A399" s="22" t="s">
        <v>331</v>
      </c>
      <c r="B399" s="23" t="s">
        <v>8</v>
      </c>
      <c r="C399" s="23" t="s">
        <v>9</v>
      </c>
      <c r="D399" s="24" t="s">
        <v>20</v>
      </c>
      <c r="E399" s="24" t="s">
        <v>21</v>
      </c>
      <c r="F399" s="18">
        <v>12.8912</v>
      </c>
      <c r="G399" s="19">
        <v>14.945399999999999</v>
      </c>
      <c r="H399" s="20">
        <v>2.4279000000000002</v>
      </c>
      <c r="I399" s="21">
        <v>607.44449999999995</v>
      </c>
      <c r="J399" s="20">
        <v>678.69550000000004</v>
      </c>
      <c r="K399" s="20">
        <v>103.8368</v>
      </c>
    </row>
    <row r="400" spans="1:11" ht="15" customHeight="1" x14ac:dyDescent="0.25">
      <c r="A400" s="22" t="s">
        <v>332</v>
      </c>
      <c r="B400" s="23" t="s">
        <v>8</v>
      </c>
      <c r="C400" s="23" t="s">
        <v>9</v>
      </c>
      <c r="D400" s="24" t="s">
        <v>10</v>
      </c>
      <c r="E400" s="24" t="s">
        <v>21</v>
      </c>
      <c r="F400" s="18"/>
      <c r="G400" s="19">
        <v>0.01</v>
      </c>
      <c r="H400" s="20">
        <v>1.5183</v>
      </c>
      <c r="I400" s="21"/>
      <c r="J400" s="20">
        <v>0.48130000000000001</v>
      </c>
      <c r="K400" s="20">
        <v>68.4452</v>
      </c>
    </row>
    <row r="401" spans="1:11" ht="15" customHeight="1" x14ac:dyDescent="0.25">
      <c r="A401" s="22" t="s">
        <v>333</v>
      </c>
      <c r="B401" s="23" t="s">
        <v>8</v>
      </c>
      <c r="C401" s="23" t="s">
        <v>9</v>
      </c>
      <c r="D401" s="24" t="s">
        <v>30</v>
      </c>
      <c r="E401" s="24" t="s">
        <v>21</v>
      </c>
      <c r="F401" s="18">
        <v>32.355400000000003</v>
      </c>
      <c r="G401" s="19">
        <v>38.555399999999999</v>
      </c>
      <c r="H401" s="20">
        <v>28.667999999999999</v>
      </c>
      <c r="I401" s="21">
        <v>1339.7692</v>
      </c>
      <c r="J401" s="20">
        <v>1517.8848</v>
      </c>
      <c r="K401" s="20">
        <v>1147.3356000000001</v>
      </c>
    </row>
    <row r="402" spans="1:11" ht="15" customHeight="1" x14ac:dyDescent="0.25">
      <c r="A402" s="22" t="s">
        <v>334</v>
      </c>
      <c r="B402" s="23" t="s">
        <v>8</v>
      </c>
      <c r="C402" s="23" t="s">
        <v>9</v>
      </c>
      <c r="D402" s="24" t="s">
        <v>20</v>
      </c>
      <c r="E402" s="24" t="s">
        <v>24</v>
      </c>
      <c r="F402" s="18">
        <v>39.0503</v>
      </c>
      <c r="G402" s="19">
        <v>53.6008</v>
      </c>
      <c r="H402" s="20">
        <v>45.671900000000001</v>
      </c>
      <c r="I402" s="21">
        <v>2028.7261000000001</v>
      </c>
      <c r="J402" s="20">
        <v>2727.4971999999998</v>
      </c>
      <c r="K402" s="20">
        <v>2409.5587999999998</v>
      </c>
    </row>
    <row r="403" spans="1:11" ht="15" customHeight="1" x14ac:dyDescent="0.25">
      <c r="A403" s="22" t="s">
        <v>335</v>
      </c>
      <c r="B403" s="23" t="s">
        <v>8</v>
      </c>
      <c r="C403" s="23" t="s">
        <v>9</v>
      </c>
      <c r="D403" s="24" t="s">
        <v>30</v>
      </c>
      <c r="E403" s="24" t="s">
        <v>24</v>
      </c>
      <c r="F403" s="18">
        <v>18.061</v>
      </c>
      <c r="G403" s="19">
        <v>20.3689</v>
      </c>
      <c r="H403" s="20">
        <v>25.3782</v>
      </c>
      <c r="I403" s="21">
        <v>997.27200000000005</v>
      </c>
      <c r="J403" s="20">
        <v>1129.9784999999999</v>
      </c>
      <c r="K403" s="20">
        <v>1401.0871999999999</v>
      </c>
    </row>
    <row r="404" spans="1:11" ht="15" customHeight="1" x14ac:dyDescent="0.25">
      <c r="A404" s="22" t="s">
        <v>336</v>
      </c>
      <c r="B404" s="23" t="s">
        <v>8</v>
      </c>
      <c r="C404" s="23" t="s">
        <v>9</v>
      </c>
      <c r="D404" s="24" t="s">
        <v>20</v>
      </c>
      <c r="E404" s="24" t="s">
        <v>24</v>
      </c>
      <c r="F404" s="18">
        <v>60.256900000000002</v>
      </c>
      <c r="G404" s="19">
        <v>59.171300000000002</v>
      </c>
      <c r="H404" s="20">
        <v>46.391500000000001</v>
      </c>
      <c r="I404" s="21">
        <v>3003.9076</v>
      </c>
      <c r="J404" s="20">
        <v>2862.6754999999998</v>
      </c>
      <c r="K404" s="20">
        <v>2309.9086000000002</v>
      </c>
    </row>
    <row r="405" spans="1:11" ht="15" customHeight="1" x14ac:dyDescent="0.25">
      <c r="A405" s="22" t="s">
        <v>337</v>
      </c>
      <c r="B405" s="23" t="s">
        <v>8</v>
      </c>
      <c r="C405" s="23" t="s">
        <v>9</v>
      </c>
      <c r="D405" s="24" t="s">
        <v>20</v>
      </c>
      <c r="E405" s="24" t="s">
        <v>24</v>
      </c>
      <c r="F405" s="18">
        <v>20.0168</v>
      </c>
      <c r="G405" s="19">
        <v>19.4117</v>
      </c>
      <c r="H405" s="20">
        <v>16.676400000000001</v>
      </c>
      <c r="I405" s="21">
        <v>1086.6414</v>
      </c>
      <c r="J405" s="20">
        <v>1089.1328000000001</v>
      </c>
      <c r="K405" s="20">
        <v>913.75469999999996</v>
      </c>
    </row>
    <row r="406" spans="1:11" ht="15" customHeight="1" x14ac:dyDescent="0.25">
      <c r="A406" s="22" t="s">
        <v>338</v>
      </c>
      <c r="B406" s="23" t="s">
        <v>8</v>
      </c>
      <c r="C406" s="23" t="s">
        <v>9</v>
      </c>
      <c r="D406" s="24" t="s">
        <v>20</v>
      </c>
      <c r="E406" s="24" t="s">
        <v>24</v>
      </c>
      <c r="F406" s="18">
        <v>15.4658</v>
      </c>
      <c r="G406" s="19">
        <v>23.898299999999999</v>
      </c>
      <c r="H406" s="20">
        <v>20.8841</v>
      </c>
      <c r="I406" s="21">
        <v>835.59469999999999</v>
      </c>
      <c r="J406" s="20">
        <v>1304.8905999999999</v>
      </c>
      <c r="K406" s="20">
        <v>1122.8086000000001</v>
      </c>
    </row>
    <row r="407" spans="1:11" ht="15" customHeight="1" x14ac:dyDescent="0.25">
      <c r="A407" s="22" t="s">
        <v>339</v>
      </c>
      <c r="B407" s="23" t="s">
        <v>8</v>
      </c>
      <c r="C407" s="23" t="s">
        <v>9</v>
      </c>
      <c r="D407" s="24" t="s">
        <v>10</v>
      </c>
      <c r="E407" s="24" t="s">
        <v>24</v>
      </c>
      <c r="F407" s="18">
        <v>17.192699999999999</v>
      </c>
      <c r="G407" s="19">
        <v>14.837400000000001</v>
      </c>
      <c r="H407" s="20">
        <v>10.0755</v>
      </c>
      <c r="I407" s="21">
        <v>845.18690000000004</v>
      </c>
      <c r="J407" s="20">
        <v>818.97209999999995</v>
      </c>
      <c r="K407" s="20">
        <v>554.23329999999999</v>
      </c>
    </row>
    <row r="408" spans="1:11" ht="15" customHeight="1" x14ac:dyDescent="0.25">
      <c r="A408" s="22" t="s">
        <v>340</v>
      </c>
      <c r="B408" s="23" t="s">
        <v>8</v>
      </c>
      <c r="C408" s="23" t="s">
        <v>9</v>
      </c>
      <c r="D408" s="24" t="s">
        <v>30</v>
      </c>
      <c r="E408" s="24" t="s">
        <v>24</v>
      </c>
      <c r="F408" s="18">
        <v>12.4558</v>
      </c>
      <c r="G408" s="19">
        <v>19.5045</v>
      </c>
      <c r="H408" s="20">
        <v>19.680399999999999</v>
      </c>
      <c r="I408" s="21">
        <v>695.70420000000001</v>
      </c>
      <c r="J408" s="20">
        <v>1080.8305</v>
      </c>
      <c r="K408" s="20">
        <v>1068.2409</v>
      </c>
    </row>
    <row r="409" spans="1:11" ht="15" customHeight="1" x14ac:dyDescent="0.25">
      <c r="A409" s="22" t="s">
        <v>341</v>
      </c>
      <c r="B409" s="23" t="s">
        <v>8</v>
      </c>
      <c r="C409" s="23" t="s">
        <v>9</v>
      </c>
      <c r="D409" s="24" t="s">
        <v>30</v>
      </c>
      <c r="E409" s="24" t="s">
        <v>24</v>
      </c>
      <c r="F409" s="18">
        <v>29.7578</v>
      </c>
      <c r="G409" s="19">
        <v>42.059199999999997</v>
      </c>
      <c r="H409" s="20">
        <v>37.9373</v>
      </c>
      <c r="I409" s="21">
        <v>1513.1635000000001</v>
      </c>
      <c r="J409" s="20">
        <v>2139.8314999999998</v>
      </c>
      <c r="K409" s="20">
        <v>1997.7666999999999</v>
      </c>
    </row>
    <row r="410" spans="1:11" ht="15" customHeight="1" x14ac:dyDescent="0.25">
      <c r="A410" s="22" t="s">
        <v>342</v>
      </c>
      <c r="B410" s="23" t="s">
        <v>8</v>
      </c>
      <c r="C410" s="23" t="s">
        <v>9</v>
      </c>
      <c r="D410" s="24" t="s">
        <v>20</v>
      </c>
      <c r="E410" s="24" t="s">
        <v>11</v>
      </c>
      <c r="F410" s="18">
        <v>12.4033</v>
      </c>
      <c r="G410" s="19">
        <v>7.0781999999999998</v>
      </c>
      <c r="H410" s="20">
        <v>1.7199</v>
      </c>
      <c r="I410" s="21">
        <v>294.48759999999999</v>
      </c>
      <c r="J410" s="20">
        <v>150.97989999999999</v>
      </c>
      <c r="K410" s="20">
        <v>36.068199999999997</v>
      </c>
    </row>
    <row r="411" spans="1:11" ht="15" customHeight="1" x14ac:dyDescent="0.25">
      <c r="A411" s="22" t="s">
        <v>343</v>
      </c>
      <c r="B411" s="23" t="s">
        <v>8</v>
      </c>
      <c r="C411" s="23" t="s">
        <v>9</v>
      </c>
      <c r="D411" s="24" t="s">
        <v>30</v>
      </c>
      <c r="E411" s="24" t="s">
        <v>32</v>
      </c>
      <c r="F411" s="18">
        <v>1.6268</v>
      </c>
      <c r="G411" s="19"/>
      <c r="H411" s="20"/>
      <c r="I411" s="21">
        <v>65.1297</v>
      </c>
      <c r="J411" s="20"/>
      <c r="K411" s="20"/>
    </row>
    <row r="412" spans="1:11" ht="15" customHeight="1" x14ac:dyDescent="0.25">
      <c r="A412" s="22" t="s">
        <v>344</v>
      </c>
      <c r="B412" s="23" t="s">
        <v>8</v>
      </c>
      <c r="C412" s="23" t="s">
        <v>9</v>
      </c>
      <c r="D412" s="24" t="s">
        <v>30</v>
      </c>
      <c r="E412" s="24" t="s">
        <v>32</v>
      </c>
      <c r="F412" s="18">
        <v>2.5358999999999998</v>
      </c>
      <c r="G412" s="19"/>
      <c r="H412" s="20"/>
      <c r="I412" s="21">
        <v>101.7274</v>
      </c>
      <c r="J412" s="20"/>
      <c r="K412" s="20"/>
    </row>
    <row r="413" spans="1:11" ht="15" customHeight="1" x14ac:dyDescent="0.25">
      <c r="A413" s="22" t="s">
        <v>345</v>
      </c>
      <c r="B413" s="23" t="s">
        <v>8</v>
      </c>
      <c r="C413" s="23" t="s">
        <v>9</v>
      </c>
      <c r="D413" s="24" t="s">
        <v>10</v>
      </c>
      <c r="E413" s="24" t="s">
        <v>99</v>
      </c>
      <c r="F413" s="18"/>
      <c r="G413" s="19"/>
      <c r="H413" s="20">
        <v>3.6318999999999999</v>
      </c>
      <c r="I413" s="21"/>
      <c r="J413" s="20"/>
      <c r="K413" s="20">
        <v>71.160700000000006</v>
      </c>
    </row>
    <row r="414" spans="1:11" ht="15" customHeight="1" x14ac:dyDescent="0.25">
      <c r="A414" s="22" t="s">
        <v>346</v>
      </c>
      <c r="B414" s="23" t="s">
        <v>8</v>
      </c>
      <c r="C414" s="23" t="s">
        <v>9</v>
      </c>
      <c r="D414" s="24" t="s">
        <v>10</v>
      </c>
      <c r="E414" s="24" t="s">
        <v>42</v>
      </c>
      <c r="F414" s="18">
        <v>17.9986</v>
      </c>
      <c r="G414" s="19">
        <v>13.0489</v>
      </c>
      <c r="H414" s="20">
        <v>10.643000000000001</v>
      </c>
      <c r="I414" s="21">
        <v>650.62580000000003</v>
      </c>
      <c r="J414" s="20">
        <v>424.79559999999998</v>
      </c>
      <c r="K414" s="20">
        <v>323.3997</v>
      </c>
    </row>
    <row r="415" spans="1:11" ht="15" customHeight="1" x14ac:dyDescent="0.25">
      <c r="A415" s="22" t="s">
        <v>347</v>
      </c>
      <c r="B415" s="23" t="s">
        <v>8</v>
      </c>
      <c r="C415" s="23" t="s">
        <v>9</v>
      </c>
      <c r="D415" s="24" t="s">
        <v>64</v>
      </c>
      <c r="E415" s="24" t="s">
        <v>42</v>
      </c>
      <c r="F415" s="18">
        <v>18.099399999999999</v>
      </c>
      <c r="G415" s="19">
        <v>12.3561</v>
      </c>
      <c r="H415" s="20">
        <v>12.3432</v>
      </c>
      <c r="I415" s="21">
        <v>1018.4675999999999</v>
      </c>
      <c r="J415" s="20">
        <v>683.55870000000004</v>
      </c>
      <c r="K415" s="20">
        <v>606.59050000000002</v>
      </c>
    </row>
    <row r="416" spans="1:11" ht="15" customHeight="1" x14ac:dyDescent="0.25">
      <c r="A416" s="22" t="s">
        <v>348</v>
      </c>
      <c r="B416" s="23" t="s">
        <v>8</v>
      </c>
      <c r="C416" s="23" t="s">
        <v>9</v>
      </c>
      <c r="D416" s="24" t="s">
        <v>10</v>
      </c>
      <c r="E416" s="24" t="s">
        <v>42</v>
      </c>
      <c r="F416" s="18">
        <v>13.9643</v>
      </c>
      <c r="G416" s="19">
        <v>11.9328</v>
      </c>
      <c r="H416" s="20">
        <v>7.4202000000000004</v>
      </c>
      <c r="I416" s="21">
        <v>510.25119999999998</v>
      </c>
      <c r="J416" s="20">
        <v>382.31479999999999</v>
      </c>
      <c r="K416" s="20">
        <v>215.15559999999999</v>
      </c>
    </row>
    <row r="417" spans="1:11" ht="15" customHeight="1" x14ac:dyDescent="0.25">
      <c r="A417" s="22" t="s">
        <v>349</v>
      </c>
      <c r="B417" s="23" t="s">
        <v>8</v>
      </c>
      <c r="C417" s="23" t="s">
        <v>9</v>
      </c>
      <c r="D417" s="24" t="s">
        <v>20</v>
      </c>
      <c r="E417" s="24" t="s">
        <v>42</v>
      </c>
      <c r="F417" s="18"/>
      <c r="G417" s="19">
        <v>0.56559999999999999</v>
      </c>
      <c r="H417" s="20">
        <v>0.19719999999999999</v>
      </c>
      <c r="I417" s="21"/>
      <c r="J417" s="20">
        <v>6.4855</v>
      </c>
      <c r="K417" s="20">
        <v>8.6998999999999995</v>
      </c>
    </row>
    <row r="418" spans="1:11" ht="15" customHeight="1" x14ac:dyDescent="0.25">
      <c r="A418" s="22" t="s">
        <v>350</v>
      </c>
      <c r="B418" s="23" t="s">
        <v>8</v>
      </c>
      <c r="C418" s="23" t="s">
        <v>9</v>
      </c>
      <c r="D418" s="24" t="s">
        <v>20</v>
      </c>
      <c r="E418" s="24" t="s">
        <v>42</v>
      </c>
      <c r="F418" s="18">
        <v>11.936500000000001</v>
      </c>
      <c r="G418" s="19">
        <v>11.3424</v>
      </c>
      <c r="H418" s="20">
        <v>2.8279999999999998</v>
      </c>
      <c r="I418" s="21">
        <v>494.98500000000001</v>
      </c>
      <c r="J418" s="20">
        <v>456.52679999999998</v>
      </c>
      <c r="K418" s="20">
        <v>127.90179999999999</v>
      </c>
    </row>
    <row r="419" spans="1:11" ht="15" customHeight="1" x14ac:dyDescent="0.25">
      <c r="A419" s="22" t="s">
        <v>351</v>
      </c>
      <c r="B419" s="23" t="s">
        <v>8</v>
      </c>
      <c r="C419" s="23" t="s">
        <v>9</v>
      </c>
      <c r="D419" s="24" t="s">
        <v>30</v>
      </c>
      <c r="E419" s="24" t="s">
        <v>42</v>
      </c>
      <c r="F419" s="18">
        <v>16.799600000000002</v>
      </c>
      <c r="G419" s="19">
        <v>11.79</v>
      </c>
      <c r="H419" s="20">
        <v>3.1292</v>
      </c>
      <c r="I419" s="21">
        <v>633.09360000000004</v>
      </c>
      <c r="J419" s="20">
        <v>491.60489999999999</v>
      </c>
      <c r="K419" s="20">
        <v>123.1259</v>
      </c>
    </row>
    <row r="420" spans="1:11" ht="15" customHeight="1" x14ac:dyDescent="0.25">
      <c r="A420" s="22" t="s">
        <v>352</v>
      </c>
      <c r="B420" s="23" t="s">
        <v>8</v>
      </c>
      <c r="C420" s="23" t="s">
        <v>9</v>
      </c>
      <c r="D420" s="24" t="s">
        <v>20</v>
      </c>
      <c r="E420" s="24" t="s">
        <v>42</v>
      </c>
      <c r="F420" s="18">
        <v>15.0557</v>
      </c>
      <c r="G420" s="19">
        <v>9.7439</v>
      </c>
      <c r="H420" s="20">
        <v>7.3936000000000002</v>
      </c>
      <c r="I420" s="21">
        <v>945.80409999999995</v>
      </c>
      <c r="J420" s="20">
        <v>583.28309999999999</v>
      </c>
      <c r="K420" s="20">
        <v>424.78879999999998</v>
      </c>
    </row>
    <row r="421" spans="1:11" ht="15" customHeight="1" x14ac:dyDescent="0.25">
      <c r="A421" s="22" t="s">
        <v>353</v>
      </c>
      <c r="B421" s="23" t="s">
        <v>8</v>
      </c>
      <c r="C421" s="23" t="s">
        <v>9</v>
      </c>
      <c r="D421" s="24" t="s">
        <v>20</v>
      </c>
      <c r="E421" s="24" t="s">
        <v>42</v>
      </c>
      <c r="F421" s="18">
        <v>2.5228000000000002</v>
      </c>
      <c r="G421" s="19"/>
      <c r="H421" s="20"/>
      <c r="I421" s="21">
        <v>102.04300000000001</v>
      </c>
      <c r="J421" s="20"/>
      <c r="K421" s="20"/>
    </row>
    <row r="422" spans="1:11" ht="15" customHeight="1" x14ac:dyDescent="0.25">
      <c r="A422" s="22" t="s">
        <v>354</v>
      </c>
      <c r="B422" s="23" t="s">
        <v>8</v>
      </c>
      <c r="C422" s="23" t="s">
        <v>9</v>
      </c>
      <c r="D422" s="24" t="s">
        <v>30</v>
      </c>
      <c r="E422" s="24" t="s">
        <v>17</v>
      </c>
      <c r="F422" s="18">
        <v>5.8501000000000003</v>
      </c>
      <c r="G422" s="19">
        <v>3.1604999999999999</v>
      </c>
      <c r="H422" s="20">
        <v>1.1102000000000001</v>
      </c>
      <c r="I422" s="21">
        <v>279.7971</v>
      </c>
      <c r="J422" s="20">
        <v>133.69110000000001</v>
      </c>
      <c r="K422" s="20">
        <v>49.716799999999999</v>
      </c>
    </row>
    <row r="423" spans="1:11" ht="15" customHeight="1" x14ac:dyDescent="0.25">
      <c r="A423" s="22" t="s">
        <v>355</v>
      </c>
      <c r="B423" s="23" t="s">
        <v>8</v>
      </c>
      <c r="C423" s="23" t="s">
        <v>9</v>
      </c>
      <c r="D423" s="24" t="s">
        <v>10</v>
      </c>
      <c r="E423" s="24" t="s">
        <v>17</v>
      </c>
      <c r="F423" s="18">
        <v>3.5649999999999999</v>
      </c>
      <c r="G423" s="19">
        <v>3.9624000000000001</v>
      </c>
      <c r="H423" s="20">
        <v>3.0468999999999999</v>
      </c>
      <c r="I423" s="21">
        <v>186.07509999999999</v>
      </c>
      <c r="J423" s="20">
        <v>188.92570000000001</v>
      </c>
      <c r="K423" s="20">
        <v>146.31370000000001</v>
      </c>
    </row>
    <row r="424" spans="1:11" ht="15" customHeight="1" x14ac:dyDescent="0.25">
      <c r="A424" s="22" t="s">
        <v>356</v>
      </c>
      <c r="B424" s="23" t="s">
        <v>8</v>
      </c>
      <c r="C424" s="23" t="s">
        <v>9</v>
      </c>
      <c r="D424" s="24" t="s">
        <v>30</v>
      </c>
      <c r="E424" s="24" t="s">
        <v>17</v>
      </c>
      <c r="F424" s="18">
        <v>4.5880999999999998</v>
      </c>
      <c r="G424" s="19">
        <v>5.0932000000000004</v>
      </c>
      <c r="H424" s="20">
        <v>5.0259</v>
      </c>
      <c r="I424" s="21">
        <v>237.0685</v>
      </c>
      <c r="J424" s="20">
        <v>259.80410000000001</v>
      </c>
      <c r="K424" s="20">
        <v>248.8639</v>
      </c>
    </row>
    <row r="425" spans="1:11" ht="15" customHeight="1" x14ac:dyDescent="0.25">
      <c r="A425" s="22" t="s">
        <v>357</v>
      </c>
      <c r="B425" s="23" t="s">
        <v>8</v>
      </c>
      <c r="C425" s="23" t="s">
        <v>9</v>
      </c>
      <c r="D425" s="24" t="s">
        <v>10</v>
      </c>
      <c r="E425" s="24" t="s">
        <v>358</v>
      </c>
      <c r="F425" s="18"/>
      <c r="G425" s="19">
        <v>7.0000000000000001E-3</v>
      </c>
      <c r="H425" s="20"/>
      <c r="I425" s="21"/>
      <c r="J425" s="20">
        <v>0.32779999999999998</v>
      </c>
      <c r="K425" s="20"/>
    </row>
    <row r="426" spans="1:11" ht="15" customHeight="1" x14ac:dyDescent="0.25">
      <c r="A426" s="14" t="s">
        <v>359</v>
      </c>
      <c r="B426" s="15" t="s">
        <v>6</v>
      </c>
      <c r="C426" s="16"/>
      <c r="D426" s="17"/>
      <c r="E426" s="17"/>
      <c r="F426" s="18">
        <v>3.0200000000000001E-2</v>
      </c>
      <c r="G426" s="19">
        <v>2.0104000000000002</v>
      </c>
      <c r="H426" s="20">
        <v>1.0045999999999999</v>
      </c>
      <c r="I426" s="21">
        <v>1.4571000000000001</v>
      </c>
      <c r="J426" s="20">
        <v>118.0438</v>
      </c>
      <c r="K426" s="20">
        <v>56.873399999999997</v>
      </c>
    </row>
    <row r="427" spans="1:11" ht="15" customHeight="1" x14ac:dyDescent="0.25">
      <c r="A427" s="22" t="s">
        <v>360</v>
      </c>
      <c r="B427" s="23" t="s">
        <v>8</v>
      </c>
      <c r="C427" s="23" t="s">
        <v>9</v>
      </c>
      <c r="D427" s="24" t="s">
        <v>20</v>
      </c>
      <c r="E427" s="24" t="s">
        <v>24</v>
      </c>
      <c r="F427" s="18">
        <v>3.0200000000000001E-2</v>
      </c>
      <c r="G427" s="19">
        <v>2.0104000000000002</v>
      </c>
      <c r="H427" s="20">
        <v>1.0045999999999999</v>
      </c>
      <c r="I427" s="21">
        <v>1.4571000000000001</v>
      </c>
      <c r="J427" s="20">
        <v>118.0438</v>
      </c>
      <c r="K427" s="20">
        <v>56.873399999999997</v>
      </c>
    </row>
    <row r="428" spans="1:11" ht="15" customHeight="1" x14ac:dyDescent="0.25">
      <c r="A428" s="14" t="s">
        <v>361</v>
      </c>
      <c r="B428" s="15" t="s">
        <v>6</v>
      </c>
      <c r="C428" s="16"/>
      <c r="D428" s="17"/>
      <c r="E428" s="17"/>
      <c r="F428" s="18">
        <v>0.1913</v>
      </c>
      <c r="G428" s="19">
        <v>0.55200000000000005</v>
      </c>
      <c r="H428" s="20">
        <v>4.3700000000000003E-2</v>
      </c>
      <c r="I428" s="21">
        <v>6.9211999999999998</v>
      </c>
      <c r="J428" s="20">
        <v>19.9695</v>
      </c>
      <c r="K428" s="20">
        <v>1.2094</v>
      </c>
    </row>
    <row r="429" spans="1:11" ht="15" customHeight="1" x14ac:dyDescent="0.25">
      <c r="A429" s="22" t="s">
        <v>362</v>
      </c>
      <c r="B429" s="23" t="s">
        <v>8</v>
      </c>
      <c r="C429" s="23" t="s">
        <v>9</v>
      </c>
      <c r="D429" s="24" t="s">
        <v>10</v>
      </c>
      <c r="E429" s="24" t="s">
        <v>42</v>
      </c>
      <c r="F429" s="18">
        <v>0.1913</v>
      </c>
      <c r="G429" s="19">
        <v>0.55200000000000005</v>
      </c>
      <c r="H429" s="20">
        <v>4.3700000000000003E-2</v>
      </c>
      <c r="I429" s="21">
        <v>6.9211999999999998</v>
      </c>
      <c r="J429" s="20">
        <v>19.9695</v>
      </c>
      <c r="K429" s="20">
        <v>1.2094</v>
      </c>
    </row>
    <row r="430" spans="1:11" ht="14.25" customHeight="1" x14ac:dyDescent="0.25">
      <c r="A430" s="25" t="s">
        <v>768</v>
      </c>
      <c r="B430" s="4" t="s">
        <v>5</v>
      </c>
      <c r="C430" s="4"/>
      <c r="D430" s="5"/>
      <c r="E430" s="5"/>
      <c r="F430" s="10">
        <v>0.17230000000000001</v>
      </c>
      <c r="G430" s="11">
        <v>0.63319999999999999</v>
      </c>
      <c r="H430" s="12">
        <v>0.15670000000000001</v>
      </c>
      <c r="I430" s="13">
        <v>7.7868000000000004</v>
      </c>
      <c r="J430" s="12">
        <v>27.705500000000001</v>
      </c>
      <c r="K430" s="12">
        <v>6.8449999999999998</v>
      </c>
    </row>
    <row r="431" spans="1:11" ht="15" customHeight="1" x14ac:dyDescent="0.25">
      <c r="A431" s="14" t="s">
        <v>364</v>
      </c>
      <c r="B431" s="15" t="s">
        <v>6</v>
      </c>
      <c r="C431" s="16"/>
      <c r="D431" s="17"/>
      <c r="E431" s="17"/>
      <c r="F431" s="18">
        <v>0.17230000000000001</v>
      </c>
      <c r="G431" s="19">
        <v>0.63319999999999999</v>
      </c>
      <c r="H431" s="20">
        <v>0.15670000000000001</v>
      </c>
      <c r="I431" s="21">
        <v>7.7868000000000004</v>
      </c>
      <c r="J431" s="20">
        <v>27.705500000000001</v>
      </c>
      <c r="K431" s="20">
        <v>6.8449999999999998</v>
      </c>
    </row>
    <row r="432" spans="1:11" ht="15" customHeight="1" x14ac:dyDescent="0.25">
      <c r="A432" s="22" t="s">
        <v>365</v>
      </c>
      <c r="B432" s="23" t="s">
        <v>8</v>
      </c>
      <c r="C432" s="23" t="s">
        <v>9</v>
      </c>
      <c r="D432" s="24" t="s">
        <v>20</v>
      </c>
      <c r="E432" s="24" t="s">
        <v>32</v>
      </c>
      <c r="F432" s="18">
        <v>2.6700000000000002E-2</v>
      </c>
      <c r="G432" s="19">
        <v>6.6E-3</v>
      </c>
      <c r="H432" s="20"/>
      <c r="I432" s="21">
        <v>1.3361000000000001</v>
      </c>
      <c r="J432" s="20">
        <v>0.32919999999999999</v>
      </c>
      <c r="K432" s="20"/>
    </row>
    <row r="433" spans="1:11" ht="15" customHeight="1" x14ac:dyDescent="0.25">
      <c r="A433" s="22" t="s">
        <v>366</v>
      </c>
      <c r="B433" s="23" t="s">
        <v>8</v>
      </c>
      <c r="C433" s="23" t="s">
        <v>9</v>
      </c>
      <c r="D433" s="24" t="s">
        <v>64</v>
      </c>
      <c r="E433" s="24" t="s">
        <v>68</v>
      </c>
      <c r="F433" s="18">
        <v>6.93E-2</v>
      </c>
      <c r="G433" s="19">
        <v>0.19889999999999999</v>
      </c>
      <c r="H433" s="20"/>
      <c r="I433" s="21">
        <v>3.0247000000000002</v>
      </c>
      <c r="J433" s="20">
        <v>8.6912000000000003</v>
      </c>
      <c r="K433" s="20"/>
    </row>
    <row r="434" spans="1:11" ht="15" customHeight="1" x14ac:dyDescent="0.25">
      <c r="A434" s="22" t="s">
        <v>367</v>
      </c>
      <c r="B434" s="23" t="s">
        <v>8</v>
      </c>
      <c r="C434" s="23" t="s">
        <v>9</v>
      </c>
      <c r="D434" s="24" t="s">
        <v>64</v>
      </c>
      <c r="E434" s="24" t="s">
        <v>68</v>
      </c>
      <c r="F434" s="18">
        <v>7.6300000000000007E-2</v>
      </c>
      <c r="G434" s="19">
        <v>0.42759999999999998</v>
      </c>
      <c r="H434" s="20">
        <v>0.15670000000000001</v>
      </c>
      <c r="I434" s="21">
        <v>3.4260000000000002</v>
      </c>
      <c r="J434" s="20">
        <v>18.685099999999998</v>
      </c>
      <c r="K434" s="20">
        <v>6.8449999999999998</v>
      </c>
    </row>
    <row r="435" spans="1:11" ht="14.25" customHeight="1" x14ac:dyDescent="0.25">
      <c r="A435" s="25" t="s">
        <v>769</v>
      </c>
      <c r="B435" s="4" t="s">
        <v>5</v>
      </c>
      <c r="C435" s="4"/>
      <c r="D435" s="5"/>
      <c r="E435" s="5"/>
      <c r="F435" s="10">
        <v>23.7455</v>
      </c>
      <c r="G435" s="11">
        <v>29.3566</v>
      </c>
      <c r="H435" s="12">
        <v>11.906700000000001</v>
      </c>
      <c r="I435" s="13">
        <v>713.0412</v>
      </c>
      <c r="J435" s="12">
        <v>960.05740000000003</v>
      </c>
      <c r="K435" s="12">
        <v>372.1223</v>
      </c>
    </row>
    <row r="436" spans="1:11" ht="15" customHeight="1" x14ac:dyDescent="0.25">
      <c r="A436" s="14" t="s">
        <v>368</v>
      </c>
      <c r="B436" s="15" t="s">
        <v>6</v>
      </c>
      <c r="C436" s="16"/>
      <c r="D436" s="17"/>
      <c r="E436" s="17"/>
      <c r="F436" s="18">
        <v>23.7455</v>
      </c>
      <c r="G436" s="19">
        <v>29.3566</v>
      </c>
      <c r="H436" s="20">
        <v>11.906700000000001</v>
      </c>
      <c r="I436" s="21">
        <v>713.0412</v>
      </c>
      <c r="J436" s="20">
        <v>960.05740000000003</v>
      </c>
      <c r="K436" s="20">
        <v>372.1223</v>
      </c>
    </row>
    <row r="437" spans="1:11" ht="15" customHeight="1" x14ac:dyDescent="0.25">
      <c r="A437" s="22" t="s">
        <v>369</v>
      </c>
      <c r="B437" s="23" t="s">
        <v>8</v>
      </c>
      <c r="C437" s="23" t="s">
        <v>9</v>
      </c>
      <c r="D437" s="24" t="s">
        <v>10</v>
      </c>
      <c r="E437" s="24" t="s">
        <v>37</v>
      </c>
      <c r="F437" s="18">
        <v>13.539</v>
      </c>
      <c r="G437" s="19">
        <v>14.939299999999999</v>
      </c>
      <c r="H437" s="20">
        <v>5.9192</v>
      </c>
      <c r="I437" s="21">
        <v>399.25150000000002</v>
      </c>
      <c r="J437" s="20">
        <v>471.38619999999997</v>
      </c>
      <c r="K437" s="20">
        <v>172.6644</v>
      </c>
    </row>
    <row r="438" spans="1:11" ht="15" customHeight="1" x14ac:dyDescent="0.25">
      <c r="A438" s="22" t="s">
        <v>370</v>
      </c>
      <c r="B438" s="23" t="s">
        <v>8</v>
      </c>
      <c r="C438" s="23" t="s">
        <v>9</v>
      </c>
      <c r="D438" s="24" t="s">
        <v>10</v>
      </c>
      <c r="E438" s="24" t="s">
        <v>37</v>
      </c>
      <c r="F438" s="18">
        <v>9.7232000000000003</v>
      </c>
      <c r="G438" s="19">
        <v>14.417199999999999</v>
      </c>
      <c r="H438" s="20">
        <v>5.9874999999999998</v>
      </c>
      <c r="I438" s="21">
        <v>300.88780000000003</v>
      </c>
      <c r="J438" s="20">
        <v>488.67129999999997</v>
      </c>
      <c r="K438" s="20">
        <v>199.4579</v>
      </c>
    </row>
    <row r="439" spans="1:11" ht="15" customHeight="1" x14ac:dyDescent="0.25">
      <c r="A439" s="22" t="s">
        <v>371</v>
      </c>
      <c r="B439" s="23" t="s">
        <v>8</v>
      </c>
      <c r="C439" s="23" t="s">
        <v>9</v>
      </c>
      <c r="D439" s="24" t="s">
        <v>20</v>
      </c>
      <c r="E439" s="24" t="s">
        <v>42</v>
      </c>
      <c r="F439" s="18">
        <v>0.4834</v>
      </c>
      <c r="G439" s="19"/>
      <c r="H439" s="20"/>
      <c r="I439" s="21">
        <v>12.901899999999999</v>
      </c>
      <c r="J439" s="20"/>
      <c r="K439" s="20"/>
    </row>
    <row r="440" spans="1:11" ht="14.25" customHeight="1" x14ac:dyDescent="0.25">
      <c r="A440" s="25" t="s">
        <v>770</v>
      </c>
      <c r="B440" s="4" t="s">
        <v>5</v>
      </c>
      <c r="C440" s="4"/>
      <c r="D440" s="5"/>
      <c r="E440" s="5"/>
      <c r="F440" s="10">
        <v>0.13550000000000001</v>
      </c>
      <c r="G440" s="11"/>
      <c r="H440" s="12"/>
      <c r="I440" s="13">
        <v>3.2519</v>
      </c>
      <c r="J440" s="12"/>
      <c r="K440" s="12"/>
    </row>
    <row r="441" spans="1:11" ht="15" customHeight="1" x14ac:dyDescent="0.25">
      <c r="A441" s="14" t="s">
        <v>372</v>
      </c>
      <c r="B441" s="15" t="s">
        <v>6</v>
      </c>
      <c r="C441" s="16"/>
      <c r="D441" s="17"/>
      <c r="E441" s="17"/>
      <c r="F441" s="18">
        <v>0.13550000000000001</v>
      </c>
      <c r="G441" s="19"/>
      <c r="H441" s="20"/>
      <c r="I441" s="21">
        <v>3.2519</v>
      </c>
      <c r="J441" s="20"/>
      <c r="K441" s="20"/>
    </row>
    <row r="442" spans="1:11" ht="15" customHeight="1" x14ac:dyDescent="0.25">
      <c r="A442" s="22" t="s">
        <v>373</v>
      </c>
      <c r="B442" s="23" t="s">
        <v>8</v>
      </c>
      <c r="C442" s="23" t="s">
        <v>9</v>
      </c>
      <c r="D442" s="24" t="s">
        <v>64</v>
      </c>
      <c r="E442" s="24" t="s">
        <v>99</v>
      </c>
      <c r="F442" s="18">
        <v>0.13550000000000001</v>
      </c>
      <c r="G442" s="19"/>
      <c r="H442" s="20"/>
      <c r="I442" s="21">
        <v>3.2519</v>
      </c>
      <c r="J442" s="20"/>
      <c r="K442" s="20"/>
    </row>
    <row r="443" spans="1:11" ht="14.25" customHeight="1" x14ac:dyDescent="0.25">
      <c r="A443" s="25" t="s">
        <v>771</v>
      </c>
      <c r="B443" s="4" t="s">
        <v>5</v>
      </c>
      <c r="C443" s="4"/>
      <c r="D443" s="5"/>
      <c r="E443" s="5"/>
      <c r="F443" s="10">
        <v>336.51549999999997</v>
      </c>
      <c r="G443" s="11">
        <v>318.62270000000001</v>
      </c>
      <c r="H443" s="12">
        <v>125.7655</v>
      </c>
      <c r="I443" s="13">
        <v>10227.0057</v>
      </c>
      <c r="J443" s="12">
        <v>9928.9132000000009</v>
      </c>
      <c r="K443" s="12">
        <v>3640.5189</v>
      </c>
    </row>
    <row r="444" spans="1:11" ht="15" customHeight="1" x14ac:dyDescent="0.25">
      <c r="A444" s="14" t="s">
        <v>374</v>
      </c>
      <c r="B444" s="15" t="s">
        <v>6</v>
      </c>
      <c r="C444" s="16"/>
      <c r="D444" s="17"/>
      <c r="E444" s="17"/>
      <c r="F444" s="18">
        <v>277.92669999999998</v>
      </c>
      <c r="G444" s="19">
        <v>310.41480000000001</v>
      </c>
      <c r="H444" s="20">
        <v>125.3454</v>
      </c>
      <c r="I444" s="21">
        <v>8929.9617999999991</v>
      </c>
      <c r="J444" s="20">
        <v>9775.1643000000004</v>
      </c>
      <c r="K444" s="20">
        <v>3632.8901999999998</v>
      </c>
    </row>
    <row r="445" spans="1:11" ht="15" customHeight="1" x14ac:dyDescent="0.25">
      <c r="A445" s="22" t="s">
        <v>375</v>
      </c>
      <c r="B445" s="23" t="s">
        <v>8</v>
      </c>
      <c r="C445" s="23" t="s">
        <v>9</v>
      </c>
      <c r="D445" s="24" t="s">
        <v>249</v>
      </c>
      <c r="E445" s="24" t="s">
        <v>376</v>
      </c>
      <c r="F445" s="18"/>
      <c r="G445" s="19">
        <v>2.3E-3</v>
      </c>
      <c r="H445" s="20"/>
      <c r="I445" s="21"/>
      <c r="J445" s="20">
        <v>4.8000000000000001E-2</v>
      </c>
      <c r="K445" s="20"/>
    </row>
    <row r="446" spans="1:11" ht="15" customHeight="1" x14ac:dyDescent="0.25">
      <c r="A446" s="22" t="s">
        <v>377</v>
      </c>
      <c r="B446" s="23" t="s">
        <v>8</v>
      </c>
      <c r="C446" s="23" t="s">
        <v>9</v>
      </c>
      <c r="D446" s="24" t="s">
        <v>249</v>
      </c>
      <c r="E446" s="24" t="s">
        <v>376</v>
      </c>
      <c r="F446" s="18">
        <v>3.7978999999999998</v>
      </c>
      <c r="G446" s="19">
        <v>0.23119999999999999</v>
      </c>
      <c r="H446" s="20">
        <v>5.57E-2</v>
      </c>
      <c r="I446" s="21">
        <v>45.909399999999998</v>
      </c>
      <c r="J446" s="20">
        <v>3.0430999999999999</v>
      </c>
      <c r="K446" s="20">
        <v>0.74270000000000003</v>
      </c>
    </row>
    <row r="447" spans="1:11" ht="15" customHeight="1" x14ac:dyDescent="0.25">
      <c r="A447" s="22" t="s">
        <v>378</v>
      </c>
      <c r="B447" s="23" t="s">
        <v>8</v>
      </c>
      <c r="C447" s="23" t="s">
        <v>9</v>
      </c>
      <c r="D447" s="24" t="s">
        <v>249</v>
      </c>
      <c r="E447" s="24" t="s">
        <v>376</v>
      </c>
      <c r="F447" s="18">
        <v>10.1713</v>
      </c>
      <c r="G447" s="19">
        <v>1.4034</v>
      </c>
      <c r="H447" s="20">
        <v>0.79169999999999996</v>
      </c>
      <c r="I447" s="21">
        <v>191.46350000000001</v>
      </c>
      <c r="J447" s="20">
        <v>25.065200000000001</v>
      </c>
      <c r="K447" s="20">
        <v>12.493499999999999</v>
      </c>
    </row>
    <row r="448" spans="1:11" ht="15" customHeight="1" x14ac:dyDescent="0.25">
      <c r="A448" s="22" t="s">
        <v>379</v>
      </c>
      <c r="B448" s="23" t="s">
        <v>8</v>
      </c>
      <c r="C448" s="23" t="s">
        <v>9</v>
      </c>
      <c r="D448" s="24" t="s">
        <v>249</v>
      </c>
      <c r="E448" s="24" t="s">
        <v>11</v>
      </c>
      <c r="F448" s="18">
        <v>8.9099999999999999E-2</v>
      </c>
      <c r="G448" s="19"/>
      <c r="H448" s="20"/>
      <c r="I448" s="21">
        <v>1.4943</v>
      </c>
      <c r="J448" s="20"/>
      <c r="K448" s="20"/>
    </row>
    <row r="449" spans="1:11" ht="15" customHeight="1" x14ac:dyDescent="0.25">
      <c r="A449" s="22" t="s">
        <v>380</v>
      </c>
      <c r="B449" s="23" t="s">
        <v>8</v>
      </c>
      <c r="C449" s="23" t="s">
        <v>9</v>
      </c>
      <c r="D449" s="24" t="s">
        <v>10</v>
      </c>
      <c r="E449" s="24" t="s">
        <v>123</v>
      </c>
      <c r="F449" s="18">
        <v>16.7622</v>
      </c>
      <c r="G449" s="19">
        <v>54.880099999999999</v>
      </c>
      <c r="H449" s="20">
        <v>30.8141</v>
      </c>
      <c r="I449" s="21">
        <v>558.82709999999997</v>
      </c>
      <c r="J449" s="20">
        <v>1712.2448999999999</v>
      </c>
      <c r="K449" s="20">
        <v>842.72770000000003</v>
      </c>
    </row>
    <row r="450" spans="1:11" ht="15" customHeight="1" x14ac:dyDescent="0.25">
      <c r="A450" s="22" t="s">
        <v>381</v>
      </c>
      <c r="B450" s="23" t="s">
        <v>8</v>
      </c>
      <c r="C450" s="23" t="s">
        <v>9</v>
      </c>
      <c r="D450" s="24" t="s">
        <v>10</v>
      </c>
      <c r="E450" s="24" t="s">
        <v>123</v>
      </c>
      <c r="F450" s="18">
        <v>61.024299999999997</v>
      </c>
      <c r="G450" s="19">
        <v>69.369399999999999</v>
      </c>
      <c r="H450" s="20">
        <v>37.2607</v>
      </c>
      <c r="I450" s="21">
        <v>1986.0632000000001</v>
      </c>
      <c r="J450" s="20">
        <v>2074.7809000000002</v>
      </c>
      <c r="K450" s="20">
        <v>1026.0545999999999</v>
      </c>
    </row>
    <row r="451" spans="1:11" ht="15" customHeight="1" x14ac:dyDescent="0.25">
      <c r="A451" s="22" t="s">
        <v>382</v>
      </c>
      <c r="B451" s="23" t="s">
        <v>8</v>
      </c>
      <c r="C451" s="23" t="s">
        <v>9</v>
      </c>
      <c r="D451" s="24" t="s">
        <v>64</v>
      </c>
      <c r="E451" s="24" t="s">
        <v>123</v>
      </c>
      <c r="F451" s="18">
        <v>99.720299999999995</v>
      </c>
      <c r="G451" s="19">
        <v>82.962900000000005</v>
      </c>
      <c r="H451" s="20">
        <v>1.6460999999999999</v>
      </c>
      <c r="I451" s="21">
        <v>3124.0421999999999</v>
      </c>
      <c r="J451" s="20">
        <v>2460.6639</v>
      </c>
      <c r="K451" s="20">
        <v>45.897799999999997</v>
      </c>
    </row>
    <row r="452" spans="1:11" ht="15" customHeight="1" x14ac:dyDescent="0.25">
      <c r="A452" s="22" t="s">
        <v>383</v>
      </c>
      <c r="B452" s="23" t="s">
        <v>8</v>
      </c>
      <c r="C452" s="23" t="s">
        <v>9</v>
      </c>
      <c r="D452" s="24" t="s">
        <v>10</v>
      </c>
      <c r="E452" s="24" t="s">
        <v>42</v>
      </c>
      <c r="F452" s="18">
        <v>86.361699999999999</v>
      </c>
      <c r="G452" s="19">
        <v>101.56570000000001</v>
      </c>
      <c r="H452" s="20">
        <v>54.776899999999998</v>
      </c>
      <c r="I452" s="21">
        <v>3022.1621</v>
      </c>
      <c r="J452" s="20">
        <v>3499.3182999999999</v>
      </c>
      <c r="K452" s="20">
        <v>1704.9738</v>
      </c>
    </row>
    <row r="453" spans="1:11" ht="15" customHeight="1" x14ac:dyDescent="0.25">
      <c r="A453" s="14" t="s">
        <v>384</v>
      </c>
      <c r="B453" s="15" t="s">
        <v>6</v>
      </c>
      <c r="C453" s="16"/>
      <c r="D453" s="17"/>
      <c r="E453" s="17"/>
      <c r="F453" s="18">
        <v>58.588999999999999</v>
      </c>
      <c r="G453" s="19">
        <v>8.2077000000000009</v>
      </c>
      <c r="H453" s="20">
        <v>0.42030000000000001</v>
      </c>
      <c r="I453" s="21">
        <v>1297.0438999999999</v>
      </c>
      <c r="J453" s="20">
        <v>153.7491</v>
      </c>
      <c r="K453" s="20">
        <v>7.6287000000000003</v>
      </c>
    </row>
    <row r="454" spans="1:11" ht="15" customHeight="1" x14ac:dyDescent="0.25">
      <c r="A454" s="22" t="s">
        <v>385</v>
      </c>
      <c r="B454" s="23" t="s">
        <v>8</v>
      </c>
      <c r="C454" s="23" t="s">
        <v>9</v>
      </c>
      <c r="D454" s="24" t="s">
        <v>64</v>
      </c>
      <c r="E454" s="24" t="s">
        <v>13</v>
      </c>
      <c r="F454" s="18"/>
      <c r="G454" s="19"/>
      <c r="H454" s="20"/>
      <c r="I454" s="21">
        <v>0.2349</v>
      </c>
      <c r="J454" s="20"/>
      <c r="K454" s="20"/>
    </row>
    <row r="455" spans="1:11" ht="15" customHeight="1" x14ac:dyDescent="0.25">
      <c r="A455" s="22" t="s">
        <v>386</v>
      </c>
      <c r="B455" s="23" t="s">
        <v>8</v>
      </c>
      <c r="C455" s="23" t="s">
        <v>9</v>
      </c>
      <c r="D455" s="24" t="s">
        <v>64</v>
      </c>
      <c r="E455" s="24" t="s">
        <v>363</v>
      </c>
      <c r="F455" s="18"/>
      <c r="G455" s="19"/>
      <c r="H455" s="20"/>
      <c r="I455" s="21"/>
      <c r="J455" s="20"/>
      <c r="K455" s="20"/>
    </row>
    <row r="456" spans="1:11" ht="15" customHeight="1" x14ac:dyDescent="0.25">
      <c r="A456" s="22" t="s">
        <v>387</v>
      </c>
      <c r="B456" s="23" t="s">
        <v>8</v>
      </c>
      <c r="C456" s="23" t="s">
        <v>9</v>
      </c>
      <c r="D456" s="24" t="s">
        <v>64</v>
      </c>
      <c r="E456" s="24" t="s">
        <v>363</v>
      </c>
      <c r="F456" s="18">
        <v>23.7104</v>
      </c>
      <c r="G456" s="19">
        <v>2.5188000000000001</v>
      </c>
      <c r="H456" s="20">
        <v>0.15770000000000001</v>
      </c>
      <c r="I456" s="21">
        <v>549.04570000000001</v>
      </c>
      <c r="J456" s="20">
        <v>49.080599999999997</v>
      </c>
      <c r="K456" s="20">
        <v>2.9064000000000001</v>
      </c>
    </row>
    <row r="457" spans="1:11" ht="15" customHeight="1" x14ac:dyDescent="0.25">
      <c r="A457" s="22" t="s">
        <v>388</v>
      </c>
      <c r="B457" s="23" t="s">
        <v>8</v>
      </c>
      <c r="C457" s="23" t="s">
        <v>9</v>
      </c>
      <c r="D457" s="24" t="s">
        <v>64</v>
      </c>
      <c r="E457" s="24" t="s">
        <v>363</v>
      </c>
      <c r="F457" s="18">
        <v>34.488300000000002</v>
      </c>
      <c r="G457" s="19">
        <v>5.6889000000000003</v>
      </c>
      <c r="H457" s="20">
        <v>0.2626</v>
      </c>
      <c r="I457" s="21">
        <v>739.96220000000005</v>
      </c>
      <c r="J457" s="20">
        <v>104.66840000000001</v>
      </c>
      <c r="K457" s="20">
        <v>4.7222</v>
      </c>
    </row>
    <row r="458" spans="1:11" ht="15" customHeight="1" x14ac:dyDescent="0.25">
      <c r="A458" s="22" t="s">
        <v>389</v>
      </c>
      <c r="B458" s="23" t="s">
        <v>8</v>
      </c>
      <c r="C458" s="23" t="s">
        <v>9</v>
      </c>
      <c r="D458" s="24" t="s">
        <v>64</v>
      </c>
      <c r="E458" s="24" t="s">
        <v>363</v>
      </c>
      <c r="F458" s="18">
        <v>0.31869999999999998</v>
      </c>
      <c r="G458" s="19"/>
      <c r="H458" s="20"/>
      <c r="I458" s="21">
        <v>6.5327000000000002</v>
      </c>
      <c r="J458" s="20"/>
      <c r="K458" s="20"/>
    </row>
    <row r="459" spans="1:11" ht="15" customHeight="1" x14ac:dyDescent="0.25">
      <c r="A459" s="22" t="s">
        <v>390</v>
      </c>
      <c r="B459" s="23" t="s">
        <v>8</v>
      </c>
      <c r="C459" s="23" t="s">
        <v>9</v>
      </c>
      <c r="D459" s="24" t="s">
        <v>64</v>
      </c>
      <c r="E459" s="24" t="s">
        <v>363</v>
      </c>
      <c r="F459" s="18">
        <v>7.1499999999999994E-2</v>
      </c>
      <c r="G459" s="19"/>
      <c r="H459" s="20"/>
      <c r="I459" s="21">
        <v>1.2682</v>
      </c>
      <c r="J459" s="20"/>
      <c r="K459" s="20"/>
    </row>
    <row r="460" spans="1:11" ht="14.25" customHeight="1" x14ac:dyDescent="0.25">
      <c r="A460" s="25" t="s">
        <v>772</v>
      </c>
      <c r="B460" s="4" t="s">
        <v>5</v>
      </c>
      <c r="C460" s="4"/>
      <c r="D460" s="5"/>
      <c r="E460" s="5"/>
      <c r="F460" s="10"/>
      <c r="G460" s="11"/>
      <c r="H460" s="12"/>
      <c r="I460" s="13"/>
      <c r="J460" s="12"/>
      <c r="K460" s="12"/>
    </row>
    <row r="461" spans="1:11" ht="15" customHeight="1" x14ac:dyDescent="0.25">
      <c r="A461" s="14" t="s">
        <v>391</v>
      </c>
      <c r="B461" s="15" t="s">
        <v>6</v>
      </c>
      <c r="C461" s="16"/>
      <c r="D461" s="17"/>
      <c r="E461" s="17"/>
      <c r="F461" s="18"/>
      <c r="G461" s="19"/>
      <c r="H461" s="20"/>
      <c r="I461" s="21"/>
      <c r="J461" s="20"/>
      <c r="K461" s="20"/>
    </row>
    <row r="462" spans="1:11" ht="15" customHeight="1" x14ac:dyDescent="0.25">
      <c r="A462" s="22" t="s">
        <v>392</v>
      </c>
      <c r="B462" s="23" t="s">
        <v>8</v>
      </c>
      <c r="C462" s="23" t="s">
        <v>9</v>
      </c>
      <c r="D462" s="24" t="s">
        <v>30</v>
      </c>
      <c r="E462" s="24" t="s">
        <v>21</v>
      </c>
      <c r="F462" s="18"/>
      <c r="G462" s="19"/>
      <c r="H462" s="20"/>
      <c r="I462" s="21"/>
      <c r="J462" s="20"/>
      <c r="K462" s="20"/>
    </row>
    <row r="463" spans="1:11" ht="14.25" customHeight="1" x14ac:dyDescent="0.25">
      <c r="A463" s="25" t="s">
        <v>773</v>
      </c>
      <c r="B463" s="4" t="s">
        <v>5</v>
      </c>
      <c r="C463" s="4"/>
      <c r="D463" s="5"/>
      <c r="E463" s="5"/>
      <c r="F463" s="10"/>
      <c r="G463" s="11">
        <v>6.2138</v>
      </c>
      <c r="H463" s="12">
        <v>8.77E-2</v>
      </c>
      <c r="I463" s="13"/>
      <c r="J463" s="12">
        <v>384.83499999999998</v>
      </c>
      <c r="K463" s="12">
        <v>5.7408999999999999</v>
      </c>
    </row>
    <row r="464" spans="1:11" ht="15" customHeight="1" x14ac:dyDescent="0.25">
      <c r="A464" s="14" t="s">
        <v>393</v>
      </c>
      <c r="B464" s="15" t="s">
        <v>6</v>
      </c>
      <c r="C464" s="16"/>
      <c r="D464" s="17"/>
      <c r="E464" s="17"/>
      <c r="F464" s="18"/>
      <c r="G464" s="19">
        <v>6.2138</v>
      </c>
      <c r="H464" s="20">
        <v>8.77E-2</v>
      </c>
      <c r="I464" s="21"/>
      <c r="J464" s="20">
        <v>384.83499999999998</v>
      </c>
      <c r="K464" s="20">
        <v>5.7408999999999999</v>
      </c>
    </row>
    <row r="465" spans="1:11" ht="15" customHeight="1" x14ac:dyDescent="0.25">
      <c r="A465" s="22" t="s">
        <v>394</v>
      </c>
      <c r="B465" s="23" t="s">
        <v>8</v>
      </c>
      <c r="C465" s="23" t="s">
        <v>9</v>
      </c>
      <c r="D465" s="24" t="s">
        <v>69</v>
      </c>
      <c r="E465" s="24" t="s">
        <v>42</v>
      </c>
      <c r="F465" s="18"/>
      <c r="G465" s="19">
        <v>6.2138</v>
      </c>
      <c r="H465" s="20">
        <v>8.77E-2</v>
      </c>
      <c r="I465" s="21"/>
      <c r="J465" s="20">
        <v>384.83499999999998</v>
      </c>
      <c r="K465" s="20">
        <v>5.7408999999999999</v>
      </c>
    </row>
    <row r="466" spans="1:11" ht="14.25" customHeight="1" x14ac:dyDescent="0.25">
      <c r="A466" s="25" t="s">
        <v>774</v>
      </c>
      <c r="B466" s="4" t="s">
        <v>5</v>
      </c>
      <c r="C466" s="4"/>
      <c r="D466" s="5"/>
      <c r="E466" s="5"/>
      <c r="F466" s="10">
        <v>62.723500000000001</v>
      </c>
      <c r="G466" s="11">
        <v>72.771000000000001</v>
      </c>
      <c r="H466" s="12">
        <v>17.986000000000001</v>
      </c>
      <c r="I466" s="13">
        <v>4142.5168000000003</v>
      </c>
      <c r="J466" s="12">
        <v>3738.1192999999998</v>
      </c>
      <c r="K466" s="12">
        <v>966.62199999999996</v>
      </c>
    </row>
    <row r="467" spans="1:11" ht="15" customHeight="1" x14ac:dyDescent="0.25">
      <c r="A467" s="14" t="s">
        <v>395</v>
      </c>
      <c r="B467" s="15" t="s">
        <v>6</v>
      </c>
      <c r="C467" s="16"/>
      <c r="D467" s="17"/>
      <c r="E467" s="17"/>
      <c r="F467" s="18">
        <v>20.423200000000001</v>
      </c>
      <c r="G467" s="19">
        <v>51.941600000000001</v>
      </c>
      <c r="H467" s="20">
        <v>13.0914</v>
      </c>
      <c r="I467" s="21">
        <v>1229.9928</v>
      </c>
      <c r="J467" s="20">
        <v>2594.8521000000001</v>
      </c>
      <c r="K467" s="20">
        <v>721.54930000000002</v>
      </c>
    </row>
    <row r="468" spans="1:11" ht="15" customHeight="1" x14ac:dyDescent="0.25">
      <c r="A468" s="22" t="s">
        <v>396</v>
      </c>
      <c r="B468" s="23" t="s">
        <v>8</v>
      </c>
      <c r="C468" s="23" t="s">
        <v>9</v>
      </c>
      <c r="D468" s="24" t="s">
        <v>64</v>
      </c>
      <c r="E468" s="24" t="s">
        <v>21</v>
      </c>
      <c r="F468" s="18">
        <v>2.8529</v>
      </c>
      <c r="G468" s="19"/>
      <c r="H468" s="20"/>
      <c r="I468" s="21">
        <v>195.97380000000001</v>
      </c>
      <c r="J468" s="20"/>
      <c r="K468" s="20"/>
    </row>
    <row r="469" spans="1:11" ht="15" customHeight="1" x14ac:dyDescent="0.25">
      <c r="A469" s="22" t="s">
        <v>397</v>
      </c>
      <c r="B469" s="23" t="s">
        <v>8</v>
      </c>
      <c r="C469" s="23" t="s">
        <v>9</v>
      </c>
      <c r="D469" s="24" t="s">
        <v>64</v>
      </c>
      <c r="E469" s="24" t="s">
        <v>21</v>
      </c>
      <c r="F469" s="18">
        <v>13.515499999999999</v>
      </c>
      <c r="G469" s="19">
        <v>1.9742999999999999</v>
      </c>
      <c r="H469" s="20">
        <v>2.98E-2</v>
      </c>
      <c r="I469" s="21">
        <v>813.32730000000004</v>
      </c>
      <c r="J469" s="20">
        <v>103.7679</v>
      </c>
      <c r="K469" s="20">
        <v>1.4246000000000001</v>
      </c>
    </row>
    <row r="470" spans="1:11" ht="15" customHeight="1" x14ac:dyDescent="0.25">
      <c r="A470" s="22" t="s">
        <v>398</v>
      </c>
      <c r="B470" s="23" t="s">
        <v>8</v>
      </c>
      <c r="C470" s="23" t="s">
        <v>9</v>
      </c>
      <c r="D470" s="24" t="s">
        <v>64</v>
      </c>
      <c r="E470" s="24" t="s">
        <v>24</v>
      </c>
      <c r="F470" s="18"/>
      <c r="G470" s="19">
        <v>47.540100000000002</v>
      </c>
      <c r="H470" s="20">
        <v>13.0617</v>
      </c>
      <c r="I470" s="21"/>
      <c r="J470" s="20">
        <v>2356.4949999999999</v>
      </c>
      <c r="K470" s="20">
        <v>720.12469999999996</v>
      </c>
    </row>
    <row r="471" spans="1:11" ht="15" customHeight="1" x14ac:dyDescent="0.25">
      <c r="A471" s="22" t="s">
        <v>399</v>
      </c>
      <c r="B471" s="23" t="s">
        <v>8</v>
      </c>
      <c r="C471" s="23" t="s">
        <v>9</v>
      </c>
      <c r="D471" s="24" t="s">
        <v>64</v>
      </c>
      <c r="E471" s="24" t="s">
        <v>103</v>
      </c>
      <c r="F471" s="18">
        <v>4.0548000000000002</v>
      </c>
      <c r="G471" s="19">
        <v>2.4268999999999998</v>
      </c>
      <c r="H471" s="20"/>
      <c r="I471" s="21">
        <v>220.69159999999999</v>
      </c>
      <c r="J471" s="20">
        <v>134.58930000000001</v>
      </c>
      <c r="K471" s="20"/>
    </row>
    <row r="472" spans="1:11" ht="15" customHeight="1" x14ac:dyDescent="0.25">
      <c r="A472" s="14" t="s">
        <v>400</v>
      </c>
      <c r="B472" s="15" t="s">
        <v>6</v>
      </c>
      <c r="C472" s="16"/>
      <c r="D472" s="17"/>
      <c r="E472" s="17"/>
      <c r="F472" s="18">
        <v>42.300199999999997</v>
      </c>
      <c r="G472" s="19">
        <v>20.829499999999999</v>
      </c>
      <c r="H472" s="20">
        <v>4.8948</v>
      </c>
      <c r="I472" s="21">
        <v>2912.5239999999999</v>
      </c>
      <c r="J472" s="20">
        <v>1143.2672</v>
      </c>
      <c r="K472" s="20">
        <v>245.0727</v>
      </c>
    </row>
    <row r="473" spans="1:11" ht="15" customHeight="1" x14ac:dyDescent="0.25">
      <c r="A473" s="22" t="s">
        <v>401</v>
      </c>
      <c r="B473" s="23" t="s">
        <v>8</v>
      </c>
      <c r="C473" s="23" t="s">
        <v>9</v>
      </c>
      <c r="D473" s="24" t="s">
        <v>20</v>
      </c>
      <c r="E473" s="24" t="s">
        <v>103</v>
      </c>
      <c r="F473" s="18">
        <v>42.300199999999997</v>
      </c>
      <c r="G473" s="19">
        <v>20.829499999999999</v>
      </c>
      <c r="H473" s="20">
        <v>4.8948</v>
      </c>
      <c r="I473" s="21">
        <v>2912.5239999999999</v>
      </c>
      <c r="J473" s="20">
        <v>1143.2672</v>
      </c>
      <c r="K473" s="20">
        <v>245.0727</v>
      </c>
    </row>
    <row r="474" spans="1:11" ht="14.25" customHeight="1" x14ac:dyDescent="0.25">
      <c r="A474" s="25" t="s">
        <v>775</v>
      </c>
      <c r="B474" s="4" t="s">
        <v>5</v>
      </c>
      <c r="C474" s="4"/>
      <c r="D474" s="5"/>
      <c r="E474" s="5"/>
      <c r="F474" s="10">
        <v>27.204899999999999</v>
      </c>
      <c r="G474" s="11">
        <v>84.962400000000002</v>
      </c>
      <c r="H474" s="12">
        <v>67.934799999999996</v>
      </c>
      <c r="I474" s="13">
        <v>1705.1168</v>
      </c>
      <c r="J474" s="12">
        <v>4625.1881000000003</v>
      </c>
      <c r="K474" s="12">
        <v>3467.3735000000001</v>
      </c>
    </row>
    <row r="475" spans="1:11" ht="15" customHeight="1" x14ac:dyDescent="0.25">
      <c r="A475" s="14" t="s">
        <v>402</v>
      </c>
      <c r="B475" s="15" t="s">
        <v>6</v>
      </c>
      <c r="C475" s="16"/>
      <c r="D475" s="17"/>
      <c r="E475" s="17"/>
      <c r="F475" s="18">
        <v>12.6196</v>
      </c>
      <c r="G475" s="19">
        <v>0.30170000000000002</v>
      </c>
      <c r="H475" s="20"/>
      <c r="I475" s="21">
        <v>774.8818</v>
      </c>
      <c r="J475" s="20">
        <v>18.222799999999999</v>
      </c>
      <c r="K475" s="20"/>
    </row>
    <row r="476" spans="1:11" ht="15" customHeight="1" x14ac:dyDescent="0.25">
      <c r="A476" s="22" t="s">
        <v>403</v>
      </c>
      <c r="B476" s="23" t="s">
        <v>8</v>
      </c>
      <c r="C476" s="23" t="s">
        <v>9</v>
      </c>
      <c r="D476" s="24" t="s">
        <v>20</v>
      </c>
      <c r="E476" s="24" t="s">
        <v>24</v>
      </c>
      <c r="F476" s="18">
        <v>12.6196</v>
      </c>
      <c r="G476" s="19">
        <v>0.30170000000000002</v>
      </c>
      <c r="H476" s="20"/>
      <c r="I476" s="21">
        <v>774.8818</v>
      </c>
      <c r="J476" s="20">
        <v>18.222799999999999</v>
      </c>
      <c r="K476" s="20"/>
    </row>
    <row r="477" spans="1:11" ht="15" customHeight="1" x14ac:dyDescent="0.25">
      <c r="A477" s="14" t="s">
        <v>404</v>
      </c>
      <c r="B477" s="15" t="s">
        <v>6</v>
      </c>
      <c r="C477" s="16"/>
      <c r="D477" s="17"/>
      <c r="E477" s="17"/>
      <c r="F477" s="18">
        <v>14.5854</v>
      </c>
      <c r="G477" s="19">
        <v>84.660600000000002</v>
      </c>
      <c r="H477" s="20">
        <v>67.934799999999996</v>
      </c>
      <c r="I477" s="21">
        <v>930.23509999999999</v>
      </c>
      <c r="J477" s="20">
        <v>4606.9654</v>
      </c>
      <c r="K477" s="20">
        <v>3467.3735000000001</v>
      </c>
    </row>
    <row r="478" spans="1:11" ht="15" customHeight="1" x14ac:dyDescent="0.25">
      <c r="A478" s="22" t="s">
        <v>405</v>
      </c>
      <c r="B478" s="23" t="s">
        <v>8</v>
      </c>
      <c r="C478" s="23" t="s">
        <v>9</v>
      </c>
      <c r="D478" s="24" t="s">
        <v>30</v>
      </c>
      <c r="E478" s="24" t="s">
        <v>24</v>
      </c>
      <c r="F478" s="18"/>
      <c r="G478" s="19">
        <v>39.128300000000003</v>
      </c>
      <c r="H478" s="20">
        <v>18.019200000000001</v>
      </c>
      <c r="I478" s="21"/>
      <c r="J478" s="20">
        <v>2116.4569999999999</v>
      </c>
      <c r="K478" s="20">
        <v>1056.0386000000001</v>
      </c>
    </row>
    <row r="479" spans="1:11" ht="15" customHeight="1" x14ac:dyDescent="0.25">
      <c r="A479" s="22" t="s">
        <v>406</v>
      </c>
      <c r="B479" s="23" t="s">
        <v>8</v>
      </c>
      <c r="C479" s="23" t="s">
        <v>9</v>
      </c>
      <c r="D479" s="24" t="s">
        <v>30</v>
      </c>
      <c r="E479" s="24" t="s">
        <v>42</v>
      </c>
      <c r="F479" s="18">
        <v>14.5854</v>
      </c>
      <c r="G479" s="19">
        <v>45.532299999999999</v>
      </c>
      <c r="H479" s="20">
        <v>49.915700000000001</v>
      </c>
      <c r="I479" s="21">
        <v>930.23509999999999</v>
      </c>
      <c r="J479" s="20">
        <v>2490.5082000000002</v>
      </c>
      <c r="K479" s="20">
        <v>2411.3348000000001</v>
      </c>
    </row>
    <row r="480" spans="1:11" ht="14.25" customHeight="1" x14ac:dyDescent="0.25">
      <c r="A480" s="25" t="s">
        <v>776</v>
      </c>
      <c r="B480" s="4" t="s">
        <v>5</v>
      </c>
      <c r="C480" s="4"/>
      <c r="D480" s="5"/>
      <c r="E480" s="5"/>
      <c r="F480" s="10">
        <v>0.31290000000000001</v>
      </c>
      <c r="G480" s="11">
        <v>4.0300000000000002E-2</v>
      </c>
      <c r="H480" s="12"/>
      <c r="I480" s="13">
        <v>2.3519999999999999</v>
      </c>
      <c r="J480" s="12">
        <v>0.30399999999999999</v>
      </c>
      <c r="K480" s="12"/>
    </row>
    <row r="481" spans="1:11" ht="15" customHeight="1" x14ac:dyDescent="0.25">
      <c r="A481" s="14" t="s">
        <v>407</v>
      </c>
      <c r="B481" s="15" t="s">
        <v>6</v>
      </c>
      <c r="C481" s="16"/>
      <c r="D481" s="17"/>
      <c r="E481" s="17"/>
      <c r="F481" s="18">
        <v>0.31290000000000001</v>
      </c>
      <c r="G481" s="19">
        <v>4.0300000000000002E-2</v>
      </c>
      <c r="H481" s="20"/>
      <c r="I481" s="21">
        <v>2.3519999999999999</v>
      </c>
      <c r="J481" s="20">
        <v>0.30399999999999999</v>
      </c>
      <c r="K481" s="20"/>
    </row>
    <row r="482" spans="1:11" ht="15" customHeight="1" x14ac:dyDescent="0.25">
      <c r="A482" s="22" t="s">
        <v>408</v>
      </c>
      <c r="B482" s="23" t="s">
        <v>8</v>
      </c>
      <c r="C482" s="23" t="s">
        <v>9</v>
      </c>
      <c r="D482" s="24" t="s">
        <v>64</v>
      </c>
      <c r="E482" s="24" t="s">
        <v>34</v>
      </c>
      <c r="F482" s="18">
        <v>0.1139</v>
      </c>
      <c r="G482" s="19">
        <v>4.0300000000000002E-2</v>
      </c>
      <c r="H482" s="20"/>
      <c r="I482" s="21">
        <v>0.85599999999999998</v>
      </c>
      <c r="J482" s="20">
        <v>0.30399999999999999</v>
      </c>
      <c r="K482" s="20"/>
    </row>
    <row r="483" spans="1:11" ht="15" customHeight="1" x14ac:dyDescent="0.25">
      <c r="A483" s="22" t="s">
        <v>409</v>
      </c>
      <c r="B483" s="23" t="s">
        <v>8</v>
      </c>
      <c r="C483" s="23" t="s">
        <v>9</v>
      </c>
      <c r="D483" s="24" t="s">
        <v>64</v>
      </c>
      <c r="E483" s="24" t="s">
        <v>34</v>
      </c>
      <c r="F483" s="18">
        <v>0.19919999999999999</v>
      </c>
      <c r="G483" s="19"/>
      <c r="H483" s="20"/>
      <c r="I483" s="21">
        <v>1.496</v>
      </c>
      <c r="J483" s="20"/>
      <c r="K483" s="20"/>
    </row>
    <row r="484" spans="1:11" ht="14.25" customHeight="1" x14ac:dyDescent="0.25">
      <c r="A484" s="25" t="s">
        <v>777</v>
      </c>
      <c r="B484" s="4" t="s">
        <v>5</v>
      </c>
      <c r="C484" s="4"/>
      <c r="D484" s="5"/>
      <c r="E484" s="5"/>
      <c r="F484" s="10">
        <v>131.49090000000001</v>
      </c>
      <c r="G484" s="11">
        <v>246.0711</v>
      </c>
      <c r="H484" s="12">
        <v>78.181899999999999</v>
      </c>
      <c r="I484" s="13">
        <v>7528.2015000000001</v>
      </c>
      <c r="J484" s="12">
        <v>14073.58</v>
      </c>
      <c r="K484" s="12">
        <v>4344.6674999999996</v>
      </c>
    </row>
    <row r="485" spans="1:11" ht="15" customHeight="1" x14ac:dyDescent="0.25">
      <c r="A485" s="14" t="s">
        <v>410</v>
      </c>
      <c r="B485" s="15" t="s">
        <v>6</v>
      </c>
      <c r="C485" s="16"/>
      <c r="D485" s="17"/>
      <c r="E485" s="17"/>
      <c r="F485" s="18">
        <v>17.142399999999999</v>
      </c>
      <c r="G485" s="19">
        <v>6.4819000000000004</v>
      </c>
      <c r="H485" s="20">
        <v>0.25540000000000002</v>
      </c>
      <c r="I485" s="21">
        <v>938.0729</v>
      </c>
      <c r="J485" s="20">
        <v>380.07749999999999</v>
      </c>
      <c r="K485" s="20">
        <v>12.7729</v>
      </c>
    </row>
    <row r="486" spans="1:11" ht="15" customHeight="1" x14ac:dyDescent="0.25">
      <c r="A486" s="22" t="s">
        <v>411</v>
      </c>
      <c r="B486" s="23" t="s">
        <v>8</v>
      </c>
      <c r="C486" s="23" t="s">
        <v>9</v>
      </c>
      <c r="D486" s="24" t="s">
        <v>30</v>
      </c>
      <c r="E486" s="24" t="s">
        <v>21</v>
      </c>
      <c r="F486" s="18">
        <v>4.4461000000000004</v>
      </c>
      <c r="G486" s="19">
        <v>2.0626000000000002</v>
      </c>
      <c r="H486" s="20"/>
      <c r="I486" s="21">
        <v>234.7319</v>
      </c>
      <c r="J486" s="20">
        <v>137.5095</v>
      </c>
      <c r="K486" s="20"/>
    </row>
    <row r="487" spans="1:11" ht="15" customHeight="1" x14ac:dyDescent="0.25">
      <c r="A487" s="22" t="s">
        <v>412</v>
      </c>
      <c r="B487" s="23" t="s">
        <v>8</v>
      </c>
      <c r="C487" s="23" t="s">
        <v>9</v>
      </c>
      <c r="D487" s="24" t="s">
        <v>20</v>
      </c>
      <c r="E487" s="24" t="s">
        <v>26</v>
      </c>
      <c r="F487" s="18">
        <v>0.15609999999999999</v>
      </c>
      <c r="G487" s="19">
        <v>2.98E-2</v>
      </c>
      <c r="H487" s="20">
        <v>0.25540000000000002</v>
      </c>
      <c r="I487" s="21">
        <v>9.3703000000000003</v>
      </c>
      <c r="J487" s="20">
        <v>1.4905999999999999</v>
      </c>
      <c r="K487" s="20">
        <v>12.7729</v>
      </c>
    </row>
    <row r="488" spans="1:11" ht="15" customHeight="1" x14ac:dyDescent="0.25">
      <c r="A488" s="22" t="s">
        <v>413</v>
      </c>
      <c r="B488" s="23" t="s">
        <v>8</v>
      </c>
      <c r="C488" s="23" t="s">
        <v>9</v>
      </c>
      <c r="D488" s="24" t="s">
        <v>10</v>
      </c>
      <c r="E488" s="24" t="s">
        <v>99</v>
      </c>
      <c r="F488" s="18">
        <v>1.8445</v>
      </c>
      <c r="G488" s="19"/>
      <c r="H488" s="20"/>
      <c r="I488" s="21">
        <v>41.871899999999997</v>
      </c>
      <c r="J488" s="20"/>
      <c r="K488" s="20"/>
    </row>
    <row r="489" spans="1:11" ht="15" customHeight="1" x14ac:dyDescent="0.25">
      <c r="A489" s="22" t="s">
        <v>414</v>
      </c>
      <c r="B489" s="23" t="s">
        <v>8</v>
      </c>
      <c r="C489" s="23" t="s">
        <v>9</v>
      </c>
      <c r="D489" s="24" t="s">
        <v>20</v>
      </c>
      <c r="E489" s="24" t="s">
        <v>42</v>
      </c>
      <c r="F489" s="18">
        <v>0.57199999999999995</v>
      </c>
      <c r="G489" s="19"/>
      <c r="H489" s="20"/>
      <c r="I489" s="21">
        <v>34.318100000000001</v>
      </c>
      <c r="J489" s="20"/>
      <c r="K489" s="20"/>
    </row>
    <row r="490" spans="1:11" ht="15" customHeight="1" x14ac:dyDescent="0.25">
      <c r="A490" s="22" t="s">
        <v>415</v>
      </c>
      <c r="B490" s="23" t="s">
        <v>8</v>
      </c>
      <c r="C490" s="23" t="s">
        <v>9</v>
      </c>
      <c r="D490" s="24" t="s">
        <v>20</v>
      </c>
      <c r="E490" s="24" t="s">
        <v>42</v>
      </c>
      <c r="F490" s="18">
        <v>10.123900000000001</v>
      </c>
      <c r="G490" s="19">
        <v>4.3895</v>
      </c>
      <c r="H490" s="20"/>
      <c r="I490" s="21">
        <v>617.78060000000005</v>
      </c>
      <c r="J490" s="20">
        <v>241.07740000000001</v>
      </c>
      <c r="K490" s="20"/>
    </row>
    <row r="491" spans="1:11" ht="15" customHeight="1" x14ac:dyDescent="0.25">
      <c r="A491" s="14" t="s">
        <v>416</v>
      </c>
      <c r="B491" s="15" t="s">
        <v>6</v>
      </c>
      <c r="C491" s="16"/>
      <c r="D491" s="17"/>
      <c r="E491" s="17"/>
      <c r="F491" s="18"/>
      <c r="G491" s="19">
        <v>71.560299999999998</v>
      </c>
      <c r="H491" s="20">
        <v>32.9009</v>
      </c>
      <c r="I491" s="21"/>
      <c r="J491" s="20">
        <v>4107.0888999999997</v>
      </c>
      <c r="K491" s="20">
        <v>1795.3303000000001</v>
      </c>
    </row>
    <row r="492" spans="1:11" ht="15" customHeight="1" x14ac:dyDescent="0.25">
      <c r="A492" s="22" t="s">
        <v>417</v>
      </c>
      <c r="B492" s="23" t="s">
        <v>8</v>
      </c>
      <c r="C492" s="23" t="s">
        <v>9</v>
      </c>
      <c r="D492" s="24" t="s">
        <v>64</v>
      </c>
      <c r="E492" s="24" t="s">
        <v>24</v>
      </c>
      <c r="F492" s="18"/>
      <c r="G492" s="19">
        <v>56.203800000000001</v>
      </c>
      <c r="H492" s="20">
        <v>22.180299999999999</v>
      </c>
      <c r="I492" s="21"/>
      <c r="J492" s="20">
        <v>3259.8697999999999</v>
      </c>
      <c r="K492" s="20">
        <v>1260.6195</v>
      </c>
    </row>
    <row r="493" spans="1:11" ht="15" customHeight="1" x14ac:dyDescent="0.25">
      <c r="A493" s="22" t="s">
        <v>418</v>
      </c>
      <c r="B493" s="23" t="s">
        <v>8</v>
      </c>
      <c r="C493" s="23" t="s">
        <v>9</v>
      </c>
      <c r="D493" s="24" t="s">
        <v>64</v>
      </c>
      <c r="E493" s="24" t="s">
        <v>42</v>
      </c>
      <c r="F493" s="18"/>
      <c r="G493" s="19">
        <v>15.356400000000001</v>
      </c>
      <c r="H493" s="20">
        <v>10.720599999999999</v>
      </c>
      <c r="I493" s="21"/>
      <c r="J493" s="20">
        <v>847.21910000000003</v>
      </c>
      <c r="K493" s="20">
        <v>534.71069999999997</v>
      </c>
    </row>
    <row r="494" spans="1:11" ht="15" customHeight="1" x14ac:dyDescent="0.25">
      <c r="A494" s="14" t="s">
        <v>419</v>
      </c>
      <c r="B494" s="15" t="s">
        <v>6</v>
      </c>
      <c r="C494" s="16"/>
      <c r="D494" s="17"/>
      <c r="E494" s="17"/>
      <c r="F494" s="18">
        <v>1.0731999999999999</v>
      </c>
      <c r="G494" s="19"/>
      <c r="H494" s="20"/>
      <c r="I494" s="21">
        <v>47.075600000000001</v>
      </c>
      <c r="J494" s="20"/>
      <c r="K494" s="20"/>
    </row>
    <row r="495" spans="1:11" ht="15" customHeight="1" x14ac:dyDescent="0.25">
      <c r="A495" s="22" t="s">
        <v>420</v>
      </c>
      <c r="B495" s="23" t="s">
        <v>8</v>
      </c>
      <c r="C495" s="23" t="s">
        <v>9</v>
      </c>
      <c r="D495" s="24" t="s">
        <v>10</v>
      </c>
      <c r="E495" s="24" t="s">
        <v>17</v>
      </c>
      <c r="F495" s="18">
        <v>1.0731999999999999</v>
      </c>
      <c r="G495" s="19"/>
      <c r="H495" s="20"/>
      <c r="I495" s="21">
        <v>47.075600000000001</v>
      </c>
      <c r="J495" s="20"/>
      <c r="K495" s="20"/>
    </row>
    <row r="496" spans="1:11" ht="15" customHeight="1" x14ac:dyDescent="0.25">
      <c r="A496" s="14" t="s">
        <v>421</v>
      </c>
      <c r="B496" s="15" t="s">
        <v>6</v>
      </c>
      <c r="C496" s="16"/>
      <c r="D496" s="17"/>
      <c r="E496" s="17"/>
      <c r="F496" s="18">
        <v>2.6486999999999998</v>
      </c>
      <c r="G496" s="19"/>
      <c r="H496" s="20"/>
      <c r="I496" s="21">
        <v>124.62050000000001</v>
      </c>
      <c r="J496" s="20"/>
      <c r="K496" s="20"/>
    </row>
    <row r="497" spans="1:11" ht="15" customHeight="1" x14ac:dyDescent="0.25">
      <c r="A497" s="22" t="s">
        <v>422</v>
      </c>
      <c r="B497" s="23" t="s">
        <v>8</v>
      </c>
      <c r="C497" s="23" t="s">
        <v>9</v>
      </c>
      <c r="D497" s="24" t="s">
        <v>64</v>
      </c>
      <c r="E497" s="24" t="s">
        <v>423</v>
      </c>
      <c r="F497" s="18">
        <v>2.6486999999999998</v>
      </c>
      <c r="G497" s="19"/>
      <c r="H497" s="20"/>
      <c r="I497" s="21">
        <v>124.62050000000001</v>
      </c>
      <c r="J497" s="20"/>
      <c r="K497" s="20"/>
    </row>
    <row r="498" spans="1:11" ht="15" customHeight="1" x14ac:dyDescent="0.25">
      <c r="A498" s="14" t="s">
        <v>424</v>
      </c>
      <c r="B498" s="15" t="s">
        <v>6</v>
      </c>
      <c r="C498" s="16"/>
      <c r="D498" s="17"/>
      <c r="E498" s="17"/>
      <c r="F498" s="18">
        <v>110.6263</v>
      </c>
      <c r="G498" s="19">
        <v>168.029</v>
      </c>
      <c r="H498" s="20">
        <v>45.025399999999998</v>
      </c>
      <c r="I498" s="21">
        <v>6418.4327000000003</v>
      </c>
      <c r="J498" s="20">
        <v>9586.4138000000003</v>
      </c>
      <c r="K498" s="20">
        <v>2536.5643</v>
      </c>
    </row>
    <row r="499" spans="1:11" ht="15" customHeight="1" x14ac:dyDescent="0.25">
      <c r="A499" s="22" t="s">
        <v>425</v>
      </c>
      <c r="B499" s="23" t="s">
        <v>8</v>
      </c>
      <c r="C499" s="23" t="s">
        <v>9</v>
      </c>
      <c r="D499" s="24" t="s">
        <v>20</v>
      </c>
      <c r="E499" s="24" t="s">
        <v>24</v>
      </c>
      <c r="F499" s="18">
        <v>84.095799999999997</v>
      </c>
      <c r="G499" s="19">
        <v>151.49979999999999</v>
      </c>
      <c r="H499" s="20">
        <v>39.488900000000001</v>
      </c>
      <c r="I499" s="21">
        <v>4863.5491000000002</v>
      </c>
      <c r="J499" s="20">
        <v>8687.4974999999995</v>
      </c>
      <c r="K499" s="20">
        <v>2240.9688000000001</v>
      </c>
    </row>
    <row r="500" spans="1:11" ht="15" customHeight="1" x14ac:dyDescent="0.25">
      <c r="A500" s="22" t="s">
        <v>426</v>
      </c>
      <c r="B500" s="23" t="s">
        <v>8</v>
      </c>
      <c r="C500" s="23" t="s">
        <v>9</v>
      </c>
      <c r="D500" s="24" t="s">
        <v>20</v>
      </c>
      <c r="E500" s="24" t="s">
        <v>42</v>
      </c>
      <c r="F500" s="18">
        <v>24.440899999999999</v>
      </c>
      <c r="G500" s="19">
        <v>13.931900000000001</v>
      </c>
      <c r="H500" s="20">
        <v>5.4257</v>
      </c>
      <c r="I500" s="21">
        <v>1419.3269</v>
      </c>
      <c r="J500" s="20">
        <v>757.8877</v>
      </c>
      <c r="K500" s="20">
        <v>289.12630000000001</v>
      </c>
    </row>
    <row r="501" spans="1:11" ht="15" customHeight="1" x14ac:dyDescent="0.25">
      <c r="A501" s="22" t="s">
        <v>427</v>
      </c>
      <c r="B501" s="23" t="s">
        <v>8</v>
      </c>
      <c r="C501" s="23" t="s">
        <v>9</v>
      </c>
      <c r="D501" s="24" t="s">
        <v>20</v>
      </c>
      <c r="E501" s="24" t="s">
        <v>42</v>
      </c>
      <c r="F501" s="18">
        <v>2.0893000000000002</v>
      </c>
      <c r="G501" s="19">
        <v>2.5973000000000002</v>
      </c>
      <c r="H501" s="20">
        <v>0.1109</v>
      </c>
      <c r="I501" s="21">
        <v>135.5565</v>
      </c>
      <c r="J501" s="20">
        <v>141.02850000000001</v>
      </c>
      <c r="K501" s="20">
        <v>6.4691999999999998</v>
      </c>
    </row>
    <row r="502" spans="1:11" ht="14.25" customHeight="1" x14ac:dyDescent="0.25">
      <c r="A502" s="25" t="s">
        <v>778</v>
      </c>
      <c r="B502" s="4" t="s">
        <v>5</v>
      </c>
      <c r="C502" s="4"/>
      <c r="D502" s="5"/>
      <c r="E502" s="5"/>
      <c r="F502" s="10">
        <v>8.7314000000000007</v>
      </c>
      <c r="G502" s="11">
        <v>3.2120000000000002</v>
      </c>
      <c r="H502" s="12"/>
      <c r="I502" s="13">
        <v>524.32740000000001</v>
      </c>
      <c r="J502" s="12">
        <v>172.9468</v>
      </c>
      <c r="K502" s="12"/>
    </row>
    <row r="503" spans="1:11" ht="15" customHeight="1" x14ac:dyDescent="0.25">
      <c r="A503" s="14" t="s">
        <v>428</v>
      </c>
      <c r="B503" s="15" t="s">
        <v>6</v>
      </c>
      <c r="C503" s="16"/>
      <c r="D503" s="17"/>
      <c r="E503" s="17"/>
      <c r="F503" s="18">
        <v>6.1833</v>
      </c>
      <c r="G503" s="19">
        <v>0.61119999999999997</v>
      </c>
      <c r="H503" s="20"/>
      <c r="I503" s="21">
        <v>392.1592</v>
      </c>
      <c r="J503" s="20">
        <v>31.181999999999999</v>
      </c>
      <c r="K503" s="20"/>
    </row>
    <row r="504" spans="1:11" ht="15" customHeight="1" x14ac:dyDescent="0.25">
      <c r="A504" s="22" t="s">
        <v>429</v>
      </c>
      <c r="B504" s="23" t="s">
        <v>8</v>
      </c>
      <c r="C504" s="23" t="s">
        <v>9</v>
      </c>
      <c r="D504" s="24" t="s">
        <v>20</v>
      </c>
      <c r="E504" s="24" t="s">
        <v>24</v>
      </c>
      <c r="F504" s="18">
        <v>6.1833</v>
      </c>
      <c r="G504" s="19">
        <v>0.61119999999999997</v>
      </c>
      <c r="H504" s="20"/>
      <c r="I504" s="21">
        <v>392.1592</v>
      </c>
      <c r="J504" s="20">
        <v>31.181999999999999</v>
      </c>
      <c r="K504" s="20"/>
    </row>
    <row r="505" spans="1:11" ht="15" customHeight="1" x14ac:dyDescent="0.25">
      <c r="A505" s="14" t="s">
        <v>430</v>
      </c>
      <c r="B505" s="15" t="s">
        <v>6</v>
      </c>
      <c r="C505" s="16"/>
      <c r="D505" s="17"/>
      <c r="E505" s="17"/>
      <c r="F505" s="18"/>
      <c r="G505" s="19"/>
      <c r="H505" s="20"/>
      <c r="I505" s="21"/>
      <c r="J505" s="20"/>
      <c r="K505" s="20"/>
    </row>
    <row r="506" spans="1:11" ht="15" customHeight="1" x14ac:dyDescent="0.25">
      <c r="A506" s="22" t="s">
        <v>431</v>
      </c>
      <c r="B506" s="23" t="s">
        <v>8</v>
      </c>
      <c r="C506" s="23" t="s">
        <v>9</v>
      </c>
      <c r="D506" s="24" t="s">
        <v>20</v>
      </c>
      <c r="E506" s="24" t="s">
        <v>42</v>
      </c>
      <c r="F506" s="18"/>
      <c r="G506" s="19"/>
      <c r="H506" s="20"/>
      <c r="I506" s="21"/>
      <c r="J506" s="20"/>
      <c r="K506" s="20"/>
    </row>
    <row r="507" spans="1:11" ht="15" customHeight="1" x14ac:dyDescent="0.25">
      <c r="A507" s="14" t="s">
        <v>432</v>
      </c>
      <c r="B507" s="15" t="s">
        <v>6</v>
      </c>
      <c r="C507" s="16"/>
      <c r="D507" s="17"/>
      <c r="E507" s="17"/>
      <c r="F507" s="18">
        <v>2.5480999999999998</v>
      </c>
      <c r="G507" s="19">
        <v>2.6009000000000002</v>
      </c>
      <c r="H507" s="20"/>
      <c r="I507" s="21">
        <v>132.16820000000001</v>
      </c>
      <c r="J507" s="20">
        <v>141.76490000000001</v>
      </c>
      <c r="K507" s="20"/>
    </row>
    <row r="508" spans="1:11" ht="15" customHeight="1" x14ac:dyDescent="0.25">
      <c r="A508" s="22" t="s">
        <v>433</v>
      </c>
      <c r="B508" s="23" t="s">
        <v>8</v>
      </c>
      <c r="C508" s="23" t="s">
        <v>9</v>
      </c>
      <c r="D508" s="24" t="s">
        <v>20</v>
      </c>
      <c r="E508" s="24" t="s">
        <v>24</v>
      </c>
      <c r="F508" s="18">
        <v>2.5480999999999998</v>
      </c>
      <c r="G508" s="19">
        <v>2.6009000000000002</v>
      </c>
      <c r="H508" s="20"/>
      <c r="I508" s="21">
        <v>132.16820000000001</v>
      </c>
      <c r="J508" s="20">
        <v>141.76490000000001</v>
      </c>
      <c r="K508" s="20"/>
    </row>
    <row r="509" spans="1:11" ht="14.25" customHeight="1" x14ac:dyDescent="0.25">
      <c r="A509" s="25" t="s">
        <v>779</v>
      </c>
      <c r="B509" s="4" t="s">
        <v>5</v>
      </c>
      <c r="C509" s="4"/>
      <c r="D509" s="5"/>
      <c r="E509" s="5"/>
      <c r="F509" s="10">
        <v>0.15809999999999999</v>
      </c>
      <c r="G509" s="11">
        <v>2E-3</v>
      </c>
      <c r="H509" s="12">
        <v>1E-3</v>
      </c>
      <c r="I509" s="13">
        <v>2.1</v>
      </c>
      <c r="J509" s="12">
        <v>0.02</v>
      </c>
      <c r="K509" s="12">
        <v>0.02</v>
      </c>
    </row>
    <row r="510" spans="1:11" ht="15" customHeight="1" x14ac:dyDescent="0.25">
      <c r="A510" s="14" t="s">
        <v>434</v>
      </c>
      <c r="B510" s="15" t="s">
        <v>6</v>
      </c>
      <c r="C510" s="16"/>
      <c r="D510" s="17"/>
      <c r="E510" s="17"/>
      <c r="F510" s="18">
        <v>0.15809999999999999</v>
      </c>
      <c r="G510" s="19">
        <v>2E-3</v>
      </c>
      <c r="H510" s="20">
        <v>1E-3</v>
      </c>
      <c r="I510" s="21">
        <v>2.1</v>
      </c>
      <c r="J510" s="20">
        <v>0.02</v>
      </c>
      <c r="K510" s="20">
        <v>0.02</v>
      </c>
    </row>
    <row r="511" spans="1:11" ht="15" customHeight="1" x14ac:dyDescent="0.25">
      <c r="A511" s="22" t="s">
        <v>435</v>
      </c>
      <c r="B511" s="23" t="s">
        <v>8</v>
      </c>
      <c r="C511" s="23" t="s">
        <v>9</v>
      </c>
      <c r="D511" s="24" t="s">
        <v>69</v>
      </c>
      <c r="E511" s="24" t="s">
        <v>11</v>
      </c>
      <c r="F511" s="18">
        <v>0.15809999999999999</v>
      </c>
      <c r="G511" s="19">
        <v>2E-3</v>
      </c>
      <c r="H511" s="20">
        <v>1E-3</v>
      </c>
      <c r="I511" s="21">
        <v>2.1</v>
      </c>
      <c r="J511" s="20">
        <v>0.02</v>
      </c>
      <c r="K511" s="20">
        <v>0.02</v>
      </c>
    </row>
    <row r="512" spans="1:11" ht="14.25" customHeight="1" x14ac:dyDescent="0.25">
      <c r="A512" s="25" t="s">
        <v>780</v>
      </c>
      <c r="B512" s="4" t="s">
        <v>5</v>
      </c>
      <c r="C512" s="4"/>
      <c r="D512" s="5"/>
      <c r="E512" s="5"/>
      <c r="F512" s="10">
        <v>6.0000000000000001E-3</v>
      </c>
      <c r="G512" s="11">
        <v>0.35439999999999999</v>
      </c>
      <c r="H512" s="12"/>
      <c r="I512" s="13">
        <v>0.33839999999999998</v>
      </c>
      <c r="J512" s="12">
        <v>16.541699999999999</v>
      </c>
      <c r="K512" s="12"/>
    </row>
    <row r="513" spans="1:11" ht="15" customHeight="1" x14ac:dyDescent="0.25">
      <c r="A513" s="14" t="s">
        <v>436</v>
      </c>
      <c r="B513" s="15" t="s">
        <v>6</v>
      </c>
      <c r="C513" s="16"/>
      <c r="D513" s="17"/>
      <c r="E513" s="17"/>
      <c r="F513" s="18">
        <v>6.0000000000000001E-3</v>
      </c>
      <c r="G513" s="19">
        <v>0.35439999999999999</v>
      </c>
      <c r="H513" s="20"/>
      <c r="I513" s="21">
        <v>0.33839999999999998</v>
      </c>
      <c r="J513" s="20">
        <v>16.541699999999999</v>
      </c>
      <c r="K513" s="20"/>
    </row>
    <row r="514" spans="1:11" ht="15" customHeight="1" x14ac:dyDescent="0.25">
      <c r="A514" s="22" t="s">
        <v>437</v>
      </c>
      <c r="B514" s="23" t="s">
        <v>8</v>
      </c>
      <c r="C514" s="23" t="s">
        <v>9</v>
      </c>
      <c r="D514" s="24" t="s">
        <v>30</v>
      </c>
      <c r="E514" s="24" t="s">
        <v>34</v>
      </c>
      <c r="F514" s="18">
        <v>6.0000000000000001E-3</v>
      </c>
      <c r="G514" s="19">
        <v>0.35439999999999999</v>
      </c>
      <c r="H514" s="20"/>
      <c r="I514" s="21">
        <v>0.33839999999999998</v>
      </c>
      <c r="J514" s="20">
        <v>16.541699999999999</v>
      </c>
      <c r="K514" s="20"/>
    </row>
    <row r="515" spans="1:11" ht="14.25" customHeight="1" x14ac:dyDescent="0.25">
      <c r="A515" s="25" t="s">
        <v>781</v>
      </c>
      <c r="B515" s="4" t="s">
        <v>5</v>
      </c>
      <c r="C515" s="4"/>
      <c r="D515" s="5"/>
      <c r="E515" s="5"/>
      <c r="F515" s="10"/>
      <c r="G515" s="11"/>
      <c r="H515" s="12"/>
      <c r="I515" s="13"/>
      <c r="J515" s="12"/>
      <c r="K515" s="12"/>
    </row>
    <row r="516" spans="1:11" ht="15" customHeight="1" x14ac:dyDescent="0.25">
      <c r="A516" s="14" t="s">
        <v>438</v>
      </c>
      <c r="B516" s="15" t="s">
        <v>6</v>
      </c>
      <c r="C516" s="16"/>
      <c r="D516" s="17"/>
      <c r="E516" s="17"/>
      <c r="F516" s="18"/>
      <c r="G516" s="19"/>
      <c r="H516" s="20"/>
      <c r="I516" s="21"/>
      <c r="J516" s="20"/>
      <c r="K516" s="20"/>
    </row>
    <row r="517" spans="1:11" ht="15" customHeight="1" x14ac:dyDescent="0.25">
      <c r="A517" s="22" t="s">
        <v>439</v>
      </c>
      <c r="B517" s="23" t="s">
        <v>8</v>
      </c>
      <c r="C517" s="23" t="s">
        <v>9</v>
      </c>
      <c r="D517" s="24" t="s">
        <v>20</v>
      </c>
      <c r="E517" s="24" t="s">
        <v>24</v>
      </c>
      <c r="F517" s="18"/>
      <c r="G517" s="19"/>
      <c r="H517" s="20"/>
      <c r="I517" s="21"/>
      <c r="J517" s="20"/>
      <c r="K517" s="20"/>
    </row>
    <row r="518" spans="1:11" ht="14.25" customHeight="1" x14ac:dyDescent="0.25">
      <c r="A518" s="25" t="s">
        <v>782</v>
      </c>
      <c r="B518" s="4" t="s">
        <v>5</v>
      </c>
      <c r="C518" s="4"/>
      <c r="D518" s="5"/>
      <c r="E518" s="5"/>
      <c r="F518" s="10"/>
      <c r="G518" s="11"/>
      <c r="H518" s="12">
        <v>9.8000000000000004E-2</v>
      </c>
      <c r="I518" s="13"/>
      <c r="J518" s="12"/>
      <c r="K518" s="12">
        <v>3.3592</v>
      </c>
    </row>
    <row r="519" spans="1:11" ht="15" customHeight="1" x14ac:dyDescent="0.25">
      <c r="A519" s="14" t="s">
        <v>440</v>
      </c>
      <c r="B519" s="15" t="s">
        <v>6</v>
      </c>
      <c r="C519" s="16"/>
      <c r="D519" s="17"/>
      <c r="E519" s="17"/>
      <c r="F519" s="18"/>
      <c r="G519" s="19"/>
      <c r="H519" s="20">
        <v>9.8000000000000004E-2</v>
      </c>
      <c r="I519" s="21"/>
      <c r="J519" s="20"/>
      <c r="K519" s="20">
        <v>3.3592</v>
      </c>
    </row>
    <row r="520" spans="1:11" ht="15" customHeight="1" x14ac:dyDescent="0.25">
      <c r="A520" s="22" t="s">
        <v>824</v>
      </c>
      <c r="B520" s="23" t="s">
        <v>8</v>
      </c>
      <c r="C520" s="23" t="s">
        <v>9</v>
      </c>
      <c r="D520" s="24" t="s">
        <v>20</v>
      </c>
      <c r="E520" s="24" t="s">
        <v>42</v>
      </c>
      <c r="F520" s="18"/>
      <c r="G520" s="19"/>
      <c r="H520" s="20">
        <v>9.8000000000000004E-2</v>
      </c>
      <c r="I520" s="21"/>
      <c r="J520" s="20"/>
      <c r="K520" s="20">
        <v>3.3592</v>
      </c>
    </row>
    <row r="521" spans="1:11" ht="14.25" customHeight="1" x14ac:dyDescent="0.25">
      <c r="A521" s="25" t="s">
        <v>783</v>
      </c>
      <c r="B521" s="4" t="s">
        <v>5</v>
      </c>
      <c r="C521" s="4"/>
      <c r="D521" s="5"/>
      <c r="E521" s="5"/>
      <c r="F521" s="10"/>
      <c r="G521" s="11">
        <v>0.79349999999999998</v>
      </c>
      <c r="H521" s="12">
        <v>0.7298</v>
      </c>
      <c r="I521" s="13"/>
      <c r="J521" s="12">
        <v>47.268799999999999</v>
      </c>
      <c r="K521" s="12">
        <v>43.602699999999999</v>
      </c>
    </row>
    <row r="522" spans="1:11" ht="15" customHeight="1" x14ac:dyDescent="0.25">
      <c r="A522" s="14" t="s">
        <v>441</v>
      </c>
      <c r="B522" s="15" t="s">
        <v>6</v>
      </c>
      <c r="C522" s="16"/>
      <c r="D522" s="17"/>
      <c r="E522" s="17"/>
      <c r="F522" s="18"/>
      <c r="G522" s="19">
        <v>0.79349999999999998</v>
      </c>
      <c r="H522" s="20">
        <v>0.7298</v>
      </c>
      <c r="I522" s="21"/>
      <c r="J522" s="20">
        <v>47.268799999999999</v>
      </c>
      <c r="K522" s="20">
        <v>43.602699999999999</v>
      </c>
    </row>
    <row r="523" spans="1:11" ht="15" customHeight="1" x14ac:dyDescent="0.25">
      <c r="A523" s="22" t="s">
        <v>442</v>
      </c>
      <c r="B523" s="23" t="s">
        <v>8</v>
      </c>
      <c r="C523" s="23" t="s">
        <v>9</v>
      </c>
      <c r="D523" s="24" t="s">
        <v>20</v>
      </c>
      <c r="E523" s="24" t="s">
        <v>21</v>
      </c>
      <c r="F523" s="18"/>
      <c r="G523" s="19"/>
      <c r="H523" s="20"/>
      <c r="I523" s="21"/>
      <c r="J523" s="20"/>
      <c r="K523" s="20"/>
    </row>
    <row r="524" spans="1:11" ht="15" customHeight="1" x14ac:dyDescent="0.25">
      <c r="A524" s="22" t="s">
        <v>443</v>
      </c>
      <c r="B524" s="23" t="s">
        <v>8</v>
      </c>
      <c r="C524" s="23" t="s">
        <v>9</v>
      </c>
      <c r="D524" s="24" t="s">
        <v>10</v>
      </c>
      <c r="E524" s="24" t="s">
        <v>42</v>
      </c>
      <c r="F524" s="18"/>
      <c r="G524" s="19">
        <v>0.79349999999999998</v>
      </c>
      <c r="H524" s="20">
        <v>0.7298</v>
      </c>
      <c r="I524" s="21"/>
      <c r="J524" s="20">
        <v>47.268799999999999</v>
      </c>
      <c r="K524" s="20">
        <v>43.602699999999999</v>
      </c>
    </row>
    <row r="525" spans="1:11" ht="14.25" customHeight="1" x14ac:dyDescent="0.25">
      <c r="A525" s="25" t="s">
        <v>784</v>
      </c>
      <c r="B525" s="4" t="s">
        <v>5</v>
      </c>
      <c r="C525" s="4"/>
      <c r="D525" s="5"/>
      <c r="E525" s="5"/>
      <c r="F525" s="10">
        <v>0.36020000000000002</v>
      </c>
      <c r="G525" s="11">
        <v>5.21E-2</v>
      </c>
      <c r="H525" s="12">
        <v>9.4000000000000004E-3</v>
      </c>
      <c r="I525" s="13">
        <v>19.065100000000001</v>
      </c>
      <c r="J525" s="12">
        <v>2.6206</v>
      </c>
      <c r="K525" s="12">
        <v>0.48</v>
      </c>
    </row>
    <row r="526" spans="1:11" ht="15" customHeight="1" x14ac:dyDescent="0.25">
      <c r="A526" s="14" t="s">
        <v>444</v>
      </c>
      <c r="B526" s="15" t="s">
        <v>6</v>
      </c>
      <c r="C526" s="16"/>
      <c r="D526" s="17"/>
      <c r="E526" s="17"/>
      <c r="F526" s="18">
        <v>0.36020000000000002</v>
      </c>
      <c r="G526" s="19">
        <v>5.21E-2</v>
      </c>
      <c r="H526" s="20">
        <v>9.4000000000000004E-3</v>
      </c>
      <c r="I526" s="21">
        <v>19.065100000000001</v>
      </c>
      <c r="J526" s="20">
        <v>2.6206</v>
      </c>
      <c r="K526" s="20">
        <v>0.48</v>
      </c>
    </row>
    <row r="527" spans="1:11" ht="15" customHeight="1" x14ac:dyDescent="0.25">
      <c r="A527" s="22" t="s">
        <v>445</v>
      </c>
      <c r="B527" s="23" t="s">
        <v>8</v>
      </c>
      <c r="C527" s="23" t="s">
        <v>9</v>
      </c>
      <c r="D527" s="24" t="s">
        <v>20</v>
      </c>
      <c r="E527" s="24" t="s">
        <v>68</v>
      </c>
      <c r="F527" s="18">
        <v>0.36020000000000002</v>
      </c>
      <c r="G527" s="19">
        <v>5.21E-2</v>
      </c>
      <c r="H527" s="20">
        <v>9.4000000000000004E-3</v>
      </c>
      <c r="I527" s="21">
        <v>19.065100000000001</v>
      </c>
      <c r="J527" s="20">
        <v>2.6206</v>
      </c>
      <c r="K527" s="20">
        <v>0.48</v>
      </c>
    </row>
    <row r="528" spans="1:11" ht="14.25" customHeight="1" x14ac:dyDescent="0.25">
      <c r="A528" s="25" t="s">
        <v>785</v>
      </c>
      <c r="B528" s="4" t="s">
        <v>5</v>
      </c>
      <c r="C528" s="4"/>
      <c r="D528" s="5"/>
      <c r="E528" s="5"/>
      <c r="F528" s="10"/>
      <c r="G528" s="11"/>
      <c r="H528" s="12">
        <v>2.0999999999999999E-3</v>
      </c>
      <c r="I528" s="13"/>
      <c r="J528" s="12"/>
      <c r="K528" s="12">
        <v>0.17710000000000001</v>
      </c>
    </row>
    <row r="529" spans="1:11" ht="15" customHeight="1" x14ac:dyDescent="0.25">
      <c r="A529" s="14" t="s">
        <v>446</v>
      </c>
      <c r="B529" s="15" t="s">
        <v>6</v>
      </c>
      <c r="C529" s="16"/>
      <c r="D529" s="17"/>
      <c r="E529" s="17"/>
      <c r="F529" s="18"/>
      <c r="G529" s="19"/>
      <c r="H529" s="20">
        <v>2.0999999999999999E-3</v>
      </c>
      <c r="I529" s="21"/>
      <c r="J529" s="20"/>
      <c r="K529" s="20">
        <v>0.17710000000000001</v>
      </c>
    </row>
    <row r="530" spans="1:11" ht="15" customHeight="1" x14ac:dyDescent="0.25">
      <c r="A530" s="22" t="s">
        <v>447</v>
      </c>
      <c r="B530" s="23" t="s">
        <v>8</v>
      </c>
      <c r="C530" s="23" t="s">
        <v>9</v>
      </c>
      <c r="D530" s="24" t="s">
        <v>20</v>
      </c>
      <c r="E530" s="24" t="s">
        <v>17</v>
      </c>
      <c r="F530" s="18"/>
      <c r="G530" s="19"/>
      <c r="H530" s="20">
        <v>2.0999999999999999E-3</v>
      </c>
      <c r="I530" s="21"/>
      <c r="J530" s="20"/>
      <c r="K530" s="20">
        <v>0.17710000000000001</v>
      </c>
    </row>
    <row r="531" spans="1:11" ht="14.25" customHeight="1" x14ac:dyDescent="0.25">
      <c r="A531" s="25" t="s">
        <v>786</v>
      </c>
      <c r="B531" s="4" t="s">
        <v>5</v>
      </c>
      <c r="C531" s="4"/>
      <c r="D531" s="5"/>
      <c r="E531" s="5"/>
      <c r="F531" s="10">
        <v>2.1507000000000001</v>
      </c>
      <c r="G531" s="11">
        <v>0.15629999999999999</v>
      </c>
      <c r="H531" s="12">
        <v>5.8099999999999999E-2</v>
      </c>
      <c r="I531" s="13">
        <v>55.849800000000002</v>
      </c>
      <c r="J531" s="12">
        <v>3.1030000000000002</v>
      </c>
      <c r="K531" s="12">
        <v>1.1613</v>
      </c>
    </row>
    <row r="532" spans="1:11" ht="15" customHeight="1" x14ac:dyDescent="0.25">
      <c r="A532" s="14" t="s">
        <v>448</v>
      </c>
      <c r="B532" s="15" t="s">
        <v>6</v>
      </c>
      <c r="C532" s="16"/>
      <c r="D532" s="17"/>
      <c r="E532" s="17"/>
      <c r="F532" s="18">
        <v>2.1507000000000001</v>
      </c>
      <c r="G532" s="19">
        <v>0.15629999999999999</v>
      </c>
      <c r="H532" s="20">
        <v>5.8099999999999999E-2</v>
      </c>
      <c r="I532" s="21">
        <v>55.849800000000002</v>
      </c>
      <c r="J532" s="20">
        <v>3.1030000000000002</v>
      </c>
      <c r="K532" s="20">
        <v>1.1613</v>
      </c>
    </row>
    <row r="533" spans="1:11" ht="15" customHeight="1" x14ac:dyDescent="0.25">
      <c r="A533" s="22" t="s">
        <v>449</v>
      </c>
      <c r="B533" s="23" t="s">
        <v>8</v>
      </c>
      <c r="C533" s="23" t="s">
        <v>9</v>
      </c>
      <c r="D533" s="24" t="s">
        <v>30</v>
      </c>
      <c r="E533" s="24" t="s">
        <v>118</v>
      </c>
      <c r="F533" s="18">
        <v>1.4545999999999999</v>
      </c>
      <c r="G533" s="19">
        <v>0.15629999999999999</v>
      </c>
      <c r="H533" s="20">
        <v>5.8099999999999999E-2</v>
      </c>
      <c r="I533" s="21">
        <v>31.957999999999998</v>
      </c>
      <c r="J533" s="20">
        <v>3.1030000000000002</v>
      </c>
      <c r="K533" s="20">
        <v>1.1613</v>
      </c>
    </row>
    <row r="534" spans="1:11" ht="15" customHeight="1" x14ac:dyDescent="0.25">
      <c r="A534" s="22" t="s">
        <v>450</v>
      </c>
      <c r="B534" s="23" t="s">
        <v>8</v>
      </c>
      <c r="C534" s="23" t="s">
        <v>9</v>
      </c>
      <c r="D534" s="24" t="s">
        <v>30</v>
      </c>
      <c r="E534" s="24" t="s">
        <v>42</v>
      </c>
      <c r="F534" s="18">
        <v>0.69610000000000005</v>
      </c>
      <c r="G534" s="19"/>
      <c r="H534" s="20"/>
      <c r="I534" s="21">
        <v>23.8918</v>
      </c>
      <c r="J534" s="20"/>
      <c r="K534" s="20"/>
    </row>
    <row r="535" spans="1:11" ht="14.25" customHeight="1" x14ac:dyDescent="0.25">
      <c r="A535" s="25" t="s">
        <v>787</v>
      </c>
      <c r="B535" s="4" t="s">
        <v>5</v>
      </c>
      <c r="C535" s="4"/>
      <c r="D535" s="5"/>
      <c r="E535" s="5"/>
      <c r="F535" s="10">
        <v>1.4567000000000001</v>
      </c>
      <c r="G535" s="11">
        <v>0.9708</v>
      </c>
      <c r="H535" s="12">
        <v>0.44130000000000003</v>
      </c>
      <c r="I535" s="13">
        <v>8.1128999999999998</v>
      </c>
      <c r="J535" s="12">
        <v>4.8048999999999999</v>
      </c>
      <c r="K535" s="12">
        <v>2.4375</v>
      </c>
    </row>
    <row r="536" spans="1:11" ht="15" customHeight="1" x14ac:dyDescent="0.25">
      <c r="A536" s="14" t="s">
        <v>451</v>
      </c>
      <c r="B536" s="15" t="s">
        <v>6</v>
      </c>
      <c r="C536" s="16"/>
      <c r="D536" s="17"/>
      <c r="E536" s="17"/>
      <c r="F536" s="18">
        <v>1.4567000000000001</v>
      </c>
      <c r="G536" s="19">
        <v>0.9708</v>
      </c>
      <c r="H536" s="20">
        <v>0.44130000000000003</v>
      </c>
      <c r="I536" s="21">
        <v>8.1128999999999998</v>
      </c>
      <c r="J536" s="20">
        <v>4.8048999999999999</v>
      </c>
      <c r="K536" s="20">
        <v>2.4375</v>
      </c>
    </row>
    <row r="537" spans="1:11" ht="15" customHeight="1" x14ac:dyDescent="0.25">
      <c r="A537" s="22" t="s">
        <v>452</v>
      </c>
      <c r="B537" s="23" t="s">
        <v>8</v>
      </c>
      <c r="C537" s="23" t="s">
        <v>9</v>
      </c>
      <c r="D537" s="24" t="s">
        <v>30</v>
      </c>
      <c r="E537" s="24" t="s">
        <v>88</v>
      </c>
      <c r="F537" s="18">
        <v>0.83640000000000003</v>
      </c>
      <c r="G537" s="19">
        <v>0.55679999999999996</v>
      </c>
      <c r="H537" s="20">
        <v>0.16950000000000001</v>
      </c>
      <c r="I537" s="21">
        <v>3.2871000000000001</v>
      </c>
      <c r="J537" s="20">
        <v>1.9970000000000001</v>
      </c>
      <c r="K537" s="20">
        <v>0.75749999999999995</v>
      </c>
    </row>
    <row r="538" spans="1:11" ht="15" customHeight="1" x14ac:dyDescent="0.25">
      <c r="A538" s="22" t="s">
        <v>453</v>
      </c>
      <c r="B538" s="23" t="s">
        <v>8</v>
      </c>
      <c r="C538" s="23" t="s">
        <v>9</v>
      </c>
      <c r="D538" s="24" t="s">
        <v>30</v>
      </c>
      <c r="E538" s="24" t="s">
        <v>103</v>
      </c>
      <c r="F538" s="18">
        <v>1.8599999999999998E-2</v>
      </c>
      <c r="G538" s="19"/>
      <c r="H538" s="20"/>
      <c r="I538" s="21">
        <v>0.14000000000000001</v>
      </c>
      <c r="J538" s="20"/>
      <c r="K538" s="20"/>
    </row>
    <row r="539" spans="1:11" ht="15" customHeight="1" x14ac:dyDescent="0.25">
      <c r="A539" s="22" t="s">
        <v>454</v>
      </c>
      <c r="B539" s="23" t="s">
        <v>8</v>
      </c>
      <c r="C539" s="23" t="s">
        <v>9</v>
      </c>
      <c r="D539" s="24" t="s">
        <v>30</v>
      </c>
      <c r="E539" s="24" t="s">
        <v>103</v>
      </c>
      <c r="F539" s="18">
        <v>0.34599999999999997</v>
      </c>
      <c r="G539" s="19">
        <v>0.3881</v>
      </c>
      <c r="H539" s="20">
        <v>0.2717</v>
      </c>
      <c r="I539" s="21">
        <v>2.4157999999999999</v>
      </c>
      <c r="J539" s="20">
        <v>2.4979</v>
      </c>
      <c r="K539" s="20">
        <v>1.68</v>
      </c>
    </row>
    <row r="540" spans="1:11" ht="15" customHeight="1" x14ac:dyDescent="0.25">
      <c r="A540" s="22" t="s">
        <v>455</v>
      </c>
      <c r="B540" s="23" t="s">
        <v>8</v>
      </c>
      <c r="C540" s="23" t="s">
        <v>9</v>
      </c>
      <c r="D540" s="24" t="s">
        <v>30</v>
      </c>
      <c r="E540" s="24" t="s">
        <v>103</v>
      </c>
      <c r="F540" s="18">
        <v>0.25569999999999998</v>
      </c>
      <c r="G540" s="19">
        <v>2.6200000000000001E-2</v>
      </c>
      <c r="H540" s="20"/>
      <c r="I540" s="21">
        <v>2.27</v>
      </c>
      <c r="J540" s="20">
        <v>0.31</v>
      </c>
      <c r="K540" s="20"/>
    </row>
    <row r="541" spans="1:11" ht="14.25" customHeight="1" x14ac:dyDescent="0.25">
      <c r="A541" s="25" t="s">
        <v>788</v>
      </c>
      <c r="B541" s="4" t="s">
        <v>5</v>
      </c>
      <c r="C541" s="4"/>
      <c r="D541" s="5"/>
      <c r="E541" s="5"/>
      <c r="F541" s="10">
        <v>26.606400000000001</v>
      </c>
      <c r="G541" s="11">
        <v>12.7163</v>
      </c>
      <c r="H541" s="12">
        <v>6.1870000000000003</v>
      </c>
      <c r="I541" s="13">
        <v>773.97839999999997</v>
      </c>
      <c r="J541" s="12">
        <v>348.9753</v>
      </c>
      <c r="K541" s="12">
        <v>165.18170000000001</v>
      </c>
    </row>
    <row r="542" spans="1:11" ht="15" customHeight="1" x14ac:dyDescent="0.25">
      <c r="A542" s="14" t="s">
        <v>456</v>
      </c>
      <c r="B542" s="15" t="s">
        <v>6</v>
      </c>
      <c r="C542" s="16"/>
      <c r="D542" s="17"/>
      <c r="E542" s="17"/>
      <c r="F542" s="18">
        <v>26.606400000000001</v>
      </c>
      <c r="G542" s="19">
        <v>12.7163</v>
      </c>
      <c r="H542" s="20">
        <v>6.1870000000000003</v>
      </c>
      <c r="I542" s="21">
        <v>773.97839999999997</v>
      </c>
      <c r="J542" s="20">
        <v>348.9753</v>
      </c>
      <c r="K542" s="20">
        <v>165.18170000000001</v>
      </c>
    </row>
    <row r="543" spans="1:11" ht="15" customHeight="1" x14ac:dyDescent="0.25">
      <c r="A543" s="22" t="s">
        <v>457</v>
      </c>
      <c r="B543" s="23" t="s">
        <v>8</v>
      </c>
      <c r="C543" s="23" t="s">
        <v>9</v>
      </c>
      <c r="D543" s="24" t="s">
        <v>20</v>
      </c>
      <c r="E543" s="24" t="s">
        <v>99</v>
      </c>
      <c r="F543" s="18">
        <v>4.2514000000000003</v>
      </c>
      <c r="G543" s="19">
        <v>9.5349000000000004</v>
      </c>
      <c r="H543" s="20">
        <v>4.3247999999999998</v>
      </c>
      <c r="I543" s="21">
        <v>118.9742</v>
      </c>
      <c r="J543" s="20">
        <v>264.43900000000002</v>
      </c>
      <c r="K543" s="20">
        <v>116.2043</v>
      </c>
    </row>
    <row r="544" spans="1:11" ht="15" customHeight="1" x14ac:dyDescent="0.25">
      <c r="A544" s="22" t="s">
        <v>458</v>
      </c>
      <c r="B544" s="23" t="s">
        <v>8</v>
      </c>
      <c r="C544" s="23" t="s">
        <v>9</v>
      </c>
      <c r="D544" s="24" t="s">
        <v>20</v>
      </c>
      <c r="E544" s="24" t="s">
        <v>99</v>
      </c>
      <c r="F544" s="18"/>
      <c r="G544" s="19">
        <v>3.1814</v>
      </c>
      <c r="H544" s="20">
        <v>1.8621000000000001</v>
      </c>
      <c r="I544" s="21"/>
      <c r="J544" s="20">
        <v>84.536500000000004</v>
      </c>
      <c r="K544" s="20">
        <v>48.9773</v>
      </c>
    </row>
    <row r="545" spans="1:11" ht="15" customHeight="1" x14ac:dyDescent="0.25">
      <c r="A545" s="22" t="s">
        <v>459</v>
      </c>
      <c r="B545" s="23" t="s">
        <v>8</v>
      </c>
      <c r="C545" s="23" t="s">
        <v>9</v>
      </c>
      <c r="D545" s="24" t="s">
        <v>10</v>
      </c>
      <c r="E545" s="24" t="s">
        <v>99</v>
      </c>
      <c r="F545" s="18">
        <v>9.6434999999999995</v>
      </c>
      <c r="G545" s="19"/>
      <c r="H545" s="20"/>
      <c r="I545" s="21">
        <v>280.5643</v>
      </c>
      <c r="J545" s="20"/>
      <c r="K545" s="20"/>
    </row>
    <row r="546" spans="1:11" ht="15" customHeight="1" x14ac:dyDescent="0.25">
      <c r="A546" s="22" t="s">
        <v>460</v>
      </c>
      <c r="B546" s="23" t="s">
        <v>8</v>
      </c>
      <c r="C546" s="23" t="s">
        <v>9</v>
      </c>
      <c r="D546" s="24" t="s">
        <v>10</v>
      </c>
      <c r="E546" s="24" t="s">
        <v>99</v>
      </c>
      <c r="F546" s="18">
        <v>12.711499999999999</v>
      </c>
      <c r="G546" s="19"/>
      <c r="H546" s="20"/>
      <c r="I546" s="21">
        <v>374.43990000000002</v>
      </c>
      <c r="J546" s="20"/>
      <c r="K546" s="20"/>
    </row>
    <row r="547" spans="1:11" ht="14.25" customHeight="1" x14ac:dyDescent="0.25">
      <c r="A547" s="25" t="s">
        <v>789</v>
      </c>
      <c r="B547" s="4" t="s">
        <v>5</v>
      </c>
      <c r="C547" s="4"/>
      <c r="D547" s="5"/>
      <c r="E547" s="5"/>
      <c r="F547" s="10"/>
      <c r="G547" s="11"/>
      <c r="H547" s="12">
        <v>0.624</v>
      </c>
      <c r="I547" s="13"/>
      <c r="J547" s="12"/>
      <c r="K547" s="12">
        <v>34.035699999999999</v>
      </c>
    </row>
    <row r="548" spans="1:11" ht="15" customHeight="1" x14ac:dyDescent="0.25">
      <c r="A548" s="14" t="s">
        <v>461</v>
      </c>
      <c r="B548" s="15" t="s">
        <v>6</v>
      </c>
      <c r="C548" s="16"/>
      <c r="D548" s="17"/>
      <c r="E548" s="17"/>
      <c r="F548" s="18"/>
      <c r="G548" s="19"/>
      <c r="H548" s="20">
        <v>0.624</v>
      </c>
      <c r="I548" s="21"/>
      <c r="J548" s="20"/>
      <c r="K548" s="20">
        <v>34.035699999999999</v>
      </c>
    </row>
    <row r="549" spans="1:11" ht="15" customHeight="1" x14ac:dyDescent="0.25">
      <c r="A549" s="22" t="s">
        <v>462</v>
      </c>
      <c r="B549" s="23" t="s">
        <v>8</v>
      </c>
      <c r="C549" s="23" t="s">
        <v>9</v>
      </c>
      <c r="D549" s="24" t="s">
        <v>64</v>
      </c>
      <c r="E549" s="24" t="s">
        <v>24</v>
      </c>
      <c r="F549" s="18"/>
      <c r="G549" s="19"/>
      <c r="H549" s="20">
        <v>0.624</v>
      </c>
      <c r="I549" s="21"/>
      <c r="J549" s="20"/>
      <c r="K549" s="20">
        <v>34.035699999999999</v>
      </c>
    </row>
    <row r="550" spans="1:11" ht="14.25" customHeight="1" x14ac:dyDescent="0.25">
      <c r="A550" s="25" t="s">
        <v>790</v>
      </c>
      <c r="B550" s="4" t="s">
        <v>5</v>
      </c>
      <c r="C550" s="4"/>
      <c r="D550" s="5"/>
      <c r="E550" s="5"/>
      <c r="F550" s="10">
        <v>192.72300000000001</v>
      </c>
      <c r="G550" s="11">
        <v>183.24340000000001</v>
      </c>
      <c r="H550" s="12">
        <v>97.209599999999995</v>
      </c>
      <c r="I550" s="13">
        <v>7900.9691000000003</v>
      </c>
      <c r="J550" s="12">
        <v>6838.8454000000002</v>
      </c>
      <c r="K550" s="12">
        <v>3264.5805999999998</v>
      </c>
    </row>
    <row r="551" spans="1:11" ht="15" customHeight="1" x14ac:dyDescent="0.25">
      <c r="A551" s="14" t="s">
        <v>463</v>
      </c>
      <c r="B551" s="15" t="s">
        <v>6</v>
      </c>
      <c r="C551" s="16"/>
      <c r="D551" s="17"/>
      <c r="E551" s="17"/>
      <c r="F551" s="18">
        <v>192.72300000000001</v>
      </c>
      <c r="G551" s="19">
        <v>183.24340000000001</v>
      </c>
      <c r="H551" s="20">
        <v>97.209599999999995</v>
      </c>
      <c r="I551" s="21">
        <v>7900.9691000000003</v>
      </c>
      <c r="J551" s="20">
        <v>6838.8454000000002</v>
      </c>
      <c r="K551" s="20">
        <v>3264.5805999999998</v>
      </c>
    </row>
    <row r="552" spans="1:11" ht="15" customHeight="1" x14ac:dyDescent="0.25">
      <c r="A552" s="22" t="s">
        <v>464</v>
      </c>
      <c r="B552" s="23" t="s">
        <v>8</v>
      </c>
      <c r="C552" s="23" t="s">
        <v>9</v>
      </c>
      <c r="D552" s="24" t="s">
        <v>10</v>
      </c>
      <c r="E552" s="24" t="s">
        <v>37</v>
      </c>
      <c r="F552" s="18">
        <v>192.72300000000001</v>
      </c>
      <c r="G552" s="19">
        <v>183.24340000000001</v>
      </c>
      <c r="H552" s="20">
        <v>97.209599999999995</v>
      </c>
      <c r="I552" s="21">
        <v>7900.9691000000003</v>
      </c>
      <c r="J552" s="20">
        <v>6838.8454000000002</v>
      </c>
      <c r="K552" s="20">
        <v>3264.5805999999998</v>
      </c>
    </row>
    <row r="553" spans="1:11" ht="14.25" customHeight="1" x14ac:dyDescent="0.25">
      <c r="A553" s="25" t="s">
        <v>791</v>
      </c>
      <c r="B553" s="4" t="s">
        <v>5</v>
      </c>
      <c r="C553" s="4"/>
      <c r="D553" s="5"/>
      <c r="E553" s="5"/>
      <c r="F553" s="10">
        <v>1818.5395000000001</v>
      </c>
      <c r="G553" s="11">
        <v>2101.7049999999999</v>
      </c>
      <c r="H553" s="12">
        <v>1233.5607</v>
      </c>
      <c r="I553" s="13">
        <v>45983.127500000002</v>
      </c>
      <c r="J553" s="12">
        <v>53803.2785</v>
      </c>
      <c r="K553" s="12">
        <v>29897.358</v>
      </c>
    </row>
    <row r="554" spans="1:11" ht="15" customHeight="1" x14ac:dyDescent="0.25">
      <c r="A554" s="14" t="s">
        <v>465</v>
      </c>
      <c r="B554" s="15" t="s">
        <v>6</v>
      </c>
      <c r="C554" s="16"/>
      <c r="D554" s="17"/>
      <c r="E554" s="17"/>
      <c r="F554" s="18">
        <v>1818.1666</v>
      </c>
      <c r="G554" s="19">
        <v>2101.6939000000002</v>
      </c>
      <c r="H554" s="20">
        <v>1233.5607</v>
      </c>
      <c r="I554" s="21">
        <v>45975.839</v>
      </c>
      <c r="J554" s="20">
        <v>53803.039499999999</v>
      </c>
      <c r="K554" s="20">
        <v>29897.358</v>
      </c>
    </row>
    <row r="555" spans="1:11" ht="15" customHeight="1" x14ac:dyDescent="0.25">
      <c r="A555" s="22" t="s">
        <v>466</v>
      </c>
      <c r="B555" s="23" t="s">
        <v>8</v>
      </c>
      <c r="C555" s="23" t="s">
        <v>9</v>
      </c>
      <c r="D555" s="24" t="s">
        <v>30</v>
      </c>
      <c r="E555" s="24" t="s">
        <v>376</v>
      </c>
      <c r="F555" s="18">
        <v>6.59E-2</v>
      </c>
      <c r="G555" s="19">
        <v>0.95820000000000005</v>
      </c>
      <c r="H555" s="20"/>
      <c r="I555" s="21">
        <v>0.18509999999999999</v>
      </c>
      <c r="J555" s="20">
        <v>3.0327999999999999</v>
      </c>
      <c r="K555" s="20"/>
    </row>
    <row r="556" spans="1:11" ht="15" customHeight="1" x14ac:dyDescent="0.25">
      <c r="A556" s="22" t="s">
        <v>467</v>
      </c>
      <c r="B556" s="23" t="s">
        <v>8</v>
      </c>
      <c r="C556" s="23" t="s">
        <v>9</v>
      </c>
      <c r="D556" s="24" t="s">
        <v>30</v>
      </c>
      <c r="E556" s="24" t="s">
        <v>376</v>
      </c>
      <c r="F556" s="18">
        <v>5.1000000000000004E-3</v>
      </c>
      <c r="G556" s="19">
        <v>0.40570000000000001</v>
      </c>
      <c r="H556" s="20"/>
      <c r="I556" s="21">
        <v>1.37E-2</v>
      </c>
      <c r="J556" s="20">
        <v>1.3527</v>
      </c>
      <c r="K556" s="20"/>
    </row>
    <row r="557" spans="1:11" ht="15" customHeight="1" x14ac:dyDescent="0.25">
      <c r="A557" s="22" t="s">
        <v>468</v>
      </c>
      <c r="B557" s="23" t="s">
        <v>8</v>
      </c>
      <c r="C557" s="23" t="s">
        <v>9</v>
      </c>
      <c r="D557" s="24" t="s">
        <v>30</v>
      </c>
      <c r="E557" s="24" t="s">
        <v>376</v>
      </c>
      <c r="F557" s="18">
        <v>0.1182</v>
      </c>
      <c r="G557" s="19">
        <v>1.0884</v>
      </c>
      <c r="H557" s="20"/>
      <c r="I557" s="21">
        <v>0.31890000000000002</v>
      </c>
      <c r="J557" s="20">
        <v>3.3033999999999999</v>
      </c>
      <c r="K557" s="20"/>
    </row>
    <row r="558" spans="1:11" ht="15" customHeight="1" x14ac:dyDescent="0.25">
      <c r="A558" s="22" t="s">
        <v>469</v>
      </c>
      <c r="B558" s="23" t="s">
        <v>8</v>
      </c>
      <c r="C558" s="23" t="s">
        <v>9</v>
      </c>
      <c r="D558" s="24" t="s">
        <v>64</v>
      </c>
      <c r="E558" s="24" t="s">
        <v>376</v>
      </c>
      <c r="F558" s="18">
        <v>0.87180000000000002</v>
      </c>
      <c r="G558" s="19">
        <v>4.3999999999999997E-2</v>
      </c>
      <c r="H558" s="20"/>
      <c r="I558" s="21">
        <v>8.5823999999999998</v>
      </c>
      <c r="J558" s="20">
        <v>0.58599999999999997</v>
      </c>
      <c r="K558" s="20"/>
    </row>
    <row r="559" spans="1:11" ht="15" customHeight="1" x14ac:dyDescent="0.25">
      <c r="A559" s="22" t="s">
        <v>470</v>
      </c>
      <c r="B559" s="23" t="s">
        <v>8</v>
      </c>
      <c r="C559" s="23" t="s">
        <v>9</v>
      </c>
      <c r="D559" s="24" t="s">
        <v>64</v>
      </c>
      <c r="E559" s="24" t="s">
        <v>376</v>
      </c>
      <c r="F559" s="18">
        <v>5.4508000000000001</v>
      </c>
      <c r="G559" s="19">
        <v>2.1189</v>
      </c>
      <c r="H559" s="20">
        <v>0.77749999999999997</v>
      </c>
      <c r="I559" s="21">
        <v>70.866600000000005</v>
      </c>
      <c r="J559" s="20">
        <v>26.7118</v>
      </c>
      <c r="K559" s="20">
        <v>8.9403000000000006</v>
      </c>
    </row>
    <row r="560" spans="1:11" ht="15" customHeight="1" x14ac:dyDescent="0.25">
      <c r="A560" s="22" t="s">
        <v>471</v>
      </c>
      <c r="B560" s="23" t="s">
        <v>8</v>
      </c>
      <c r="C560" s="23" t="s">
        <v>9</v>
      </c>
      <c r="D560" s="24" t="s">
        <v>64</v>
      </c>
      <c r="E560" s="24" t="s">
        <v>376</v>
      </c>
      <c r="F560" s="18"/>
      <c r="G560" s="19"/>
      <c r="H560" s="20"/>
      <c r="I560" s="21"/>
      <c r="J560" s="20"/>
      <c r="K560" s="20"/>
    </row>
    <row r="561" spans="1:11" ht="15" customHeight="1" x14ac:dyDescent="0.25">
      <c r="A561" s="22" t="s">
        <v>472</v>
      </c>
      <c r="B561" s="23" t="s">
        <v>8</v>
      </c>
      <c r="C561" s="23" t="s">
        <v>9</v>
      </c>
      <c r="D561" s="24" t="s">
        <v>30</v>
      </c>
      <c r="E561" s="24" t="s">
        <v>118</v>
      </c>
      <c r="F561" s="18">
        <v>9.06E-2</v>
      </c>
      <c r="G561" s="19"/>
      <c r="H561" s="20"/>
      <c r="I561" s="21">
        <v>1.3372999999999999</v>
      </c>
      <c r="J561" s="20"/>
      <c r="K561" s="20"/>
    </row>
    <row r="562" spans="1:11" ht="15" customHeight="1" x14ac:dyDescent="0.25">
      <c r="A562" s="22" t="s">
        <v>473</v>
      </c>
      <c r="B562" s="23" t="s">
        <v>8</v>
      </c>
      <c r="C562" s="23" t="s">
        <v>9</v>
      </c>
      <c r="D562" s="24" t="s">
        <v>10</v>
      </c>
      <c r="E562" s="24" t="s">
        <v>474</v>
      </c>
      <c r="F562" s="18">
        <v>1.3827</v>
      </c>
      <c r="G562" s="19">
        <v>0.7681</v>
      </c>
      <c r="H562" s="20">
        <v>2.3199999999999998E-2</v>
      </c>
      <c r="I562" s="21">
        <v>23.328099999999999</v>
      </c>
      <c r="J562" s="20">
        <v>13.2523</v>
      </c>
      <c r="K562" s="20">
        <v>0.52669999999999995</v>
      </c>
    </row>
    <row r="563" spans="1:11" ht="15" customHeight="1" x14ac:dyDescent="0.25">
      <c r="A563" s="22" t="s">
        <v>475</v>
      </c>
      <c r="B563" s="23" t="s">
        <v>8</v>
      </c>
      <c r="C563" s="23" t="s">
        <v>9</v>
      </c>
      <c r="D563" s="24" t="s">
        <v>30</v>
      </c>
      <c r="E563" s="24" t="s">
        <v>476</v>
      </c>
      <c r="F563" s="18"/>
      <c r="G563" s="19"/>
      <c r="H563" s="20">
        <v>20.740400000000001</v>
      </c>
      <c r="I563" s="21"/>
      <c r="J563" s="20"/>
      <c r="K563" s="20">
        <v>310.0301</v>
      </c>
    </row>
    <row r="564" spans="1:11" ht="15" customHeight="1" x14ac:dyDescent="0.25">
      <c r="A564" s="22" t="s">
        <v>477</v>
      </c>
      <c r="B564" s="23" t="s">
        <v>8</v>
      </c>
      <c r="C564" s="23" t="s">
        <v>9</v>
      </c>
      <c r="D564" s="24" t="s">
        <v>30</v>
      </c>
      <c r="E564" s="24" t="s">
        <v>476</v>
      </c>
      <c r="F564" s="18"/>
      <c r="G564" s="19"/>
      <c r="H564" s="20">
        <v>1.2435</v>
      </c>
      <c r="I564" s="21"/>
      <c r="J564" s="20"/>
      <c r="K564" s="20">
        <v>17.1813</v>
      </c>
    </row>
    <row r="565" spans="1:11" ht="15" customHeight="1" x14ac:dyDescent="0.25">
      <c r="A565" s="22" t="s">
        <v>478</v>
      </c>
      <c r="B565" s="23" t="s">
        <v>8</v>
      </c>
      <c r="C565" s="23" t="s">
        <v>9</v>
      </c>
      <c r="D565" s="24" t="s">
        <v>30</v>
      </c>
      <c r="E565" s="24" t="s">
        <v>476</v>
      </c>
      <c r="F565" s="18">
        <v>4.0780000000000003</v>
      </c>
      <c r="G565" s="19">
        <v>35.126199999999997</v>
      </c>
      <c r="H565" s="20">
        <v>26.273900000000001</v>
      </c>
      <c r="I565" s="21">
        <v>71.718599999999995</v>
      </c>
      <c r="J565" s="20">
        <v>592.5693</v>
      </c>
      <c r="K565" s="20">
        <v>441.30500000000001</v>
      </c>
    </row>
    <row r="566" spans="1:11" ht="15" customHeight="1" x14ac:dyDescent="0.25">
      <c r="A566" s="22" t="s">
        <v>479</v>
      </c>
      <c r="B566" s="23" t="s">
        <v>8</v>
      </c>
      <c r="C566" s="23" t="s">
        <v>9</v>
      </c>
      <c r="D566" s="24" t="s">
        <v>30</v>
      </c>
      <c r="E566" s="24" t="s">
        <v>476</v>
      </c>
      <c r="F566" s="18">
        <v>264.06810000000002</v>
      </c>
      <c r="G566" s="19">
        <v>329.44319999999999</v>
      </c>
      <c r="H566" s="20">
        <v>205.9486</v>
      </c>
      <c r="I566" s="21">
        <v>3958.0279</v>
      </c>
      <c r="J566" s="20">
        <v>5113.9928</v>
      </c>
      <c r="K566" s="20">
        <v>2876.5592000000001</v>
      </c>
    </row>
    <row r="567" spans="1:11" ht="15" customHeight="1" x14ac:dyDescent="0.25">
      <c r="A567" s="22" t="s">
        <v>480</v>
      </c>
      <c r="B567" s="23" t="s">
        <v>8</v>
      </c>
      <c r="C567" s="23" t="s">
        <v>9</v>
      </c>
      <c r="D567" s="24" t="s">
        <v>64</v>
      </c>
      <c r="E567" s="24" t="s">
        <v>15</v>
      </c>
      <c r="F567" s="18"/>
      <c r="G567" s="19"/>
      <c r="H567" s="20"/>
      <c r="I567" s="21"/>
      <c r="J567" s="20"/>
      <c r="K567" s="20"/>
    </row>
    <row r="568" spans="1:11" ht="15" customHeight="1" x14ac:dyDescent="0.25">
      <c r="A568" s="22" t="s">
        <v>481</v>
      </c>
      <c r="B568" s="23" t="s">
        <v>8</v>
      </c>
      <c r="C568" s="23" t="s">
        <v>9</v>
      </c>
      <c r="D568" s="24" t="s">
        <v>30</v>
      </c>
      <c r="E568" s="24" t="s">
        <v>256</v>
      </c>
      <c r="F568" s="18">
        <v>8.5046999999999997</v>
      </c>
      <c r="G568" s="19">
        <v>12.872299999999999</v>
      </c>
      <c r="H568" s="20">
        <v>4.3821000000000003</v>
      </c>
      <c r="I568" s="21">
        <v>194.4057</v>
      </c>
      <c r="J568" s="20">
        <v>338.25259999999997</v>
      </c>
      <c r="K568" s="20">
        <v>110.48520000000001</v>
      </c>
    </row>
    <row r="569" spans="1:11" ht="15" customHeight="1" x14ac:dyDescent="0.25">
      <c r="A569" s="22" t="s">
        <v>482</v>
      </c>
      <c r="B569" s="23" t="s">
        <v>8</v>
      </c>
      <c r="C569" s="23" t="s">
        <v>9</v>
      </c>
      <c r="D569" s="24" t="s">
        <v>30</v>
      </c>
      <c r="E569" s="24" t="s">
        <v>256</v>
      </c>
      <c r="F569" s="18">
        <v>171.4581</v>
      </c>
      <c r="G569" s="19">
        <v>146.56880000000001</v>
      </c>
      <c r="H569" s="20">
        <v>94.527100000000004</v>
      </c>
      <c r="I569" s="21">
        <v>5827.8176999999996</v>
      </c>
      <c r="J569" s="20">
        <v>5036.4476000000004</v>
      </c>
      <c r="K569" s="20">
        <v>3121.8564000000001</v>
      </c>
    </row>
    <row r="570" spans="1:11" ht="15" customHeight="1" x14ac:dyDescent="0.25">
      <c r="A570" s="22" t="s">
        <v>483</v>
      </c>
      <c r="B570" s="23" t="s">
        <v>8</v>
      </c>
      <c r="C570" s="23" t="s">
        <v>9</v>
      </c>
      <c r="D570" s="24" t="s">
        <v>30</v>
      </c>
      <c r="E570" s="24" t="s">
        <v>256</v>
      </c>
      <c r="F570" s="18">
        <v>195.73400000000001</v>
      </c>
      <c r="G570" s="19">
        <v>242.5813</v>
      </c>
      <c r="H570" s="20">
        <v>163.20820000000001</v>
      </c>
      <c r="I570" s="21">
        <v>3936.1988000000001</v>
      </c>
      <c r="J570" s="20">
        <v>5003.2757000000001</v>
      </c>
      <c r="K570" s="20">
        <v>3062.0891000000001</v>
      </c>
    </row>
    <row r="571" spans="1:11" ht="15" customHeight="1" x14ac:dyDescent="0.25">
      <c r="A571" s="22" t="s">
        <v>484</v>
      </c>
      <c r="B571" s="23" t="s">
        <v>8</v>
      </c>
      <c r="C571" s="23" t="s">
        <v>9</v>
      </c>
      <c r="D571" s="24" t="s">
        <v>30</v>
      </c>
      <c r="E571" s="24" t="s">
        <v>256</v>
      </c>
      <c r="F571" s="18">
        <v>0.2492</v>
      </c>
      <c r="G571" s="19">
        <v>5.8500000000000003E-2</v>
      </c>
      <c r="H571" s="20"/>
      <c r="I571" s="21">
        <v>4.6970000000000001</v>
      </c>
      <c r="J571" s="20">
        <v>1.1557999999999999</v>
      </c>
      <c r="K571" s="20"/>
    </row>
    <row r="572" spans="1:11" ht="15" customHeight="1" x14ac:dyDescent="0.25">
      <c r="A572" s="22" t="s">
        <v>485</v>
      </c>
      <c r="B572" s="23" t="s">
        <v>8</v>
      </c>
      <c r="C572" s="23" t="s">
        <v>9</v>
      </c>
      <c r="D572" s="24" t="s">
        <v>30</v>
      </c>
      <c r="E572" s="24" t="s">
        <v>256</v>
      </c>
      <c r="F572" s="18">
        <v>0.97950000000000004</v>
      </c>
      <c r="G572" s="19"/>
      <c r="H572" s="20"/>
      <c r="I572" s="21">
        <v>23.239000000000001</v>
      </c>
      <c r="J572" s="20"/>
      <c r="K572" s="20"/>
    </row>
    <row r="573" spans="1:11" ht="15" customHeight="1" x14ac:dyDescent="0.25">
      <c r="A573" s="22" t="s">
        <v>486</v>
      </c>
      <c r="B573" s="23" t="s">
        <v>8</v>
      </c>
      <c r="C573" s="23" t="s">
        <v>9</v>
      </c>
      <c r="D573" s="24" t="s">
        <v>30</v>
      </c>
      <c r="E573" s="24" t="s">
        <v>256</v>
      </c>
      <c r="F573" s="18">
        <v>1.0518000000000001</v>
      </c>
      <c r="G573" s="19"/>
      <c r="H573" s="20"/>
      <c r="I573" s="21">
        <v>15.4772</v>
      </c>
      <c r="J573" s="20"/>
      <c r="K573" s="20"/>
    </row>
    <row r="574" spans="1:11" ht="15" customHeight="1" x14ac:dyDescent="0.25">
      <c r="A574" s="22" t="s">
        <v>487</v>
      </c>
      <c r="B574" s="23" t="s">
        <v>8</v>
      </c>
      <c r="C574" s="23" t="s">
        <v>9</v>
      </c>
      <c r="D574" s="24" t="s">
        <v>30</v>
      </c>
      <c r="E574" s="24" t="s">
        <v>256</v>
      </c>
      <c r="F574" s="18">
        <v>1.23</v>
      </c>
      <c r="G574" s="19">
        <v>5.5100000000000003E-2</v>
      </c>
      <c r="H574" s="20"/>
      <c r="I574" s="21">
        <v>22.518699999999999</v>
      </c>
      <c r="J574" s="20">
        <v>1.0911</v>
      </c>
      <c r="K574" s="20"/>
    </row>
    <row r="575" spans="1:11" ht="15" customHeight="1" x14ac:dyDescent="0.25">
      <c r="A575" s="22" t="s">
        <v>488</v>
      </c>
      <c r="B575" s="23" t="s">
        <v>8</v>
      </c>
      <c r="C575" s="23" t="s">
        <v>9</v>
      </c>
      <c r="D575" s="24" t="s">
        <v>30</v>
      </c>
      <c r="E575" s="24" t="s">
        <v>256</v>
      </c>
      <c r="F575" s="18">
        <v>0.64070000000000005</v>
      </c>
      <c r="G575" s="19"/>
      <c r="H575" s="20"/>
      <c r="I575" s="21">
        <v>15.170299999999999</v>
      </c>
      <c r="J575" s="20"/>
      <c r="K575" s="20"/>
    </row>
    <row r="576" spans="1:11" ht="15" customHeight="1" x14ac:dyDescent="0.25">
      <c r="A576" s="22" t="s">
        <v>489</v>
      </c>
      <c r="B576" s="23" t="s">
        <v>8</v>
      </c>
      <c r="C576" s="23" t="s">
        <v>9</v>
      </c>
      <c r="D576" s="24" t="s">
        <v>30</v>
      </c>
      <c r="E576" s="24" t="s">
        <v>256</v>
      </c>
      <c r="F576" s="18">
        <v>0.8125</v>
      </c>
      <c r="G576" s="19">
        <v>2.2100000000000002E-2</v>
      </c>
      <c r="H576" s="20"/>
      <c r="I576" s="21">
        <v>14.451000000000001</v>
      </c>
      <c r="J576" s="20">
        <v>0.38290000000000002</v>
      </c>
      <c r="K576" s="20"/>
    </row>
    <row r="577" spans="1:11" ht="15" customHeight="1" x14ac:dyDescent="0.25">
      <c r="A577" s="22" t="s">
        <v>490</v>
      </c>
      <c r="B577" s="23" t="s">
        <v>8</v>
      </c>
      <c r="C577" s="23" t="s">
        <v>9</v>
      </c>
      <c r="D577" s="24" t="s">
        <v>30</v>
      </c>
      <c r="E577" s="24" t="s">
        <v>256</v>
      </c>
      <c r="F577" s="18">
        <v>0.40889999999999999</v>
      </c>
      <c r="G577" s="19">
        <v>7.7899999999999997E-2</v>
      </c>
      <c r="H577" s="20"/>
      <c r="I577" s="21">
        <v>9.6999999999999993</v>
      </c>
      <c r="J577" s="20">
        <v>1.9962</v>
      </c>
      <c r="K577" s="20"/>
    </row>
    <row r="578" spans="1:11" ht="15" customHeight="1" x14ac:dyDescent="0.25">
      <c r="A578" s="22" t="s">
        <v>491</v>
      </c>
      <c r="B578" s="23" t="s">
        <v>8</v>
      </c>
      <c r="C578" s="23" t="s">
        <v>9</v>
      </c>
      <c r="D578" s="24" t="s">
        <v>30</v>
      </c>
      <c r="E578" s="24" t="s">
        <v>256</v>
      </c>
      <c r="F578" s="18">
        <v>1.716</v>
      </c>
      <c r="G578" s="19"/>
      <c r="H578" s="20"/>
      <c r="I578" s="21">
        <v>43.815600000000003</v>
      </c>
      <c r="J578" s="20"/>
      <c r="K578" s="20"/>
    </row>
    <row r="579" spans="1:11" ht="15" customHeight="1" x14ac:dyDescent="0.25">
      <c r="A579" s="22" t="s">
        <v>492</v>
      </c>
      <c r="B579" s="23" t="s">
        <v>8</v>
      </c>
      <c r="C579" s="23" t="s">
        <v>9</v>
      </c>
      <c r="D579" s="24" t="s">
        <v>30</v>
      </c>
      <c r="E579" s="24" t="s">
        <v>256</v>
      </c>
      <c r="F579" s="18">
        <v>0.17050000000000001</v>
      </c>
      <c r="G579" s="19">
        <v>7.7700000000000005E-2</v>
      </c>
      <c r="H579" s="20"/>
      <c r="I579" s="21">
        <v>3.5674000000000001</v>
      </c>
      <c r="J579" s="20">
        <v>1.7087000000000001</v>
      </c>
      <c r="K579" s="20"/>
    </row>
    <row r="580" spans="1:11" ht="15" customHeight="1" x14ac:dyDescent="0.25">
      <c r="A580" s="22" t="s">
        <v>493</v>
      </c>
      <c r="B580" s="23" t="s">
        <v>8</v>
      </c>
      <c r="C580" s="23" t="s">
        <v>9</v>
      </c>
      <c r="D580" s="24" t="s">
        <v>30</v>
      </c>
      <c r="E580" s="24" t="s">
        <v>256</v>
      </c>
      <c r="F580" s="18">
        <v>1.5501</v>
      </c>
      <c r="G580" s="19">
        <v>0.42659999999999998</v>
      </c>
      <c r="H580" s="20">
        <v>0.12859999999999999</v>
      </c>
      <c r="I580" s="21">
        <v>28.959800000000001</v>
      </c>
      <c r="J580" s="20">
        <v>8.7736999999999998</v>
      </c>
      <c r="K580" s="20">
        <v>2.5320999999999998</v>
      </c>
    </row>
    <row r="581" spans="1:11" ht="15" customHeight="1" x14ac:dyDescent="0.25">
      <c r="A581" s="22" t="s">
        <v>494</v>
      </c>
      <c r="B581" s="23" t="s">
        <v>8</v>
      </c>
      <c r="C581" s="23" t="s">
        <v>9</v>
      </c>
      <c r="D581" s="24" t="s">
        <v>30</v>
      </c>
      <c r="E581" s="24" t="s">
        <v>256</v>
      </c>
      <c r="F581" s="18">
        <v>0.83640000000000003</v>
      </c>
      <c r="G581" s="19">
        <v>0.51139999999999997</v>
      </c>
      <c r="H581" s="20"/>
      <c r="I581" s="21">
        <v>18.6389</v>
      </c>
      <c r="J581" s="20">
        <v>9.5508000000000006</v>
      </c>
      <c r="K581" s="20"/>
    </row>
    <row r="582" spans="1:11" ht="15" customHeight="1" x14ac:dyDescent="0.25">
      <c r="A582" s="22" t="s">
        <v>495</v>
      </c>
      <c r="B582" s="23" t="s">
        <v>8</v>
      </c>
      <c r="C582" s="23" t="s">
        <v>9</v>
      </c>
      <c r="D582" s="24" t="s">
        <v>30</v>
      </c>
      <c r="E582" s="24" t="s">
        <v>256</v>
      </c>
      <c r="F582" s="18">
        <v>0.72089999999999999</v>
      </c>
      <c r="G582" s="19"/>
      <c r="H582" s="20"/>
      <c r="I582" s="21">
        <v>9.8262</v>
      </c>
      <c r="J582" s="20"/>
      <c r="K582" s="20"/>
    </row>
    <row r="583" spans="1:11" ht="15" customHeight="1" x14ac:dyDescent="0.25">
      <c r="A583" s="22" t="s">
        <v>496</v>
      </c>
      <c r="B583" s="23" t="s">
        <v>8</v>
      </c>
      <c r="C583" s="23" t="s">
        <v>9</v>
      </c>
      <c r="D583" s="24" t="s">
        <v>30</v>
      </c>
      <c r="E583" s="24" t="s">
        <v>256</v>
      </c>
      <c r="F583" s="18">
        <v>0.48470000000000002</v>
      </c>
      <c r="G583" s="19"/>
      <c r="H583" s="20"/>
      <c r="I583" s="21">
        <v>10.088699999999999</v>
      </c>
      <c r="J583" s="20"/>
      <c r="K583" s="20"/>
    </row>
    <row r="584" spans="1:11" ht="15" customHeight="1" x14ac:dyDescent="0.25">
      <c r="A584" s="22" t="s">
        <v>497</v>
      </c>
      <c r="B584" s="23" t="s">
        <v>8</v>
      </c>
      <c r="C584" s="23" t="s">
        <v>9</v>
      </c>
      <c r="D584" s="24" t="s">
        <v>30</v>
      </c>
      <c r="E584" s="24" t="s">
        <v>256</v>
      </c>
      <c r="F584" s="18">
        <v>1.3634999999999999</v>
      </c>
      <c r="G584" s="19">
        <v>2.1999999999999999E-2</v>
      </c>
      <c r="H584" s="20"/>
      <c r="I584" s="21">
        <v>21.971299999999999</v>
      </c>
      <c r="J584" s="20">
        <v>0.34660000000000002</v>
      </c>
      <c r="K584" s="20"/>
    </row>
    <row r="585" spans="1:11" ht="15" customHeight="1" x14ac:dyDescent="0.25">
      <c r="A585" s="22" t="s">
        <v>498</v>
      </c>
      <c r="B585" s="23" t="s">
        <v>8</v>
      </c>
      <c r="C585" s="23" t="s">
        <v>9</v>
      </c>
      <c r="D585" s="24" t="s">
        <v>30</v>
      </c>
      <c r="E585" s="24" t="s">
        <v>256</v>
      </c>
      <c r="F585" s="18">
        <v>0.2001</v>
      </c>
      <c r="G585" s="19"/>
      <c r="H585" s="20"/>
      <c r="I585" s="21">
        <v>3.1530999999999998</v>
      </c>
      <c r="J585" s="20"/>
      <c r="K585" s="20"/>
    </row>
    <row r="586" spans="1:11" ht="15" customHeight="1" x14ac:dyDescent="0.25">
      <c r="A586" s="22" t="s">
        <v>499</v>
      </c>
      <c r="B586" s="23" t="s">
        <v>8</v>
      </c>
      <c r="C586" s="23" t="s">
        <v>9</v>
      </c>
      <c r="D586" s="24" t="s">
        <v>30</v>
      </c>
      <c r="E586" s="24" t="s">
        <v>256</v>
      </c>
      <c r="F586" s="18">
        <v>0.30409999999999998</v>
      </c>
      <c r="G586" s="19"/>
      <c r="H586" s="20"/>
      <c r="I586" s="21">
        <v>4.4311999999999996</v>
      </c>
      <c r="J586" s="20"/>
      <c r="K586" s="20"/>
    </row>
    <row r="587" spans="1:11" ht="15" customHeight="1" x14ac:dyDescent="0.25">
      <c r="A587" s="22" t="s">
        <v>500</v>
      </c>
      <c r="B587" s="23" t="s">
        <v>8</v>
      </c>
      <c r="C587" s="23" t="s">
        <v>9</v>
      </c>
      <c r="D587" s="24" t="s">
        <v>30</v>
      </c>
      <c r="E587" s="24" t="s">
        <v>256</v>
      </c>
      <c r="F587" s="18">
        <v>1.4756</v>
      </c>
      <c r="G587" s="19">
        <v>0.29549999999999998</v>
      </c>
      <c r="H587" s="20">
        <v>0.13869999999999999</v>
      </c>
      <c r="I587" s="21">
        <v>38.575499999999998</v>
      </c>
      <c r="J587" s="20">
        <v>5.6929999999999996</v>
      </c>
      <c r="K587" s="20">
        <v>2.5320999999999998</v>
      </c>
    </row>
    <row r="588" spans="1:11" ht="15" customHeight="1" x14ac:dyDescent="0.25">
      <c r="A588" s="22" t="s">
        <v>501</v>
      </c>
      <c r="B588" s="23" t="s">
        <v>8</v>
      </c>
      <c r="C588" s="23" t="s">
        <v>9</v>
      </c>
      <c r="D588" s="24" t="s">
        <v>30</v>
      </c>
      <c r="E588" s="24" t="s">
        <v>256</v>
      </c>
      <c r="F588" s="18">
        <v>0.92279999999999995</v>
      </c>
      <c r="G588" s="19"/>
      <c r="H588" s="20"/>
      <c r="I588" s="21">
        <v>21.822199999999999</v>
      </c>
      <c r="J588" s="20"/>
      <c r="K588" s="20"/>
    </row>
    <row r="589" spans="1:11" ht="15" customHeight="1" x14ac:dyDescent="0.25">
      <c r="A589" s="22" t="s">
        <v>502</v>
      </c>
      <c r="B589" s="23" t="s">
        <v>8</v>
      </c>
      <c r="C589" s="23" t="s">
        <v>9</v>
      </c>
      <c r="D589" s="24" t="s">
        <v>30</v>
      </c>
      <c r="E589" s="24" t="s">
        <v>256</v>
      </c>
      <c r="F589" s="18">
        <v>105.723</v>
      </c>
      <c r="G589" s="19">
        <v>231.39109999999999</v>
      </c>
      <c r="H589" s="20">
        <v>190.30779999999999</v>
      </c>
      <c r="I589" s="21">
        <v>3632.1455999999998</v>
      </c>
      <c r="J589" s="20">
        <v>7878.6941999999999</v>
      </c>
      <c r="K589" s="20">
        <v>6167.0902999999998</v>
      </c>
    </row>
    <row r="590" spans="1:11" ht="15" customHeight="1" x14ac:dyDescent="0.25">
      <c r="A590" s="22" t="s">
        <v>503</v>
      </c>
      <c r="B590" s="23" t="s">
        <v>8</v>
      </c>
      <c r="C590" s="23" t="s">
        <v>9</v>
      </c>
      <c r="D590" s="24" t="s">
        <v>30</v>
      </c>
      <c r="E590" s="24" t="s">
        <v>256</v>
      </c>
      <c r="F590" s="18">
        <v>0.97140000000000004</v>
      </c>
      <c r="G590" s="19">
        <v>3.1E-2</v>
      </c>
      <c r="H590" s="20"/>
      <c r="I590" s="21">
        <v>22.952100000000002</v>
      </c>
      <c r="J590" s="20">
        <v>0.70540000000000003</v>
      </c>
      <c r="K590" s="20"/>
    </row>
    <row r="591" spans="1:11" ht="15" customHeight="1" x14ac:dyDescent="0.25">
      <c r="A591" s="22" t="s">
        <v>504</v>
      </c>
      <c r="B591" s="23" t="s">
        <v>8</v>
      </c>
      <c r="C591" s="23" t="s">
        <v>9</v>
      </c>
      <c r="D591" s="24" t="s">
        <v>30</v>
      </c>
      <c r="E591" s="24" t="s">
        <v>256</v>
      </c>
      <c r="F591" s="18">
        <v>0.23680000000000001</v>
      </c>
      <c r="G591" s="19"/>
      <c r="H591" s="20"/>
      <c r="I591" s="21">
        <v>4.3052000000000001</v>
      </c>
      <c r="J591" s="20"/>
      <c r="K591" s="20"/>
    </row>
    <row r="592" spans="1:11" ht="15" customHeight="1" x14ac:dyDescent="0.25">
      <c r="A592" s="22" t="s">
        <v>505</v>
      </c>
      <c r="B592" s="23" t="s">
        <v>8</v>
      </c>
      <c r="C592" s="23" t="s">
        <v>9</v>
      </c>
      <c r="D592" s="24" t="s">
        <v>64</v>
      </c>
      <c r="E592" s="24" t="s">
        <v>256</v>
      </c>
      <c r="F592" s="18">
        <v>40.155500000000004</v>
      </c>
      <c r="G592" s="19">
        <v>53.039099999999998</v>
      </c>
      <c r="H592" s="20">
        <v>19.640599999999999</v>
      </c>
      <c r="I592" s="21">
        <v>809.24120000000005</v>
      </c>
      <c r="J592" s="20">
        <v>1117.5988</v>
      </c>
      <c r="K592" s="20">
        <v>353.57029999999997</v>
      </c>
    </row>
    <row r="593" spans="1:11" ht="15" customHeight="1" x14ac:dyDescent="0.25">
      <c r="A593" s="22" t="s">
        <v>506</v>
      </c>
      <c r="B593" s="23" t="s">
        <v>8</v>
      </c>
      <c r="C593" s="23" t="s">
        <v>9</v>
      </c>
      <c r="D593" s="24" t="s">
        <v>64</v>
      </c>
      <c r="E593" s="24" t="s">
        <v>256</v>
      </c>
      <c r="F593" s="18">
        <v>124.0141</v>
      </c>
      <c r="G593" s="19">
        <v>119.1621</v>
      </c>
      <c r="H593" s="20">
        <v>72.991100000000003</v>
      </c>
      <c r="I593" s="21">
        <v>4179.8078999999998</v>
      </c>
      <c r="J593" s="20">
        <v>4057.9854</v>
      </c>
      <c r="K593" s="20">
        <v>2439.5360000000001</v>
      </c>
    </row>
    <row r="594" spans="1:11" ht="15" customHeight="1" x14ac:dyDescent="0.25">
      <c r="A594" s="22" t="s">
        <v>507</v>
      </c>
      <c r="B594" s="23" t="s">
        <v>8</v>
      </c>
      <c r="C594" s="23" t="s">
        <v>9</v>
      </c>
      <c r="D594" s="24" t="s">
        <v>64</v>
      </c>
      <c r="E594" s="24" t="s">
        <v>256</v>
      </c>
      <c r="F594" s="18">
        <v>126.2456</v>
      </c>
      <c r="G594" s="19">
        <v>161.7927</v>
      </c>
      <c r="H594" s="20">
        <v>82.616799999999998</v>
      </c>
      <c r="I594" s="21">
        <v>2585.6873000000001</v>
      </c>
      <c r="J594" s="20">
        <v>3416.431</v>
      </c>
      <c r="K594" s="20">
        <v>1611.8206</v>
      </c>
    </row>
    <row r="595" spans="1:11" ht="15" customHeight="1" x14ac:dyDescent="0.25">
      <c r="A595" s="22" t="s">
        <v>508</v>
      </c>
      <c r="B595" s="23" t="s">
        <v>8</v>
      </c>
      <c r="C595" s="23" t="s">
        <v>9</v>
      </c>
      <c r="D595" s="24" t="s">
        <v>64</v>
      </c>
      <c r="E595" s="24" t="s">
        <v>256</v>
      </c>
      <c r="F595" s="18">
        <v>95.148099999999999</v>
      </c>
      <c r="G595" s="19">
        <v>213.16730000000001</v>
      </c>
      <c r="H595" s="20">
        <v>155.60400000000001</v>
      </c>
      <c r="I595" s="21">
        <v>3171.4767999999999</v>
      </c>
      <c r="J595" s="20">
        <v>7264.2154</v>
      </c>
      <c r="K595" s="20">
        <v>5013.7686000000003</v>
      </c>
    </row>
    <row r="596" spans="1:11" ht="15" customHeight="1" x14ac:dyDescent="0.25">
      <c r="A596" s="22" t="s">
        <v>509</v>
      </c>
      <c r="B596" s="23" t="s">
        <v>8</v>
      </c>
      <c r="C596" s="23" t="s">
        <v>9</v>
      </c>
      <c r="D596" s="24" t="s">
        <v>64</v>
      </c>
      <c r="E596" s="24" t="s">
        <v>363</v>
      </c>
      <c r="F596" s="18">
        <v>19.249199999999998</v>
      </c>
      <c r="G596" s="19">
        <v>1.4004000000000001</v>
      </c>
      <c r="H596" s="20"/>
      <c r="I596" s="21">
        <v>316.69850000000002</v>
      </c>
      <c r="J596" s="20">
        <v>25.215900000000001</v>
      </c>
      <c r="K596" s="20"/>
    </row>
    <row r="597" spans="1:11" ht="15" customHeight="1" x14ac:dyDescent="0.25">
      <c r="A597" s="22" t="s">
        <v>510</v>
      </c>
      <c r="B597" s="23" t="s">
        <v>8</v>
      </c>
      <c r="C597" s="23" t="s">
        <v>9</v>
      </c>
      <c r="D597" s="24" t="s">
        <v>64</v>
      </c>
      <c r="E597" s="24" t="s">
        <v>34</v>
      </c>
      <c r="F597" s="18">
        <v>0.76639999999999997</v>
      </c>
      <c r="G597" s="19">
        <v>3.6499999999999998E-2</v>
      </c>
      <c r="H597" s="20"/>
      <c r="I597" s="21">
        <v>14.48</v>
      </c>
      <c r="J597" s="20">
        <v>0.67200000000000004</v>
      </c>
      <c r="K597" s="20"/>
    </row>
    <row r="598" spans="1:11" ht="15" customHeight="1" x14ac:dyDescent="0.25">
      <c r="A598" s="22" t="s">
        <v>511</v>
      </c>
      <c r="B598" s="23" t="s">
        <v>8</v>
      </c>
      <c r="C598" s="23" t="s">
        <v>9</v>
      </c>
      <c r="D598" s="24" t="s">
        <v>64</v>
      </c>
      <c r="E598" s="24" t="s">
        <v>34</v>
      </c>
      <c r="F598" s="18">
        <v>0.17649999999999999</v>
      </c>
      <c r="G598" s="19"/>
      <c r="H598" s="20"/>
      <c r="I598" s="21">
        <v>2.9144999999999999</v>
      </c>
      <c r="J598" s="20"/>
      <c r="K598" s="20"/>
    </row>
    <row r="599" spans="1:11" ht="15" customHeight="1" x14ac:dyDescent="0.25">
      <c r="A599" s="22" t="s">
        <v>512</v>
      </c>
      <c r="B599" s="23" t="s">
        <v>8</v>
      </c>
      <c r="C599" s="23" t="s">
        <v>9</v>
      </c>
      <c r="D599" s="24" t="s">
        <v>64</v>
      </c>
      <c r="E599" s="24" t="s">
        <v>34</v>
      </c>
      <c r="F599" s="18">
        <v>3.9998</v>
      </c>
      <c r="G599" s="19">
        <v>2.0327000000000002</v>
      </c>
      <c r="H599" s="20">
        <v>0.44619999999999999</v>
      </c>
      <c r="I599" s="21">
        <v>76.599100000000007</v>
      </c>
      <c r="J599" s="20">
        <v>45.206499999999998</v>
      </c>
      <c r="K599" s="20">
        <v>9.7993000000000006</v>
      </c>
    </row>
    <row r="600" spans="1:11" ht="15" customHeight="1" x14ac:dyDescent="0.25">
      <c r="A600" s="22" t="s">
        <v>513</v>
      </c>
      <c r="B600" s="23" t="s">
        <v>8</v>
      </c>
      <c r="C600" s="23" t="s">
        <v>9</v>
      </c>
      <c r="D600" s="24" t="s">
        <v>64</v>
      </c>
      <c r="E600" s="24" t="s">
        <v>34</v>
      </c>
      <c r="F600" s="18">
        <v>3.4256000000000002</v>
      </c>
      <c r="G600" s="19">
        <v>0.1051</v>
      </c>
      <c r="H600" s="20"/>
      <c r="I600" s="21">
        <v>52.9163</v>
      </c>
      <c r="J600" s="20">
        <v>1.5987</v>
      </c>
      <c r="K600" s="20"/>
    </row>
    <row r="601" spans="1:11" ht="15" customHeight="1" x14ac:dyDescent="0.25">
      <c r="A601" s="22" t="s">
        <v>514</v>
      </c>
      <c r="B601" s="23" t="s">
        <v>8</v>
      </c>
      <c r="C601" s="23" t="s">
        <v>9</v>
      </c>
      <c r="D601" s="24" t="s">
        <v>64</v>
      </c>
      <c r="E601" s="24" t="s">
        <v>34</v>
      </c>
      <c r="F601" s="18">
        <v>2.7799999999999998E-2</v>
      </c>
      <c r="G601" s="19"/>
      <c r="H601" s="20"/>
      <c r="I601" s="21">
        <v>0.59</v>
      </c>
      <c r="J601" s="20"/>
      <c r="K601" s="20"/>
    </row>
    <row r="602" spans="1:11" ht="15" customHeight="1" x14ac:dyDescent="0.25">
      <c r="A602" s="22" t="s">
        <v>515</v>
      </c>
      <c r="B602" s="23" t="s">
        <v>8</v>
      </c>
      <c r="C602" s="23" t="s">
        <v>9</v>
      </c>
      <c r="D602" s="24" t="s">
        <v>64</v>
      </c>
      <c r="E602" s="24" t="s">
        <v>34</v>
      </c>
      <c r="F602" s="18">
        <v>2.0205000000000002</v>
      </c>
      <c r="G602" s="19">
        <v>6.1100000000000002E-2</v>
      </c>
      <c r="H602" s="20">
        <v>4.3E-3</v>
      </c>
      <c r="I602" s="21">
        <v>30.746600000000001</v>
      </c>
      <c r="J602" s="20">
        <v>0.89600000000000002</v>
      </c>
      <c r="K602" s="20">
        <v>5.6000000000000001E-2</v>
      </c>
    </row>
    <row r="603" spans="1:11" ht="15" customHeight="1" x14ac:dyDescent="0.25">
      <c r="A603" s="22" t="s">
        <v>516</v>
      </c>
      <c r="B603" s="23" t="s">
        <v>8</v>
      </c>
      <c r="C603" s="23" t="s">
        <v>9</v>
      </c>
      <c r="D603" s="24" t="s">
        <v>64</v>
      </c>
      <c r="E603" s="24" t="s">
        <v>34</v>
      </c>
      <c r="F603" s="18"/>
      <c r="G603" s="19"/>
      <c r="H603" s="20"/>
      <c r="I603" s="21"/>
      <c r="J603" s="20"/>
      <c r="K603" s="20"/>
    </row>
    <row r="604" spans="1:11" ht="15" customHeight="1" x14ac:dyDescent="0.25">
      <c r="A604" s="22" t="s">
        <v>517</v>
      </c>
      <c r="B604" s="23" t="s">
        <v>8</v>
      </c>
      <c r="C604" s="23" t="s">
        <v>9</v>
      </c>
      <c r="D604" s="24" t="s">
        <v>64</v>
      </c>
      <c r="E604" s="24" t="s">
        <v>34</v>
      </c>
      <c r="F604" s="18">
        <v>2.1128999999999998</v>
      </c>
      <c r="G604" s="19">
        <v>3.0200000000000001E-2</v>
      </c>
      <c r="H604" s="20"/>
      <c r="I604" s="21">
        <v>32.116500000000002</v>
      </c>
      <c r="J604" s="20">
        <v>0.44800000000000001</v>
      </c>
      <c r="K604" s="20"/>
    </row>
    <row r="605" spans="1:11" ht="15" customHeight="1" x14ac:dyDescent="0.25">
      <c r="A605" s="22" t="s">
        <v>518</v>
      </c>
      <c r="B605" s="23" t="s">
        <v>8</v>
      </c>
      <c r="C605" s="23" t="s">
        <v>9</v>
      </c>
      <c r="D605" s="24" t="s">
        <v>64</v>
      </c>
      <c r="E605" s="24" t="s">
        <v>34</v>
      </c>
      <c r="F605" s="18"/>
      <c r="G605" s="19"/>
      <c r="H605" s="20"/>
      <c r="I605" s="21"/>
      <c r="J605" s="20"/>
      <c r="K605" s="20"/>
    </row>
    <row r="606" spans="1:11" ht="15" customHeight="1" x14ac:dyDescent="0.25">
      <c r="A606" s="22" t="s">
        <v>519</v>
      </c>
      <c r="B606" s="23" t="s">
        <v>8</v>
      </c>
      <c r="C606" s="23" t="s">
        <v>9</v>
      </c>
      <c r="D606" s="24" t="s">
        <v>64</v>
      </c>
      <c r="E606" s="24" t="s">
        <v>34</v>
      </c>
      <c r="F606" s="18">
        <v>0.03</v>
      </c>
      <c r="G606" s="19">
        <v>5.8999999999999999E-3</v>
      </c>
      <c r="H606" s="20"/>
      <c r="I606" s="21">
        <v>0.67200000000000004</v>
      </c>
      <c r="J606" s="20">
        <v>0.16800000000000001</v>
      </c>
      <c r="K606" s="20"/>
    </row>
    <row r="607" spans="1:11" ht="15" customHeight="1" x14ac:dyDescent="0.25">
      <c r="A607" s="22" t="s">
        <v>520</v>
      </c>
      <c r="B607" s="23" t="s">
        <v>8</v>
      </c>
      <c r="C607" s="23" t="s">
        <v>9</v>
      </c>
      <c r="D607" s="24" t="s">
        <v>64</v>
      </c>
      <c r="E607" s="24" t="s">
        <v>34</v>
      </c>
      <c r="F607" s="18">
        <v>3.5200000000000002E-2</v>
      </c>
      <c r="G607" s="19"/>
      <c r="H607" s="20"/>
      <c r="I607" s="21">
        <v>0.65949999999999998</v>
      </c>
      <c r="J607" s="20"/>
      <c r="K607" s="20"/>
    </row>
    <row r="608" spans="1:11" ht="15" customHeight="1" x14ac:dyDescent="0.25">
      <c r="A608" s="22" t="s">
        <v>521</v>
      </c>
      <c r="B608" s="23" t="s">
        <v>8</v>
      </c>
      <c r="C608" s="23" t="s">
        <v>9</v>
      </c>
      <c r="D608" s="24" t="s">
        <v>64</v>
      </c>
      <c r="E608" s="24" t="s">
        <v>34</v>
      </c>
      <c r="F608" s="18">
        <v>0.17460000000000001</v>
      </c>
      <c r="G608" s="19">
        <v>5.2699999999999997E-2</v>
      </c>
      <c r="H608" s="20">
        <v>1.09E-2</v>
      </c>
      <c r="I608" s="21">
        <v>3.8159000000000001</v>
      </c>
      <c r="J608" s="20">
        <v>1.4</v>
      </c>
      <c r="K608" s="20">
        <v>0.28000000000000003</v>
      </c>
    </row>
    <row r="609" spans="1:11" ht="15" customHeight="1" x14ac:dyDescent="0.25">
      <c r="A609" s="22" t="s">
        <v>522</v>
      </c>
      <c r="B609" s="23" t="s">
        <v>8</v>
      </c>
      <c r="C609" s="23" t="s">
        <v>9</v>
      </c>
      <c r="D609" s="24" t="s">
        <v>64</v>
      </c>
      <c r="E609" s="24" t="s">
        <v>34</v>
      </c>
      <c r="F609" s="18"/>
      <c r="G609" s="19"/>
      <c r="H609" s="20"/>
      <c r="I609" s="21"/>
      <c r="J609" s="20"/>
      <c r="K609" s="20"/>
    </row>
    <row r="610" spans="1:11" ht="15" customHeight="1" x14ac:dyDescent="0.25">
      <c r="A610" s="22" t="s">
        <v>523</v>
      </c>
      <c r="B610" s="23" t="s">
        <v>8</v>
      </c>
      <c r="C610" s="23" t="s">
        <v>9</v>
      </c>
      <c r="D610" s="24" t="s">
        <v>64</v>
      </c>
      <c r="E610" s="24" t="s">
        <v>34</v>
      </c>
      <c r="F610" s="18">
        <v>1.0412999999999999</v>
      </c>
      <c r="G610" s="19"/>
      <c r="H610" s="20"/>
      <c r="I610" s="21">
        <v>23.5031</v>
      </c>
      <c r="J610" s="20"/>
      <c r="K610" s="20"/>
    </row>
    <row r="611" spans="1:11" ht="15" customHeight="1" x14ac:dyDescent="0.25">
      <c r="A611" s="22" t="s">
        <v>524</v>
      </c>
      <c r="B611" s="23" t="s">
        <v>8</v>
      </c>
      <c r="C611" s="23" t="s">
        <v>9</v>
      </c>
      <c r="D611" s="24" t="s">
        <v>64</v>
      </c>
      <c r="E611" s="24" t="s">
        <v>34</v>
      </c>
      <c r="F611" s="18">
        <v>3.8100000000000002E-2</v>
      </c>
      <c r="G611" s="19">
        <v>7.4000000000000003E-3</v>
      </c>
      <c r="H611" s="20">
        <v>1.11E-2</v>
      </c>
      <c r="I611" s="21">
        <v>0.67200000000000004</v>
      </c>
      <c r="J611" s="20">
        <v>0.112</v>
      </c>
      <c r="K611" s="20">
        <v>0.16800000000000001</v>
      </c>
    </row>
    <row r="612" spans="1:11" ht="15" customHeight="1" x14ac:dyDescent="0.25">
      <c r="A612" s="22" t="s">
        <v>525</v>
      </c>
      <c r="B612" s="23" t="s">
        <v>8</v>
      </c>
      <c r="C612" s="23" t="s">
        <v>9</v>
      </c>
      <c r="D612" s="24" t="s">
        <v>64</v>
      </c>
      <c r="E612" s="24" t="s">
        <v>34</v>
      </c>
      <c r="F612" s="18">
        <v>1.0855999999999999</v>
      </c>
      <c r="G612" s="19">
        <v>0.58120000000000005</v>
      </c>
      <c r="H612" s="20"/>
      <c r="I612" s="21">
        <v>19.170200000000001</v>
      </c>
      <c r="J612" s="20">
        <v>10.2963</v>
      </c>
      <c r="K612" s="20"/>
    </row>
    <row r="613" spans="1:11" ht="15" customHeight="1" x14ac:dyDescent="0.25">
      <c r="A613" s="22" t="s">
        <v>526</v>
      </c>
      <c r="B613" s="23" t="s">
        <v>8</v>
      </c>
      <c r="C613" s="23" t="s">
        <v>9</v>
      </c>
      <c r="D613" s="24" t="s">
        <v>64</v>
      </c>
      <c r="E613" s="24" t="s">
        <v>34</v>
      </c>
      <c r="F613" s="18">
        <v>0.72109999999999996</v>
      </c>
      <c r="G613" s="19">
        <v>5.3105000000000002</v>
      </c>
      <c r="H613" s="20"/>
      <c r="I613" s="21">
        <v>13.8162</v>
      </c>
      <c r="J613" s="20">
        <v>130.43450000000001</v>
      </c>
      <c r="K613" s="20"/>
    </row>
    <row r="614" spans="1:11" ht="15" customHeight="1" x14ac:dyDescent="0.25">
      <c r="A614" s="22" t="s">
        <v>527</v>
      </c>
      <c r="B614" s="23" t="s">
        <v>8</v>
      </c>
      <c r="C614" s="23" t="s">
        <v>9</v>
      </c>
      <c r="D614" s="24" t="s">
        <v>64</v>
      </c>
      <c r="E614" s="24" t="s">
        <v>34</v>
      </c>
      <c r="F614" s="18">
        <v>0.80620000000000003</v>
      </c>
      <c r="G614" s="19"/>
      <c r="H614" s="20"/>
      <c r="I614" s="21">
        <v>18.060500000000001</v>
      </c>
      <c r="J614" s="20"/>
      <c r="K614" s="20"/>
    </row>
    <row r="615" spans="1:11" ht="15" customHeight="1" x14ac:dyDescent="0.25">
      <c r="A615" s="22" t="s">
        <v>528</v>
      </c>
      <c r="B615" s="23" t="s">
        <v>8</v>
      </c>
      <c r="C615" s="23" t="s">
        <v>9</v>
      </c>
      <c r="D615" s="24" t="s">
        <v>30</v>
      </c>
      <c r="E615" s="24" t="s">
        <v>37</v>
      </c>
      <c r="F615" s="18">
        <v>15.5359</v>
      </c>
      <c r="G615" s="19">
        <v>0.67789999999999995</v>
      </c>
      <c r="H615" s="20"/>
      <c r="I615" s="21">
        <v>345.3125</v>
      </c>
      <c r="J615" s="20">
        <v>13.0631</v>
      </c>
      <c r="K615" s="20"/>
    </row>
    <row r="616" spans="1:11" ht="15" customHeight="1" x14ac:dyDescent="0.25">
      <c r="A616" s="22" t="s">
        <v>529</v>
      </c>
      <c r="B616" s="23" t="s">
        <v>8</v>
      </c>
      <c r="C616" s="23" t="s">
        <v>9</v>
      </c>
      <c r="D616" s="24" t="s">
        <v>10</v>
      </c>
      <c r="E616" s="24" t="s">
        <v>37</v>
      </c>
      <c r="F616" s="18">
        <v>0.33579999999999999</v>
      </c>
      <c r="G616" s="19"/>
      <c r="H616" s="20"/>
      <c r="I616" s="21">
        <v>9.1472999999999995</v>
      </c>
      <c r="J616" s="20"/>
      <c r="K616" s="20"/>
    </row>
    <row r="617" spans="1:11" ht="15" customHeight="1" x14ac:dyDescent="0.25">
      <c r="A617" s="22" t="s">
        <v>530</v>
      </c>
      <c r="B617" s="23" t="s">
        <v>8</v>
      </c>
      <c r="C617" s="23" t="s">
        <v>9</v>
      </c>
      <c r="D617" s="24" t="s">
        <v>10</v>
      </c>
      <c r="E617" s="24" t="s">
        <v>37</v>
      </c>
      <c r="F617" s="18">
        <v>27.901900000000001</v>
      </c>
      <c r="G617" s="19">
        <v>8.1903000000000006</v>
      </c>
      <c r="H617" s="20">
        <v>0.88470000000000004</v>
      </c>
      <c r="I617" s="21">
        <v>618.1096</v>
      </c>
      <c r="J617" s="20">
        <v>185.2071</v>
      </c>
      <c r="K617" s="20">
        <v>18.353999999999999</v>
      </c>
    </row>
    <row r="618" spans="1:11" ht="15" customHeight="1" x14ac:dyDescent="0.25">
      <c r="A618" s="22" t="s">
        <v>531</v>
      </c>
      <c r="B618" s="23" t="s">
        <v>8</v>
      </c>
      <c r="C618" s="23" t="s">
        <v>9</v>
      </c>
      <c r="D618" s="24" t="s">
        <v>10</v>
      </c>
      <c r="E618" s="24" t="s">
        <v>37</v>
      </c>
      <c r="F618" s="18">
        <v>2.58E-2</v>
      </c>
      <c r="G618" s="19">
        <v>7.9000000000000008E-3</v>
      </c>
      <c r="H618" s="20"/>
      <c r="I618" s="21">
        <v>0.57599999999999996</v>
      </c>
      <c r="J618" s="20">
        <v>0.38400000000000001</v>
      </c>
      <c r="K618" s="20"/>
    </row>
    <row r="619" spans="1:11" ht="15" customHeight="1" x14ac:dyDescent="0.25">
      <c r="A619" s="22" t="s">
        <v>532</v>
      </c>
      <c r="B619" s="23" t="s">
        <v>8</v>
      </c>
      <c r="C619" s="23" t="s">
        <v>9</v>
      </c>
      <c r="D619" s="24" t="s">
        <v>10</v>
      </c>
      <c r="E619" s="24" t="s">
        <v>37</v>
      </c>
      <c r="F619" s="18"/>
      <c r="G619" s="19"/>
      <c r="H619" s="20"/>
      <c r="I619" s="21"/>
      <c r="J619" s="20"/>
      <c r="K619" s="20"/>
    </row>
    <row r="620" spans="1:11" ht="15" customHeight="1" x14ac:dyDescent="0.25">
      <c r="A620" s="22" t="s">
        <v>533</v>
      </c>
      <c r="B620" s="23" t="s">
        <v>8</v>
      </c>
      <c r="C620" s="23" t="s">
        <v>9</v>
      </c>
      <c r="D620" s="24" t="s">
        <v>10</v>
      </c>
      <c r="E620" s="24" t="s">
        <v>37</v>
      </c>
      <c r="F620" s="18">
        <v>0.55289999999999995</v>
      </c>
      <c r="G620" s="19">
        <v>0.47820000000000001</v>
      </c>
      <c r="H620" s="20">
        <v>8.14E-2</v>
      </c>
      <c r="I620" s="21">
        <v>17.2395</v>
      </c>
      <c r="J620" s="20">
        <v>16.416799999999999</v>
      </c>
      <c r="K620" s="20">
        <v>2.5183</v>
      </c>
    </row>
    <row r="621" spans="1:11" ht="15" customHeight="1" x14ac:dyDescent="0.25">
      <c r="A621" s="22" t="s">
        <v>534</v>
      </c>
      <c r="B621" s="23" t="s">
        <v>8</v>
      </c>
      <c r="C621" s="23" t="s">
        <v>9</v>
      </c>
      <c r="D621" s="24" t="s">
        <v>10</v>
      </c>
      <c r="E621" s="24" t="s">
        <v>37</v>
      </c>
      <c r="F621" s="18">
        <v>3.53</v>
      </c>
      <c r="G621" s="19">
        <v>1.6247</v>
      </c>
      <c r="H621" s="20"/>
      <c r="I621" s="21">
        <v>92.468000000000004</v>
      </c>
      <c r="J621" s="20">
        <v>38.321599999999997</v>
      </c>
      <c r="K621" s="20"/>
    </row>
    <row r="622" spans="1:11" ht="15" customHeight="1" x14ac:dyDescent="0.25">
      <c r="A622" s="22" t="s">
        <v>535</v>
      </c>
      <c r="B622" s="23" t="s">
        <v>8</v>
      </c>
      <c r="C622" s="23" t="s">
        <v>9</v>
      </c>
      <c r="D622" s="24" t="s">
        <v>30</v>
      </c>
      <c r="E622" s="24" t="s">
        <v>37</v>
      </c>
      <c r="F622" s="18">
        <v>0.42930000000000001</v>
      </c>
      <c r="G622" s="19">
        <v>0.67159999999999997</v>
      </c>
      <c r="H622" s="20"/>
      <c r="I622" s="21">
        <v>9.3439999999999994</v>
      </c>
      <c r="J622" s="20">
        <v>12.986599999999999</v>
      </c>
      <c r="K622" s="20"/>
    </row>
    <row r="623" spans="1:11" ht="15" customHeight="1" x14ac:dyDescent="0.25">
      <c r="A623" s="22" t="s">
        <v>536</v>
      </c>
      <c r="B623" s="23" t="s">
        <v>8</v>
      </c>
      <c r="C623" s="23" t="s">
        <v>9</v>
      </c>
      <c r="D623" s="24" t="s">
        <v>10</v>
      </c>
      <c r="E623" s="24" t="s">
        <v>37</v>
      </c>
      <c r="F623" s="18">
        <v>0.48170000000000002</v>
      </c>
      <c r="G623" s="19"/>
      <c r="H623" s="20"/>
      <c r="I623" s="21">
        <v>13.007199999999999</v>
      </c>
      <c r="J623" s="20"/>
      <c r="K623" s="20"/>
    </row>
    <row r="624" spans="1:11" ht="15" customHeight="1" x14ac:dyDescent="0.25">
      <c r="A624" s="22" t="s">
        <v>537</v>
      </c>
      <c r="B624" s="23" t="s">
        <v>8</v>
      </c>
      <c r="C624" s="23" t="s">
        <v>9</v>
      </c>
      <c r="D624" s="24" t="s">
        <v>10</v>
      </c>
      <c r="E624" s="24" t="s">
        <v>37</v>
      </c>
      <c r="F624" s="18"/>
      <c r="G624" s="19"/>
      <c r="H624" s="20">
        <v>8.9800000000000005E-2</v>
      </c>
      <c r="I624" s="21"/>
      <c r="J624" s="20"/>
      <c r="K624" s="20">
        <v>1.9842</v>
      </c>
    </row>
    <row r="625" spans="1:11" ht="15" customHeight="1" x14ac:dyDescent="0.25">
      <c r="A625" s="22" t="s">
        <v>538</v>
      </c>
      <c r="B625" s="23" t="s">
        <v>8</v>
      </c>
      <c r="C625" s="23" t="s">
        <v>9</v>
      </c>
      <c r="D625" s="24" t="s">
        <v>10</v>
      </c>
      <c r="E625" s="24" t="s">
        <v>37</v>
      </c>
      <c r="F625" s="18"/>
      <c r="G625" s="19"/>
      <c r="H625" s="20"/>
      <c r="I625" s="21"/>
      <c r="J625" s="20"/>
      <c r="K625" s="20"/>
    </row>
    <row r="626" spans="1:11" ht="15" customHeight="1" x14ac:dyDescent="0.25">
      <c r="A626" s="22" t="s">
        <v>539</v>
      </c>
      <c r="B626" s="23" t="s">
        <v>8</v>
      </c>
      <c r="C626" s="23" t="s">
        <v>9</v>
      </c>
      <c r="D626" s="24" t="s">
        <v>10</v>
      </c>
      <c r="E626" s="24" t="s">
        <v>37</v>
      </c>
      <c r="F626" s="18"/>
      <c r="G626" s="19"/>
      <c r="H626" s="20">
        <v>0.16889999999999999</v>
      </c>
      <c r="I626" s="21"/>
      <c r="J626" s="20"/>
      <c r="K626" s="20">
        <v>4.3247</v>
      </c>
    </row>
    <row r="627" spans="1:11" ht="15" customHeight="1" x14ac:dyDescent="0.25">
      <c r="A627" s="22" t="s">
        <v>540</v>
      </c>
      <c r="B627" s="23" t="s">
        <v>8</v>
      </c>
      <c r="C627" s="23" t="s">
        <v>9</v>
      </c>
      <c r="D627" s="24" t="s">
        <v>10</v>
      </c>
      <c r="E627" s="24" t="s">
        <v>37</v>
      </c>
      <c r="F627" s="18">
        <v>4.2949000000000002</v>
      </c>
      <c r="G627" s="19">
        <v>0.33839999999999998</v>
      </c>
      <c r="H627" s="20"/>
      <c r="I627" s="21">
        <v>87.926599999999993</v>
      </c>
      <c r="J627" s="20">
        <v>6.2496999999999998</v>
      </c>
      <c r="K627" s="20"/>
    </row>
    <row r="628" spans="1:11" ht="15" customHeight="1" x14ac:dyDescent="0.25">
      <c r="A628" s="22" t="s">
        <v>541</v>
      </c>
      <c r="B628" s="23" t="s">
        <v>8</v>
      </c>
      <c r="C628" s="23" t="s">
        <v>9</v>
      </c>
      <c r="D628" s="24" t="s">
        <v>10</v>
      </c>
      <c r="E628" s="24" t="s">
        <v>37</v>
      </c>
      <c r="F628" s="18">
        <v>13.5303</v>
      </c>
      <c r="G628" s="19">
        <v>2.3972000000000002</v>
      </c>
      <c r="H628" s="20">
        <v>0.73670000000000002</v>
      </c>
      <c r="I628" s="21">
        <v>272.4522</v>
      </c>
      <c r="J628" s="20">
        <v>43.2258</v>
      </c>
      <c r="K628" s="20">
        <v>13.669700000000001</v>
      </c>
    </row>
    <row r="629" spans="1:11" ht="15" customHeight="1" x14ac:dyDescent="0.25">
      <c r="A629" s="22" t="s">
        <v>542</v>
      </c>
      <c r="B629" s="23" t="s">
        <v>8</v>
      </c>
      <c r="C629" s="23" t="s">
        <v>9</v>
      </c>
      <c r="D629" s="24" t="s">
        <v>10</v>
      </c>
      <c r="E629" s="24" t="s">
        <v>37</v>
      </c>
      <c r="F629" s="18">
        <v>8.9724000000000004</v>
      </c>
      <c r="G629" s="19">
        <v>2.3250000000000002</v>
      </c>
      <c r="H629" s="20">
        <v>9.6000000000000002E-2</v>
      </c>
      <c r="I629" s="21">
        <v>202.00700000000001</v>
      </c>
      <c r="J629" s="20">
        <v>55.267699999999998</v>
      </c>
      <c r="K629" s="20">
        <v>2.0488</v>
      </c>
    </row>
    <row r="630" spans="1:11" ht="15" customHeight="1" x14ac:dyDescent="0.25">
      <c r="A630" s="22" t="s">
        <v>543</v>
      </c>
      <c r="B630" s="23" t="s">
        <v>8</v>
      </c>
      <c r="C630" s="23" t="s">
        <v>9</v>
      </c>
      <c r="D630" s="24" t="s">
        <v>10</v>
      </c>
      <c r="E630" s="24" t="s">
        <v>37</v>
      </c>
      <c r="F630" s="18">
        <v>0.24310000000000001</v>
      </c>
      <c r="G630" s="19">
        <v>0.1048</v>
      </c>
      <c r="H630" s="20"/>
      <c r="I630" s="21">
        <v>5.5039999999999996</v>
      </c>
      <c r="J630" s="20">
        <v>2.3589000000000002</v>
      </c>
      <c r="K630" s="20"/>
    </row>
    <row r="631" spans="1:11" ht="15" customHeight="1" x14ac:dyDescent="0.25">
      <c r="A631" s="22" t="s">
        <v>544</v>
      </c>
      <c r="B631" s="23" t="s">
        <v>8</v>
      </c>
      <c r="C631" s="23" t="s">
        <v>9</v>
      </c>
      <c r="D631" s="24" t="s">
        <v>10</v>
      </c>
      <c r="E631" s="24" t="s">
        <v>37</v>
      </c>
      <c r="F631" s="18"/>
      <c r="G631" s="19"/>
      <c r="H631" s="20"/>
      <c r="I631" s="21"/>
      <c r="J631" s="20"/>
      <c r="K631" s="20"/>
    </row>
    <row r="632" spans="1:11" ht="15" customHeight="1" x14ac:dyDescent="0.25">
      <c r="A632" s="22" t="s">
        <v>545</v>
      </c>
      <c r="B632" s="23" t="s">
        <v>8</v>
      </c>
      <c r="C632" s="23" t="s">
        <v>9</v>
      </c>
      <c r="D632" s="24" t="s">
        <v>10</v>
      </c>
      <c r="E632" s="24" t="s">
        <v>37</v>
      </c>
      <c r="F632" s="18"/>
      <c r="G632" s="19"/>
      <c r="H632" s="20"/>
      <c r="I632" s="21"/>
      <c r="J632" s="20"/>
      <c r="K632" s="20"/>
    </row>
    <row r="633" spans="1:11" ht="15" customHeight="1" x14ac:dyDescent="0.25">
      <c r="A633" s="22" t="s">
        <v>546</v>
      </c>
      <c r="B633" s="23" t="s">
        <v>8</v>
      </c>
      <c r="C633" s="23" t="s">
        <v>9</v>
      </c>
      <c r="D633" s="24" t="s">
        <v>30</v>
      </c>
      <c r="E633" s="24" t="s">
        <v>17</v>
      </c>
      <c r="F633" s="18">
        <v>299.24509999999998</v>
      </c>
      <c r="G633" s="19">
        <v>239.40260000000001</v>
      </c>
      <c r="H633" s="20">
        <v>70.132900000000006</v>
      </c>
      <c r="I633" s="21">
        <v>8505.4575000000004</v>
      </c>
      <c r="J633" s="20">
        <v>6543.0663999999997</v>
      </c>
      <c r="K633" s="20">
        <v>1626.3281999999999</v>
      </c>
    </row>
    <row r="634" spans="1:11" ht="15" customHeight="1" x14ac:dyDescent="0.25">
      <c r="A634" s="22" t="s">
        <v>547</v>
      </c>
      <c r="B634" s="23" t="s">
        <v>8</v>
      </c>
      <c r="C634" s="23" t="s">
        <v>9</v>
      </c>
      <c r="D634" s="24" t="s">
        <v>64</v>
      </c>
      <c r="E634" s="24" t="s">
        <v>17</v>
      </c>
      <c r="F634" s="18">
        <v>228.9504</v>
      </c>
      <c r="G634" s="19">
        <v>220.107</v>
      </c>
      <c r="H634" s="20">
        <v>99.616699999999994</v>
      </c>
      <c r="I634" s="21">
        <v>6068.1558999999997</v>
      </c>
      <c r="J634" s="20">
        <v>5788.4287000000004</v>
      </c>
      <c r="K634" s="20">
        <v>2377.8838000000001</v>
      </c>
    </row>
    <row r="635" spans="1:11" ht="15" customHeight="1" x14ac:dyDescent="0.25">
      <c r="A635" s="22" t="s">
        <v>548</v>
      </c>
      <c r="B635" s="23" t="s">
        <v>8</v>
      </c>
      <c r="C635" s="23" t="s">
        <v>9</v>
      </c>
      <c r="D635" s="24" t="s">
        <v>30</v>
      </c>
      <c r="E635" s="24" t="s">
        <v>549</v>
      </c>
      <c r="F635" s="18"/>
      <c r="G635" s="19"/>
      <c r="H635" s="20">
        <v>4.2099999999999999E-2</v>
      </c>
      <c r="I635" s="21"/>
      <c r="J635" s="20"/>
      <c r="K635" s="20">
        <v>0.45</v>
      </c>
    </row>
    <row r="636" spans="1:11" ht="15" customHeight="1" x14ac:dyDescent="0.25">
      <c r="A636" s="22" t="s">
        <v>550</v>
      </c>
      <c r="B636" s="23" t="s">
        <v>8</v>
      </c>
      <c r="C636" s="23" t="s">
        <v>9</v>
      </c>
      <c r="D636" s="24" t="s">
        <v>30</v>
      </c>
      <c r="E636" s="24" t="s">
        <v>549</v>
      </c>
      <c r="F636" s="18"/>
      <c r="G636" s="19"/>
      <c r="H636" s="20">
        <v>0.3543</v>
      </c>
      <c r="I636" s="21"/>
      <c r="J636" s="20"/>
      <c r="K636" s="20">
        <v>4.1279000000000003</v>
      </c>
    </row>
    <row r="637" spans="1:11" ht="15" customHeight="1" x14ac:dyDescent="0.25">
      <c r="A637" s="22" t="s">
        <v>551</v>
      </c>
      <c r="B637" s="23" t="s">
        <v>8</v>
      </c>
      <c r="C637" s="23" t="s">
        <v>9</v>
      </c>
      <c r="D637" s="24" t="s">
        <v>30</v>
      </c>
      <c r="E637" s="24" t="s">
        <v>549</v>
      </c>
      <c r="F637" s="18">
        <v>9.0039999999999996</v>
      </c>
      <c r="G637" s="19">
        <v>27.005199999999999</v>
      </c>
      <c r="H637" s="20">
        <v>7.3737000000000004</v>
      </c>
      <c r="I637" s="21">
        <v>168.55369999999999</v>
      </c>
      <c r="J637" s="20">
        <v>470.04379999999998</v>
      </c>
      <c r="K637" s="20">
        <v>117.492</v>
      </c>
    </row>
    <row r="638" spans="1:11" ht="15" customHeight="1" x14ac:dyDescent="0.25">
      <c r="A638" s="22" t="s">
        <v>552</v>
      </c>
      <c r="B638" s="23" t="s">
        <v>8</v>
      </c>
      <c r="C638" s="23" t="s">
        <v>9</v>
      </c>
      <c r="D638" s="24" t="s">
        <v>30</v>
      </c>
      <c r="E638" s="24" t="s">
        <v>549</v>
      </c>
      <c r="F638" s="18">
        <v>9.5648</v>
      </c>
      <c r="G638" s="19">
        <v>36.633899999999997</v>
      </c>
      <c r="H638" s="20">
        <v>14.959</v>
      </c>
      <c r="I638" s="21">
        <v>136.73179999999999</v>
      </c>
      <c r="J638" s="20">
        <v>512.46489999999994</v>
      </c>
      <c r="K638" s="20">
        <v>178.05029999999999</v>
      </c>
    </row>
    <row r="639" spans="1:11" ht="15" customHeight="1" x14ac:dyDescent="0.25">
      <c r="A639" s="22" t="s">
        <v>553</v>
      </c>
      <c r="B639" s="23" t="s">
        <v>8</v>
      </c>
      <c r="C639" s="23" t="s">
        <v>9</v>
      </c>
      <c r="D639" s="24" t="s">
        <v>10</v>
      </c>
      <c r="E639" s="24" t="s">
        <v>42</v>
      </c>
      <c r="F639" s="18">
        <v>0.18679999999999999</v>
      </c>
      <c r="G639" s="19"/>
      <c r="H639" s="20"/>
      <c r="I639" s="21">
        <v>4.4957000000000003</v>
      </c>
      <c r="J639" s="20"/>
      <c r="K639" s="20"/>
    </row>
    <row r="640" spans="1:11" ht="15" customHeight="1" x14ac:dyDescent="0.25">
      <c r="A640" s="22" t="s">
        <v>554</v>
      </c>
      <c r="B640" s="23" t="s">
        <v>8</v>
      </c>
      <c r="C640" s="23" t="s">
        <v>555</v>
      </c>
      <c r="D640" s="24" t="s">
        <v>64</v>
      </c>
      <c r="E640" s="24" t="s">
        <v>34</v>
      </c>
      <c r="F640" s="18">
        <v>0.2319</v>
      </c>
      <c r="G640" s="19"/>
      <c r="H640" s="20"/>
      <c r="I640" s="21">
        <v>3.4005999999999998</v>
      </c>
      <c r="J640" s="20"/>
      <c r="K640" s="20"/>
    </row>
    <row r="641" spans="1:11" ht="15" customHeight="1" x14ac:dyDescent="0.25">
      <c r="A641" s="14" t="s">
        <v>556</v>
      </c>
      <c r="B641" s="15" t="s">
        <v>6</v>
      </c>
      <c r="C641" s="16"/>
      <c r="D641" s="17"/>
      <c r="E641" s="17"/>
      <c r="F641" s="18">
        <v>0.373</v>
      </c>
      <c r="G641" s="19">
        <v>1.12E-2</v>
      </c>
      <c r="H641" s="20"/>
      <c r="I641" s="21">
        <v>7.2888000000000002</v>
      </c>
      <c r="J641" s="20">
        <v>0.2389</v>
      </c>
      <c r="K641" s="20"/>
    </row>
    <row r="642" spans="1:11" ht="15" customHeight="1" x14ac:dyDescent="0.25">
      <c r="A642" s="22" t="s">
        <v>557</v>
      </c>
      <c r="B642" s="23" t="s">
        <v>8</v>
      </c>
      <c r="C642" s="23" t="s">
        <v>9</v>
      </c>
      <c r="D642" s="24" t="s">
        <v>64</v>
      </c>
      <c r="E642" s="24" t="s">
        <v>34</v>
      </c>
      <c r="F642" s="18">
        <v>0.2671</v>
      </c>
      <c r="G642" s="19"/>
      <c r="H642" s="20"/>
      <c r="I642" s="21">
        <v>5.0296000000000003</v>
      </c>
      <c r="J642" s="20"/>
      <c r="K642" s="20"/>
    </row>
    <row r="643" spans="1:11" ht="15" customHeight="1" x14ac:dyDescent="0.25">
      <c r="A643" s="22" t="s">
        <v>825</v>
      </c>
      <c r="B643" s="23" t="s">
        <v>8</v>
      </c>
      <c r="C643" s="23" t="s">
        <v>9</v>
      </c>
      <c r="D643" s="24" t="s">
        <v>10</v>
      </c>
      <c r="E643" s="24" t="s">
        <v>37</v>
      </c>
      <c r="F643" s="18">
        <v>0.10589999999999999</v>
      </c>
      <c r="G643" s="19">
        <v>1.12E-2</v>
      </c>
      <c r="H643" s="20"/>
      <c r="I643" s="21">
        <v>2.2591999999999999</v>
      </c>
      <c r="J643" s="20">
        <v>0.2389</v>
      </c>
      <c r="K643" s="20"/>
    </row>
    <row r="644" spans="1:11" ht="14.25" customHeight="1" x14ac:dyDescent="0.25">
      <c r="A644" s="25" t="s">
        <v>792</v>
      </c>
      <c r="B644" s="4" t="s">
        <v>5</v>
      </c>
      <c r="C644" s="4"/>
      <c r="D644" s="5"/>
      <c r="E644" s="5"/>
      <c r="F644" s="10">
        <v>12.300599999999999</v>
      </c>
      <c r="G644" s="11">
        <v>12.544</v>
      </c>
      <c r="H644" s="12">
        <v>8.6647999999999996</v>
      </c>
      <c r="I644" s="13">
        <v>127.5915</v>
      </c>
      <c r="J644" s="12">
        <v>142.6704</v>
      </c>
      <c r="K644" s="12">
        <v>110.39149999999999</v>
      </c>
    </row>
    <row r="645" spans="1:11" ht="15" customHeight="1" x14ac:dyDescent="0.25">
      <c r="A645" s="14" t="s">
        <v>558</v>
      </c>
      <c r="B645" s="15" t="s">
        <v>6</v>
      </c>
      <c r="C645" s="16"/>
      <c r="D645" s="17"/>
      <c r="E645" s="17"/>
      <c r="F645" s="18">
        <v>12.300599999999999</v>
      </c>
      <c r="G645" s="19">
        <v>12.544</v>
      </c>
      <c r="H645" s="20">
        <v>8.6647999999999996</v>
      </c>
      <c r="I645" s="21">
        <v>127.5915</v>
      </c>
      <c r="J645" s="20">
        <v>142.6704</v>
      </c>
      <c r="K645" s="20">
        <v>110.39149999999999</v>
      </c>
    </row>
    <row r="646" spans="1:11" ht="15" customHeight="1" x14ac:dyDescent="0.25">
      <c r="A646" s="22" t="s">
        <v>559</v>
      </c>
      <c r="B646" s="23" t="s">
        <v>8</v>
      </c>
      <c r="C646" s="23" t="s">
        <v>9</v>
      </c>
      <c r="D646" s="24" t="s">
        <v>249</v>
      </c>
      <c r="E646" s="24" t="s">
        <v>103</v>
      </c>
      <c r="F646" s="18">
        <v>2.1598999999999999</v>
      </c>
      <c r="G646" s="19">
        <v>5.1025</v>
      </c>
      <c r="H646" s="20">
        <v>6.3079000000000001</v>
      </c>
      <c r="I646" s="21">
        <v>36.4</v>
      </c>
      <c r="J646" s="20">
        <v>77.862799999999993</v>
      </c>
      <c r="K646" s="20">
        <v>91.042100000000005</v>
      </c>
    </row>
    <row r="647" spans="1:11" ht="15" customHeight="1" x14ac:dyDescent="0.25">
      <c r="A647" s="22" t="s">
        <v>560</v>
      </c>
      <c r="B647" s="23" t="s">
        <v>8</v>
      </c>
      <c r="C647" s="23" t="s">
        <v>9</v>
      </c>
      <c r="D647" s="24" t="s">
        <v>249</v>
      </c>
      <c r="E647" s="24" t="s">
        <v>103</v>
      </c>
      <c r="F647" s="18">
        <v>10.1408</v>
      </c>
      <c r="G647" s="19">
        <v>7.4416000000000002</v>
      </c>
      <c r="H647" s="20">
        <v>2.3571</v>
      </c>
      <c r="I647" s="21">
        <v>91.191500000000005</v>
      </c>
      <c r="J647" s="20">
        <v>64.807599999999994</v>
      </c>
      <c r="K647" s="20">
        <v>19.349299999999999</v>
      </c>
    </row>
    <row r="648" spans="1:11" ht="14.25" customHeight="1" x14ac:dyDescent="0.25">
      <c r="A648" s="25" t="s">
        <v>793</v>
      </c>
      <c r="B648" s="4" t="s">
        <v>5</v>
      </c>
      <c r="C648" s="4"/>
      <c r="D648" s="5"/>
      <c r="E648" s="5"/>
      <c r="F648" s="10"/>
      <c r="G648" s="11"/>
      <c r="H648" s="12"/>
      <c r="I648" s="13"/>
      <c r="J648" s="12"/>
      <c r="K648" s="12"/>
    </row>
    <row r="649" spans="1:11" ht="15" customHeight="1" x14ac:dyDescent="0.25">
      <c r="A649" s="14" t="s">
        <v>561</v>
      </c>
      <c r="B649" s="15" t="s">
        <v>6</v>
      </c>
      <c r="C649" s="16"/>
      <c r="D649" s="17"/>
      <c r="E649" s="17"/>
      <c r="F649" s="18"/>
      <c r="G649" s="19"/>
      <c r="H649" s="20"/>
      <c r="I649" s="21"/>
      <c r="J649" s="20"/>
      <c r="K649" s="20"/>
    </row>
    <row r="650" spans="1:11" ht="15" customHeight="1" x14ac:dyDescent="0.25">
      <c r="A650" s="22" t="s">
        <v>562</v>
      </c>
      <c r="B650" s="23" t="s">
        <v>8</v>
      </c>
      <c r="C650" s="23" t="s">
        <v>9</v>
      </c>
      <c r="D650" s="24" t="s">
        <v>20</v>
      </c>
      <c r="E650" s="24" t="s">
        <v>42</v>
      </c>
      <c r="F650" s="18"/>
      <c r="G650" s="19"/>
      <c r="H650" s="20"/>
      <c r="I650" s="21"/>
      <c r="J650" s="20"/>
      <c r="K650" s="20"/>
    </row>
    <row r="651" spans="1:11" ht="14.25" customHeight="1" x14ac:dyDescent="0.25">
      <c r="A651" s="25" t="s">
        <v>794</v>
      </c>
      <c r="B651" s="4" t="s">
        <v>5</v>
      </c>
      <c r="C651" s="4"/>
      <c r="D651" s="5"/>
      <c r="E651" s="5"/>
      <c r="F651" s="10">
        <v>78.612799999999993</v>
      </c>
      <c r="G651" s="11">
        <v>83.733099999999993</v>
      </c>
      <c r="H651" s="12">
        <v>33.060899999999997</v>
      </c>
      <c r="I651" s="13">
        <v>5148.8362999999999</v>
      </c>
      <c r="J651" s="12">
        <v>5284.2040999999999</v>
      </c>
      <c r="K651" s="12">
        <v>2040.6587</v>
      </c>
    </row>
    <row r="652" spans="1:11" ht="15" customHeight="1" x14ac:dyDescent="0.25">
      <c r="A652" s="14" t="s">
        <v>563</v>
      </c>
      <c r="B652" s="15" t="s">
        <v>6</v>
      </c>
      <c r="C652" s="16"/>
      <c r="D652" s="17"/>
      <c r="E652" s="17"/>
      <c r="F652" s="18">
        <v>12.684200000000001</v>
      </c>
      <c r="G652" s="19"/>
      <c r="H652" s="20"/>
      <c r="I652" s="21">
        <v>511.87400000000002</v>
      </c>
      <c r="J652" s="20"/>
      <c r="K652" s="20"/>
    </row>
    <row r="653" spans="1:11" ht="15" customHeight="1" x14ac:dyDescent="0.25">
      <c r="A653" s="22" t="s">
        <v>564</v>
      </c>
      <c r="B653" s="23" t="s">
        <v>8</v>
      </c>
      <c r="C653" s="23" t="s">
        <v>9</v>
      </c>
      <c r="D653" s="24" t="s">
        <v>20</v>
      </c>
      <c r="E653" s="24" t="s">
        <v>17</v>
      </c>
      <c r="F653" s="18">
        <v>2.9045000000000001</v>
      </c>
      <c r="G653" s="19"/>
      <c r="H653" s="20"/>
      <c r="I653" s="21">
        <v>116.9823</v>
      </c>
      <c r="J653" s="20"/>
      <c r="K653" s="20"/>
    </row>
    <row r="654" spans="1:11" ht="15" customHeight="1" x14ac:dyDescent="0.25">
      <c r="A654" s="22" t="s">
        <v>565</v>
      </c>
      <c r="B654" s="23" t="s">
        <v>8</v>
      </c>
      <c r="C654" s="23" t="s">
        <v>9</v>
      </c>
      <c r="D654" s="24" t="s">
        <v>10</v>
      </c>
      <c r="E654" s="24" t="s">
        <v>17</v>
      </c>
      <c r="F654" s="18">
        <v>2.9113000000000002</v>
      </c>
      <c r="G654" s="19"/>
      <c r="H654" s="20"/>
      <c r="I654" s="21">
        <v>119.83880000000001</v>
      </c>
      <c r="J654" s="20"/>
      <c r="K654" s="20"/>
    </row>
    <row r="655" spans="1:11" ht="15" customHeight="1" x14ac:dyDescent="0.25">
      <c r="A655" s="22" t="s">
        <v>566</v>
      </c>
      <c r="B655" s="23" t="s">
        <v>8</v>
      </c>
      <c r="C655" s="23" t="s">
        <v>9</v>
      </c>
      <c r="D655" s="24" t="s">
        <v>10</v>
      </c>
      <c r="E655" s="24" t="s">
        <v>17</v>
      </c>
      <c r="F655" s="18">
        <v>4.2324000000000002</v>
      </c>
      <c r="G655" s="19"/>
      <c r="H655" s="20"/>
      <c r="I655" s="21">
        <v>171.05330000000001</v>
      </c>
      <c r="J655" s="20"/>
      <c r="K655" s="20"/>
    </row>
    <row r="656" spans="1:11" ht="15" customHeight="1" x14ac:dyDescent="0.25">
      <c r="A656" s="22" t="s">
        <v>567</v>
      </c>
      <c r="B656" s="23" t="s">
        <v>8</v>
      </c>
      <c r="C656" s="23" t="s">
        <v>9</v>
      </c>
      <c r="D656" s="24" t="s">
        <v>20</v>
      </c>
      <c r="E656" s="24" t="s">
        <v>17</v>
      </c>
      <c r="F656" s="18">
        <v>2.6360000000000001</v>
      </c>
      <c r="G656" s="19"/>
      <c r="H656" s="20"/>
      <c r="I656" s="21">
        <v>103.9999</v>
      </c>
      <c r="J656" s="20"/>
      <c r="K656" s="20"/>
    </row>
    <row r="657" spans="1:11" ht="15" customHeight="1" x14ac:dyDescent="0.25">
      <c r="A657" s="14" t="s">
        <v>568</v>
      </c>
      <c r="B657" s="15" t="s">
        <v>6</v>
      </c>
      <c r="C657" s="16"/>
      <c r="D657" s="17"/>
      <c r="E657" s="17"/>
      <c r="F657" s="18">
        <v>65.928700000000006</v>
      </c>
      <c r="G657" s="19">
        <v>83.733099999999993</v>
      </c>
      <c r="H657" s="20">
        <v>33.060899999999997</v>
      </c>
      <c r="I657" s="21">
        <v>4636.9623000000001</v>
      </c>
      <c r="J657" s="20">
        <v>5284.2040999999999</v>
      </c>
      <c r="K657" s="20">
        <v>2040.6587</v>
      </c>
    </row>
    <row r="658" spans="1:11" ht="15" customHeight="1" x14ac:dyDescent="0.25">
      <c r="A658" s="22" t="s">
        <v>569</v>
      </c>
      <c r="B658" s="23" t="s">
        <v>8</v>
      </c>
      <c r="C658" s="23" t="s">
        <v>9</v>
      </c>
      <c r="D658" s="24" t="s">
        <v>20</v>
      </c>
      <c r="E658" s="24" t="s">
        <v>570</v>
      </c>
      <c r="F658" s="18">
        <v>59.2014</v>
      </c>
      <c r="G658" s="19">
        <v>82.022099999999995</v>
      </c>
      <c r="H658" s="20">
        <v>31.495899999999999</v>
      </c>
      <c r="I658" s="21">
        <v>4163.6220999999996</v>
      </c>
      <c r="J658" s="20">
        <v>5172.0583999999999</v>
      </c>
      <c r="K658" s="20">
        <v>1931.7985000000001</v>
      </c>
    </row>
    <row r="659" spans="1:11" ht="15" customHeight="1" x14ac:dyDescent="0.25">
      <c r="A659" s="22" t="s">
        <v>571</v>
      </c>
      <c r="B659" s="23" t="s">
        <v>8</v>
      </c>
      <c r="C659" s="23" t="s">
        <v>9</v>
      </c>
      <c r="D659" s="24" t="s">
        <v>20</v>
      </c>
      <c r="E659" s="24" t="s">
        <v>570</v>
      </c>
      <c r="F659" s="18">
        <v>6.7272999999999996</v>
      </c>
      <c r="G659" s="19">
        <v>1.7110000000000001</v>
      </c>
      <c r="H659" s="20">
        <v>1.5649999999999999</v>
      </c>
      <c r="I659" s="21">
        <v>473.34</v>
      </c>
      <c r="J659" s="20">
        <v>112.14570000000001</v>
      </c>
      <c r="K659" s="20">
        <v>108.86020000000001</v>
      </c>
    </row>
    <row r="660" spans="1:11" ht="14.25" customHeight="1" x14ac:dyDescent="0.25">
      <c r="A660" s="25" t="s">
        <v>795</v>
      </c>
      <c r="B660" s="4" t="s">
        <v>5</v>
      </c>
      <c r="C660" s="4"/>
      <c r="D660" s="5"/>
      <c r="E660" s="5"/>
      <c r="F660" s="10">
        <v>65.863699999999994</v>
      </c>
      <c r="G660" s="11">
        <v>45.340600000000002</v>
      </c>
      <c r="H660" s="12">
        <v>13.16</v>
      </c>
      <c r="I660" s="13">
        <v>4126.7388000000001</v>
      </c>
      <c r="J660" s="12">
        <v>2357.3103999999998</v>
      </c>
      <c r="K660" s="12">
        <v>741.50080000000003</v>
      </c>
    </row>
    <row r="661" spans="1:11" ht="15" customHeight="1" x14ac:dyDescent="0.25">
      <c r="A661" s="14" t="s">
        <v>572</v>
      </c>
      <c r="B661" s="15" t="s">
        <v>6</v>
      </c>
      <c r="C661" s="16"/>
      <c r="D661" s="17"/>
      <c r="E661" s="17"/>
      <c r="F661" s="18">
        <v>64.446200000000005</v>
      </c>
      <c r="G661" s="19">
        <v>43.039900000000003</v>
      </c>
      <c r="H661" s="20">
        <v>13.16</v>
      </c>
      <c r="I661" s="21">
        <v>4048.3544000000002</v>
      </c>
      <c r="J661" s="20">
        <v>2244.0173</v>
      </c>
      <c r="K661" s="20">
        <v>741.50080000000003</v>
      </c>
    </row>
    <row r="662" spans="1:11" ht="15" customHeight="1" x14ac:dyDescent="0.25">
      <c r="A662" s="22" t="s">
        <v>573</v>
      </c>
      <c r="B662" s="23" t="s">
        <v>8</v>
      </c>
      <c r="C662" s="23" t="s">
        <v>9</v>
      </c>
      <c r="D662" s="24" t="s">
        <v>64</v>
      </c>
      <c r="E662" s="24" t="s">
        <v>24</v>
      </c>
      <c r="F662" s="18">
        <v>53.944000000000003</v>
      </c>
      <c r="G662" s="19">
        <v>41.741</v>
      </c>
      <c r="H662" s="20">
        <v>12.7791</v>
      </c>
      <c r="I662" s="21">
        <v>3422.2186000000002</v>
      </c>
      <c r="J662" s="20">
        <v>2176.2671999999998</v>
      </c>
      <c r="K662" s="20">
        <v>723.71550000000002</v>
      </c>
    </row>
    <row r="663" spans="1:11" ht="15" customHeight="1" x14ac:dyDescent="0.25">
      <c r="A663" s="22" t="s">
        <v>574</v>
      </c>
      <c r="B663" s="23" t="s">
        <v>8</v>
      </c>
      <c r="C663" s="23" t="s">
        <v>9</v>
      </c>
      <c r="D663" s="24" t="s">
        <v>64</v>
      </c>
      <c r="E663" s="24" t="s">
        <v>42</v>
      </c>
      <c r="F663" s="18">
        <v>10.5024</v>
      </c>
      <c r="G663" s="19">
        <v>1.2988</v>
      </c>
      <c r="H663" s="20">
        <v>0.38090000000000002</v>
      </c>
      <c r="I663" s="21">
        <v>626.13580000000002</v>
      </c>
      <c r="J663" s="20">
        <v>67.750100000000003</v>
      </c>
      <c r="K663" s="20">
        <v>17.785299999999999</v>
      </c>
    </row>
    <row r="664" spans="1:11" ht="15" customHeight="1" x14ac:dyDescent="0.25">
      <c r="A664" s="14" t="s">
        <v>575</v>
      </c>
      <c r="B664" s="15" t="s">
        <v>6</v>
      </c>
      <c r="C664" s="16"/>
      <c r="D664" s="17"/>
      <c r="E664" s="17"/>
      <c r="F664" s="18">
        <v>1.4174</v>
      </c>
      <c r="G664" s="19">
        <v>2.3006000000000002</v>
      </c>
      <c r="H664" s="20"/>
      <c r="I664" s="21">
        <v>78.384500000000003</v>
      </c>
      <c r="J664" s="20">
        <v>113.29300000000001</v>
      </c>
      <c r="K664" s="20"/>
    </row>
    <row r="665" spans="1:11" ht="15" customHeight="1" x14ac:dyDescent="0.25">
      <c r="A665" s="22" t="s">
        <v>576</v>
      </c>
      <c r="B665" s="23" t="s">
        <v>8</v>
      </c>
      <c r="C665" s="23" t="s">
        <v>9</v>
      </c>
      <c r="D665" s="24" t="s">
        <v>20</v>
      </c>
      <c r="E665" s="24" t="s">
        <v>84</v>
      </c>
      <c r="F665" s="18">
        <v>1.4174</v>
      </c>
      <c r="G665" s="19">
        <v>2.3006000000000002</v>
      </c>
      <c r="H665" s="20"/>
      <c r="I665" s="21">
        <v>78.384500000000003</v>
      </c>
      <c r="J665" s="20">
        <v>113.29300000000001</v>
      </c>
      <c r="K665" s="20"/>
    </row>
    <row r="666" spans="1:11" ht="14.25" customHeight="1" x14ac:dyDescent="0.25">
      <c r="A666" s="25" t="s">
        <v>796</v>
      </c>
      <c r="B666" s="4" t="s">
        <v>5</v>
      </c>
      <c r="C666" s="4"/>
      <c r="D666" s="5"/>
      <c r="E666" s="5"/>
      <c r="F666" s="10">
        <v>2.9096000000000002</v>
      </c>
      <c r="G666" s="11">
        <v>6.0198</v>
      </c>
      <c r="H666" s="12">
        <v>5.5109000000000004</v>
      </c>
      <c r="I666" s="13">
        <v>55.366500000000002</v>
      </c>
      <c r="J666" s="12">
        <v>108.4705</v>
      </c>
      <c r="K666" s="12">
        <v>98.710099999999997</v>
      </c>
    </row>
    <row r="667" spans="1:11" ht="15" customHeight="1" x14ac:dyDescent="0.25">
      <c r="A667" s="14" t="s">
        <v>577</v>
      </c>
      <c r="B667" s="15" t="s">
        <v>6</v>
      </c>
      <c r="C667" s="16"/>
      <c r="D667" s="17"/>
      <c r="E667" s="17"/>
      <c r="F667" s="18">
        <v>2.9096000000000002</v>
      </c>
      <c r="G667" s="19">
        <v>6.0198</v>
      </c>
      <c r="H667" s="20">
        <v>5.5109000000000004</v>
      </c>
      <c r="I667" s="21">
        <v>55.366500000000002</v>
      </c>
      <c r="J667" s="20">
        <v>108.4705</v>
      </c>
      <c r="K667" s="20">
        <v>98.710099999999997</v>
      </c>
    </row>
    <row r="668" spans="1:11" ht="15" customHeight="1" x14ac:dyDescent="0.25">
      <c r="A668" s="22" t="s">
        <v>578</v>
      </c>
      <c r="B668" s="23" t="s">
        <v>8</v>
      </c>
      <c r="C668" s="23" t="s">
        <v>9</v>
      </c>
      <c r="D668" s="24" t="s">
        <v>69</v>
      </c>
      <c r="E668" s="24" t="s">
        <v>42</v>
      </c>
      <c r="F668" s="18">
        <v>2.9096000000000002</v>
      </c>
      <c r="G668" s="19">
        <v>6.0198</v>
      </c>
      <c r="H668" s="20">
        <v>5.5109000000000004</v>
      </c>
      <c r="I668" s="21">
        <v>55.366500000000002</v>
      </c>
      <c r="J668" s="20">
        <v>108.4705</v>
      </c>
      <c r="K668" s="20">
        <v>98.710099999999997</v>
      </c>
    </row>
    <row r="669" spans="1:11" ht="14.25" customHeight="1" x14ac:dyDescent="0.25">
      <c r="A669" s="25" t="s">
        <v>797</v>
      </c>
      <c r="B669" s="4" t="s">
        <v>5</v>
      </c>
      <c r="C669" s="4"/>
      <c r="D669" s="5"/>
      <c r="E669" s="5"/>
      <c r="F669" s="10"/>
      <c r="G669" s="11"/>
      <c r="H669" s="12">
        <v>9.1999999999999998E-3</v>
      </c>
      <c r="I669" s="13"/>
      <c r="J669" s="12"/>
      <c r="K669" s="12">
        <v>0.30320000000000003</v>
      </c>
    </row>
    <row r="670" spans="1:11" ht="15" customHeight="1" x14ac:dyDescent="0.25">
      <c r="A670" s="14" t="s">
        <v>579</v>
      </c>
      <c r="B670" s="15" t="s">
        <v>6</v>
      </c>
      <c r="C670" s="16"/>
      <c r="D670" s="17"/>
      <c r="E670" s="17"/>
      <c r="F670" s="18"/>
      <c r="G670" s="19"/>
      <c r="H670" s="20">
        <v>9.1999999999999998E-3</v>
      </c>
      <c r="I670" s="21"/>
      <c r="J670" s="20"/>
      <c r="K670" s="20">
        <v>0.30320000000000003</v>
      </c>
    </row>
    <row r="671" spans="1:11" ht="15" customHeight="1" x14ac:dyDescent="0.25">
      <c r="A671" s="22" t="s">
        <v>580</v>
      </c>
      <c r="B671" s="23" t="s">
        <v>8</v>
      </c>
      <c r="C671" s="23" t="s">
        <v>9</v>
      </c>
      <c r="D671" s="24" t="s">
        <v>20</v>
      </c>
      <c r="E671" s="24" t="s">
        <v>42</v>
      </c>
      <c r="F671" s="18"/>
      <c r="G671" s="19"/>
      <c r="H671" s="20">
        <v>9.1999999999999998E-3</v>
      </c>
      <c r="I671" s="21"/>
      <c r="J671" s="20"/>
      <c r="K671" s="20">
        <v>0.30320000000000003</v>
      </c>
    </row>
    <row r="672" spans="1:11" ht="14.25" customHeight="1" x14ac:dyDescent="0.25">
      <c r="A672" s="25" t="s">
        <v>798</v>
      </c>
      <c r="B672" s="4" t="s">
        <v>5</v>
      </c>
      <c r="C672" s="4"/>
      <c r="D672" s="5"/>
      <c r="E672" s="5"/>
      <c r="F672" s="10"/>
      <c r="G672" s="11"/>
      <c r="H672" s="12"/>
      <c r="I672" s="13"/>
      <c r="J672" s="12"/>
      <c r="K672" s="12"/>
    </row>
    <row r="673" spans="1:11" ht="15" customHeight="1" x14ac:dyDescent="0.25">
      <c r="A673" s="14" t="s">
        <v>581</v>
      </c>
      <c r="B673" s="15" t="s">
        <v>6</v>
      </c>
      <c r="C673" s="16"/>
      <c r="D673" s="17"/>
      <c r="E673" s="17"/>
      <c r="F673" s="18"/>
      <c r="G673" s="19"/>
      <c r="H673" s="20"/>
      <c r="I673" s="21"/>
      <c r="J673" s="20"/>
      <c r="K673" s="20"/>
    </row>
    <row r="674" spans="1:11" ht="15" customHeight="1" x14ac:dyDescent="0.25">
      <c r="A674" s="22" t="s">
        <v>582</v>
      </c>
      <c r="B674" s="23" t="s">
        <v>8</v>
      </c>
      <c r="C674" s="23" t="s">
        <v>9</v>
      </c>
      <c r="D674" s="24" t="s">
        <v>20</v>
      </c>
      <c r="E674" s="24" t="s">
        <v>42</v>
      </c>
      <c r="F674" s="18"/>
      <c r="G674" s="19"/>
      <c r="H674" s="20"/>
      <c r="I674" s="21"/>
      <c r="J674" s="20"/>
      <c r="K674" s="20"/>
    </row>
    <row r="675" spans="1:11" ht="14.25" customHeight="1" x14ac:dyDescent="0.25">
      <c r="A675" s="25" t="s">
        <v>799</v>
      </c>
      <c r="B675" s="4" t="s">
        <v>5</v>
      </c>
      <c r="C675" s="4"/>
      <c r="D675" s="5"/>
      <c r="E675" s="5"/>
      <c r="F675" s="10">
        <v>60.899500000000003</v>
      </c>
      <c r="G675" s="11">
        <v>35.979399999999998</v>
      </c>
      <c r="H675" s="12">
        <v>13.2829</v>
      </c>
      <c r="I675" s="13">
        <v>1646.9927</v>
      </c>
      <c r="J675" s="12">
        <v>1006.4904</v>
      </c>
      <c r="K675" s="12">
        <v>408.45429999999999</v>
      </c>
    </row>
    <row r="676" spans="1:11" ht="15" customHeight="1" x14ac:dyDescent="0.25">
      <c r="A676" s="14" t="s">
        <v>583</v>
      </c>
      <c r="B676" s="15" t="s">
        <v>6</v>
      </c>
      <c r="C676" s="16"/>
      <c r="D676" s="17"/>
      <c r="E676" s="17"/>
      <c r="F676" s="18">
        <v>1.7324999999999999</v>
      </c>
      <c r="G676" s="19">
        <v>2.7699999999999999E-2</v>
      </c>
      <c r="H676" s="20"/>
      <c r="I676" s="21">
        <v>34.565800000000003</v>
      </c>
      <c r="J676" s="20">
        <v>0.64290000000000003</v>
      </c>
      <c r="K676" s="20"/>
    </row>
    <row r="677" spans="1:11" ht="15" customHeight="1" x14ac:dyDescent="0.25">
      <c r="A677" s="22" t="s">
        <v>584</v>
      </c>
      <c r="B677" s="23" t="s">
        <v>8</v>
      </c>
      <c r="C677" s="23" t="s">
        <v>9</v>
      </c>
      <c r="D677" s="24" t="s">
        <v>20</v>
      </c>
      <c r="E677" s="24" t="s">
        <v>99</v>
      </c>
      <c r="F677" s="18">
        <v>0.35610000000000003</v>
      </c>
      <c r="G677" s="19"/>
      <c r="H677" s="20"/>
      <c r="I677" s="21">
        <v>5.6227</v>
      </c>
      <c r="J677" s="20"/>
      <c r="K677" s="20"/>
    </row>
    <row r="678" spans="1:11" ht="15" customHeight="1" x14ac:dyDescent="0.25">
      <c r="A678" s="22" t="s">
        <v>585</v>
      </c>
      <c r="B678" s="23" t="s">
        <v>8</v>
      </c>
      <c r="C678" s="23" t="s">
        <v>9</v>
      </c>
      <c r="D678" s="24" t="s">
        <v>10</v>
      </c>
      <c r="E678" s="24" t="s">
        <v>42</v>
      </c>
      <c r="F678" s="18">
        <v>1.3764000000000001</v>
      </c>
      <c r="G678" s="19">
        <v>2.7699999999999999E-2</v>
      </c>
      <c r="H678" s="20"/>
      <c r="I678" s="21">
        <v>28.943100000000001</v>
      </c>
      <c r="J678" s="20">
        <v>0.64290000000000003</v>
      </c>
      <c r="K678" s="20"/>
    </row>
    <row r="679" spans="1:11" ht="15" customHeight="1" x14ac:dyDescent="0.25">
      <c r="A679" s="14" t="s">
        <v>586</v>
      </c>
      <c r="B679" s="15" t="s">
        <v>6</v>
      </c>
      <c r="C679" s="16"/>
      <c r="D679" s="17"/>
      <c r="E679" s="17"/>
      <c r="F679" s="18">
        <v>38.935099999999998</v>
      </c>
      <c r="G679" s="19">
        <v>24.638200000000001</v>
      </c>
      <c r="H679" s="20">
        <v>13.2829</v>
      </c>
      <c r="I679" s="21">
        <v>1028.7485999999999</v>
      </c>
      <c r="J679" s="20">
        <v>660.65030000000002</v>
      </c>
      <c r="K679" s="20">
        <v>408.45429999999999</v>
      </c>
    </row>
    <row r="680" spans="1:11" ht="15" customHeight="1" x14ac:dyDescent="0.25">
      <c r="A680" s="22" t="s">
        <v>587</v>
      </c>
      <c r="B680" s="23" t="s">
        <v>8</v>
      </c>
      <c r="C680" s="23" t="s">
        <v>9</v>
      </c>
      <c r="D680" s="24" t="s">
        <v>30</v>
      </c>
      <c r="E680" s="24" t="s">
        <v>118</v>
      </c>
      <c r="F680" s="18">
        <v>6.7664999999999997</v>
      </c>
      <c r="G680" s="19">
        <v>0.54779999999999995</v>
      </c>
      <c r="H680" s="20"/>
      <c r="I680" s="21">
        <v>162.6651</v>
      </c>
      <c r="J680" s="20">
        <v>12.7288</v>
      </c>
      <c r="K680" s="20"/>
    </row>
    <row r="681" spans="1:11" ht="15" customHeight="1" x14ac:dyDescent="0.25">
      <c r="A681" s="22" t="s">
        <v>588</v>
      </c>
      <c r="B681" s="23" t="s">
        <v>8</v>
      </c>
      <c r="C681" s="23" t="s">
        <v>9</v>
      </c>
      <c r="D681" s="24" t="s">
        <v>30</v>
      </c>
      <c r="E681" s="24" t="s">
        <v>99</v>
      </c>
      <c r="F681" s="18">
        <v>14.513400000000001</v>
      </c>
      <c r="G681" s="19">
        <v>11.551399999999999</v>
      </c>
      <c r="H681" s="20">
        <v>8.6715</v>
      </c>
      <c r="I681" s="21">
        <v>383.46769999999998</v>
      </c>
      <c r="J681" s="20">
        <v>307.81580000000002</v>
      </c>
      <c r="K681" s="20">
        <v>255.3304</v>
      </c>
    </row>
    <row r="682" spans="1:11" ht="15" customHeight="1" x14ac:dyDescent="0.25">
      <c r="A682" s="22" t="s">
        <v>589</v>
      </c>
      <c r="B682" s="23" t="s">
        <v>8</v>
      </c>
      <c r="C682" s="23" t="s">
        <v>9</v>
      </c>
      <c r="D682" s="24" t="s">
        <v>30</v>
      </c>
      <c r="E682" s="24" t="s">
        <v>99</v>
      </c>
      <c r="F682" s="18">
        <v>17.654699999999998</v>
      </c>
      <c r="G682" s="19">
        <v>12.539</v>
      </c>
      <c r="H682" s="20">
        <v>4.6113</v>
      </c>
      <c r="I682" s="21">
        <v>482.61590000000001</v>
      </c>
      <c r="J682" s="20">
        <v>340.10579999999999</v>
      </c>
      <c r="K682" s="20">
        <v>153.12389999999999</v>
      </c>
    </row>
    <row r="683" spans="1:11" ht="15" customHeight="1" x14ac:dyDescent="0.25">
      <c r="A683" s="14" t="s">
        <v>590</v>
      </c>
      <c r="B683" s="15" t="s">
        <v>6</v>
      </c>
      <c r="C683" s="16"/>
      <c r="D683" s="17"/>
      <c r="E683" s="17"/>
      <c r="F683" s="18">
        <v>20.231999999999999</v>
      </c>
      <c r="G683" s="19">
        <v>11.313700000000001</v>
      </c>
      <c r="H683" s="20"/>
      <c r="I683" s="21">
        <v>583.67819999999995</v>
      </c>
      <c r="J683" s="20">
        <v>345.19709999999998</v>
      </c>
      <c r="K683" s="20"/>
    </row>
    <row r="684" spans="1:11" ht="15" customHeight="1" x14ac:dyDescent="0.25">
      <c r="A684" s="22" t="s">
        <v>826</v>
      </c>
      <c r="B684" s="23" t="s">
        <v>8</v>
      </c>
      <c r="C684" s="23" t="s">
        <v>9</v>
      </c>
      <c r="D684" s="24" t="s">
        <v>10</v>
      </c>
      <c r="E684" s="24" t="s">
        <v>24</v>
      </c>
      <c r="F684" s="18">
        <v>20.231999999999999</v>
      </c>
      <c r="G684" s="19">
        <v>11.313700000000001</v>
      </c>
      <c r="H684" s="20"/>
      <c r="I684" s="21">
        <v>583.67819999999995</v>
      </c>
      <c r="J684" s="20">
        <v>345.19709999999998</v>
      </c>
      <c r="K684" s="20"/>
    </row>
    <row r="685" spans="1:11" ht="15" customHeight="1" x14ac:dyDescent="0.25">
      <c r="A685" s="22" t="s">
        <v>591</v>
      </c>
      <c r="B685" s="23" t="s">
        <v>8</v>
      </c>
      <c r="C685" s="23" t="s">
        <v>9</v>
      </c>
      <c r="D685" s="24" t="s">
        <v>20</v>
      </c>
      <c r="E685" s="24" t="s">
        <v>42</v>
      </c>
      <c r="F685" s="18"/>
      <c r="G685" s="19"/>
      <c r="H685" s="20"/>
      <c r="I685" s="21"/>
      <c r="J685" s="20"/>
      <c r="K685" s="20"/>
    </row>
    <row r="686" spans="1:11" ht="14.25" customHeight="1" x14ac:dyDescent="0.25">
      <c r="A686" s="25" t="s">
        <v>800</v>
      </c>
      <c r="B686" s="4" t="s">
        <v>5</v>
      </c>
      <c r="C686" s="4"/>
      <c r="D686" s="5"/>
      <c r="E686" s="5"/>
      <c r="F686" s="10">
        <v>26.3474</v>
      </c>
      <c r="G686" s="11">
        <v>72.5916</v>
      </c>
      <c r="H686" s="12">
        <v>62.0075</v>
      </c>
      <c r="I686" s="13">
        <v>920.46799999999996</v>
      </c>
      <c r="J686" s="12">
        <v>3084.2015999999999</v>
      </c>
      <c r="K686" s="12">
        <v>2719.9431</v>
      </c>
    </row>
    <row r="687" spans="1:11" ht="15" customHeight="1" x14ac:dyDescent="0.25">
      <c r="A687" s="14" t="s">
        <v>592</v>
      </c>
      <c r="B687" s="15" t="s">
        <v>6</v>
      </c>
      <c r="C687" s="16"/>
      <c r="D687" s="17"/>
      <c r="E687" s="17"/>
      <c r="F687" s="18">
        <v>26.3474</v>
      </c>
      <c r="G687" s="19">
        <v>72.5916</v>
      </c>
      <c r="H687" s="20">
        <v>62.0075</v>
      </c>
      <c r="I687" s="21">
        <v>920.46799999999996</v>
      </c>
      <c r="J687" s="20">
        <v>3084.2015999999999</v>
      </c>
      <c r="K687" s="20">
        <v>2719.9431</v>
      </c>
    </row>
    <row r="688" spans="1:11" ht="15" customHeight="1" x14ac:dyDescent="0.25">
      <c r="A688" s="22" t="s">
        <v>593</v>
      </c>
      <c r="B688" s="23" t="s">
        <v>8</v>
      </c>
      <c r="C688" s="23" t="s">
        <v>9</v>
      </c>
      <c r="D688" s="24" t="s">
        <v>20</v>
      </c>
      <c r="E688" s="24" t="s">
        <v>24</v>
      </c>
      <c r="F688" s="18"/>
      <c r="G688" s="19">
        <v>20.586300000000001</v>
      </c>
      <c r="H688" s="20">
        <v>29.262499999999999</v>
      </c>
      <c r="I688" s="21"/>
      <c r="J688" s="20">
        <v>1265.0245</v>
      </c>
      <c r="K688" s="20">
        <v>1657.2372</v>
      </c>
    </row>
    <row r="689" spans="1:11" ht="15" customHeight="1" x14ac:dyDescent="0.25">
      <c r="A689" s="22" t="s">
        <v>594</v>
      </c>
      <c r="B689" s="23" t="s">
        <v>8</v>
      </c>
      <c r="C689" s="23" t="s">
        <v>9</v>
      </c>
      <c r="D689" s="24" t="s">
        <v>20</v>
      </c>
      <c r="E689" s="24" t="s">
        <v>42</v>
      </c>
      <c r="F689" s="18">
        <v>26.3474</v>
      </c>
      <c r="G689" s="19">
        <v>52.005499999999998</v>
      </c>
      <c r="H689" s="20">
        <v>32.744900000000001</v>
      </c>
      <c r="I689" s="21">
        <v>920.46799999999996</v>
      </c>
      <c r="J689" s="20">
        <v>1819.1769999999999</v>
      </c>
      <c r="K689" s="20">
        <v>1062.7058999999999</v>
      </c>
    </row>
    <row r="690" spans="1:11" ht="14.25" customHeight="1" x14ac:dyDescent="0.25">
      <c r="A690" s="25" t="s">
        <v>801</v>
      </c>
      <c r="B690" s="4" t="s">
        <v>5</v>
      </c>
      <c r="C690" s="4"/>
      <c r="D690" s="5"/>
      <c r="E690" s="5"/>
      <c r="F690" s="10">
        <v>0.97350000000000003</v>
      </c>
      <c r="G690" s="11">
        <v>1.3669</v>
      </c>
      <c r="H690" s="12">
        <v>0.25619999999999998</v>
      </c>
      <c r="I690" s="13">
        <v>4.9279999999999999</v>
      </c>
      <c r="J690" s="12">
        <v>7.3564999999999996</v>
      </c>
      <c r="K690" s="12">
        <v>1.4279999999999999</v>
      </c>
    </row>
    <row r="691" spans="1:11" ht="15" customHeight="1" x14ac:dyDescent="0.25">
      <c r="A691" s="14" t="s">
        <v>595</v>
      </c>
      <c r="B691" s="15" t="s">
        <v>6</v>
      </c>
      <c r="C691" s="16"/>
      <c r="D691" s="17"/>
      <c r="E691" s="17"/>
      <c r="F691" s="18">
        <v>0.97350000000000003</v>
      </c>
      <c r="G691" s="19">
        <v>1.3669</v>
      </c>
      <c r="H691" s="20">
        <v>0.25619999999999998</v>
      </c>
      <c r="I691" s="21">
        <v>4.9279999999999999</v>
      </c>
      <c r="J691" s="20">
        <v>7.3564999999999996</v>
      </c>
      <c r="K691" s="20">
        <v>1.4279999999999999</v>
      </c>
    </row>
    <row r="692" spans="1:11" ht="15" customHeight="1" x14ac:dyDescent="0.25">
      <c r="A692" s="22" t="s">
        <v>596</v>
      </c>
      <c r="B692" s="23" t="s">
        <v>8</v>
      </c>
      <c r="C692" s="23" t="s">
        <v>9</v>
      </c>
      <c r="D692" s="24" t="s">
        <v>10</v>
      </c>
      <c r="E692" s="24" t="s">
        <v>42</v>
      </c>
      <c r="F692" s="18">
        <v>0.1701</v>
      </c>
      <c r="G692" s="19">
        <v>0.71989999999999998</v>
      </c>
      <c r="H692" s="20">
        <v>4.9299999999999997E-2</v>
      </c>
      <c r="I692" s="21">
        <v>1.008</v>
      </c>
      <c r="J692" s="20">
        <v>3.8765000000000001</v>
      </c>
      <c r="K692" s="20">
        <v>0.28799999999999998</v>
      </c>
    </row>
    <row r="693" spans="1:11" ht="15" customHeight="1" x14ac:dyDescent="0.25">
      <c r="A693" s="22" t="s">
        <v>597</v>
      </c>
      <c r="B693" s="23" t="s">
        <v>8</v>
      </c>
      <c r="C693" s="23" t="s">
        <v>555</v>
      </c>
      <c r="D693" s="24" t="s">
        <v>10</v>
      </c>
      <c r="E693" s="24" t="s">
        <v>103</v>
      </c>
      <c r="F693" s="18">
        <v>0.8034</v>
      </c>
      <c r="G693" s="19">
        <v>0.64690000000000003</v>
      </c>
      <c r="H693" s="20">
        <v>0.2069</v>
      </c>
      <c r="I693" s="21">
        <v>3.92</v>
      </c>
      <c r="J693" s="20">
        <v>3.48</v>
      </c>
      <c r="K693" s="20">
        <v>1.1399999999999999</v>
      </c>
    </row>
    <row r="694" spans="1:11" ht="14.25" customHeight="1" x14ac:dyDescent="0.25">
      <c r="A694" s="25" t="s">
        <v>802</v>
      </c>
      <c r="B694" s="4" t="s">
        <v>5</v>
      </c>
      <c r="C694" s="4"/>
      <c r="D694" s="5"/>
      <c r="E694" s="5"/>
      <c r="F694" s="10">
        <v>18.511199999999999</v>
      </c>
      <c r="G694" s="11">
        <v>14.1861</v>
      </c>
      <c r="H694" s="12">
        <v>5.5843999999999996</v>
      </c>
      <c r="I694" s="13">
        <v>978.4941</v>
      </c>
      <c r="J694" s="12">
        <v>734.42629999999997</v>
      </c>
      <c r="K694" s="12">
        <v>305.17070000000001</v>
      </c>
    </row>
    <row r="695" spans="1:11" ht="15" customHeight="1" x14ac:dyDescent="0.25">
      <c r="A695" s="14" t="s">
        <v>598</v>
      </c>
      <c r="B695" s="15" t="s">
        <v>6</v>
      </c>
      <c r="C695" s="16"/>
      <c r="D695" s="17"/>
      <c r="E695" s="17"/>
      <c r="F695" s="18">
        <v>18.511199999999999</v>
      </c>
      <c r="G695" s="19">
        <v>14.1861</v>
      </c>
      <c r="H695" s="20">
        <v>5.5843999999999996</v>
      </c>
      <c r="I695" s="21">
        <v>978.4941</v>
      </c>
      <c r="J695" s="20">
        <v>734.42629999999997</v>
      </c>
      <c r="K695" s="20">
        <v>305.17070000000001</v>
      </c>
    </row>
    <row r="696" spans="1:11" ht="15" customHeight="1" x14ac:dyDescent="0.25">
      <c r="A696" s="22" t="s">
        <v>599</v>
      </c>
      <c r="B696" s="23" t="s">
        <v>8</v>
      </c>
      <c r="C696" s="23" t="s">
        <v>9</v>
      </c>
      <c r="D696" s="24" t="s">
        <v>20</v>
      </c>
      <c r="E696" s="24" t="s">
        <v>42</v>
      </c>
      <c r="F696" s="18">
        <v>16.393699999999999</v>
      </c>
      <c r="G696" s="19">
        <v>13.5199</v>
      </c>
      <c r="H696" s="20">
        <v>5.5843999999999996</v>
      </c>
      <c r="I696" s="21">
        <v>841.14940000000001</v>
      </c>
      <c r="J696" s="20">
        <v>693.07759999999996</v>
      </c>
      <c r="K696" s="20">
        <v>305.17070000000001</v>
      </c>
    </row>
    <row r="697" spans="1:11" ht="15" customHeight="1" x14ac:dyDescent="0.25">
      <c r="A697" s="22" t="s">
        <v>600</v>
      </c>
      <c r="B697" s="23" t="s">
        <v>8</v>
      </c>
      <c r="C697" s="23" t="s">
        <v>9</v>
      </c>
      <c r="D697" s="24" t="s">
        <v>20</v>
      </c>
      <c r="E697" s="24" t="s">
        <v>42</v>
      </c>
      <c r="F697" s="18">
        <v>2.1175000000000002</v>
      </c>
      <c r="G697" s="19">
        <v>0.66620000000000001</v>
      </c>
      <c r="H697" s="20"/>
      <c r="I697" s="21">
        <v>137.34479999999999</v>
      </c>
      <c r="J697" s="20">
        <v>41.348700000000001</v>
      </c>
      <c r="K697" s="20"/>
    </row>
    <row r="698" spans="1:11" ht="14.25" customHeight="1" x14ac:dyDescent="0.25">
      <c r="A698" s="25" t="s">
        <v>803</v>
      </c>
      <c r="B698" s="4" t="s">
        <v>5</v>
      </c>
      <c r="C698" s="4"/>
      <c r="D698" s="5"/>
      <c r="E698" s="5"/>
      <c r="F698" s="10">
        <v>632.96190000000001</v>
      </c>
      <c r="G698" s="11">
        <v>529.41039999999998</v>
      </c>
      <c r="H698" s="12">
        <v>262.13749999999999</v>
      </c>
      <c r="I698" s="13">
        <v>36136.764000000003</v>
      </c>
      <c r="J698" s="12">
        <v>28913.011500000001</v>
      </c>
      <c r="K698" s="12">
        <v>13646.2943</v>
      </c>
    </row>
    <row r="699" spans="1:11" ht="15" customHeight="1" x14ac:dyDescent="0.25">
      <c r="A699" s="14" t="s">
        <v>601</v>
      </c>
      <c r="B699" s="15" t="s">
        <v>6</v>
      </c>
      <c r="C699" s="16"/>
      <c r="D699" s="17"/>
      <c r="E699" s="17"/>
      <c r="F699" s="18">
        <v>1.9984999999999999</v>
      </c>
      <c r="G699" s="19">
        <v>3.2300000000000002E-2</v>
      </c>
      <c r="H699" s="20"/>
      <c r="I699" s="21">
        <v>141.71469999999999</v>
      </c>
      <c r="J699" s="20">
        <v>1.9971000000000001</v>
      </c>
      <c r="K699" s="20"/>
    </row>
    <row r="700" spans="1:11" ht="15" customHeight="1" x14ac:dyDescent="0.25">
      <c r="A700" s="22" t="s">
        <v>602</v>
      </c>
      <c r="B700" s="23" t="s">
        <v>8</v>
      </c>
      <c r="C700" s="23" t="s">
        <v>9</v>
      </c>
      <c r="D700" s="24" t="s">
        <v>20</v>
      </c>
      <c r="E700" s="24" t="s">
        <v>24</v>
      </c>
      <c r="F700" s="18">
        <v>1.9984999999999999</v>
      </c>
      <c r="G700" s="19">
        <v>3.2300000000000002E-2</v>
      </c>
      <c r="H700" s="20"/>
      <c r="I700" s="21">
        <v>141.71469999999999</v>
      </c>
      <c r="J700" s="20">
        <v>1.9971000000000001</v>
      </c>
      <c r="K700" s="20"/>
    </row>
    <row r="701" spans="1:11" ht="15" customHeight="1" x14ac:dyDescent="0.25">
      <c r="A701" s="14" t="s">
        <v>603</v>
      </c>
      <c r="B701" s="15" t="s">
        <v>6</v>
      </c>
      <c r="C701" s="16"/>
      <c r="D701" s="17"/>
      <c r="E701" s="17"/>
      <c r="F701" s="18">
        <v>306.92559999999997</v>
      </c>
      <c r="G701" s="19">
        <v>309.65649999999999</v>
      </c>
      <c r="H701" s="20">
        <v>149.7295</v>
      </c>
      <c r="I701" s="21">
        <v>16220.671399999999</v>
      </c>
      <c r="J701" s="20">
        <v>15817.5867</v>
      </c>
      <c r="K701" s="20">
        <v>7239.5672999999997</v>
      </c>
    </row>
    <row r="702" spans="1:11" ht="15" customHeight="1" x14ac:dyDescent="0.25">
      <c r="A702" s="22" t="s">
        <v>604</v>
      </c>
      <c r="B702" s="23" t="s">
        <v>8</v>
      </c>
      <c r="C702" s="23" t="s">
        <v>9</v>
      </c>
      <c r="D702" s="24" t="s">
        <v>30</v>
      </c>
      <c r="E702" s="24" t="s">
        <v>21</v>
      </c>
      <c r="F702" s="18">
        <v>136.17420000000001</v>
      </c>
      <c r="G702" s="19">
        <v>152.24180000000001</v>
      </c>
      <c r="H702" s="20">
        <v>70.924899999999994</v>
      </c>
      <c r="I702" s="21">
        <v>7155.8876</v>
      </c>
      <c r="J702" s="20">
        <v>7606.2596000000003</v>
      </c>
      <c r="K702" s="20">
        <v>3236.7058000000002</v>
      </c>
    </row>
    <row r="703" spans="1:11" ht="15" customHeight="1" x14ac:dyDescent="0.25">
      <c r="A703" s="22" t="s">
        <v>605</v>
      </c>
      <c r="B703" s="23" t="s">
        <v>8</v>
      </c>
      <c r="C703" s="23" t="s">
        <v>9</v>
      </c>
      <c r="D703" s="24" t="s">
        <v>20</v>
      </c>
      <c r="E703" s="24" t="s">
        <v>24</v>
      </c>
      <c r="F703" s="18">
        <v>166.38550000000001</v>
      </c>
      <c r="G703" s="19">
        <v>154.19909999999999</v>
      </c>
      <c r="H703" s="20">
        <v>78.409199999999998</v>
      </c>
      <c r="I703" s="21">
        <v>8805.9477000000006</v>
      </c>
      <c r="J703" s="20">
        <v>8032.0802000000003</v>
      </c>
      <c r="K703" s="20">
        <v>3983.7687000000001</v>
      </c>
    </row>
    <row r="704" spans="1:11" ht="15" customHeight="1" x14ac:dyDescent="0.25">
      <c r="A704" s="22" t="s">
        <v>606</v>
      </c>
      <c r="B704" s="23" t="s">
        <v>8</v>
      </c>
      <c r="C704" s="23" t="s">
        <v>9</v>
      </c>
      <c r="D704" s="24" t="s">
        <v>20</v>
      </c>
      <c r="E704" s="24" t="s">
        <v>42</v>
      </c>
      <c r="F704" s="18">
        <v>7.4499999999999997E-2</v>
      </c>
      <c r="G704" s="19"/>
      <c r="H704" s="20"/>
      <c r="I704" s="21">
        <v>5.2851999999999997</v>
      </c>
      <c r="J704" s="20"/>
      <c r="K704" s="20"/>
    </row>
    <row r="705" spans="1:11" ht="15" customHeight="1" x14ac:dyDescent="0.25">
      <c r="A705" s="22" t="s">
        <v>607</v>
      </c>
      <c r="B705" s="23" t="s">
        <v>8</v>
      </c>
      <c r="C705" s="23" t="s">
        <v>9</v>
      </c>
      <c r="D705" s="24" t="s">
        <v>10</v>
      </c>
      <c r="E705" s="24" t="s">
        <v>42</v>
      </c>
      <c r="F705" s="18">
        <v>4.2912999999999997</v>
      </c>
      <c r="G705" s="19">
        <v>3.2158000000000002</v>
      </c>
      <c r="H705" s="20">
        <v>0.39529999999999998</v>
      </c>
      <c r="I705" s="21">
        <v>253.55109999999999</v>
      </c>
      <c r="J705" s="20">
        <v>179.24690000000001</v>
      </c>
      <c r="K705" s="20">
        <v>19.092600000000001</v>
      </c>
    </row>
    <row r="706" spans="1:11" ht="15" customHeight="1" x14ac:dyDescent="0.25">
      <c r="A706" s="14" t="s">
        <v>608</v>
      </c>
      <c r="B706" s="15" t="s">
        <v>6</v>
      </c>
      <c r="C706" s="16"/>
      <c r="D706" s="17"/>
      <c r="E706" s="17"/>
      <c r="F706" s="18">
        <v>53.159100000000002</v>
      </c>
      <c r="G706" s="19">
        <v>28.811599999999999</v>
      </c>
      <c r="H706" s="20">
        <v>10.3498</v>
      </c>
      <c r="I706" s="21">
        <v>3425.3593000000001</v>
      </c>
      <c r="J706" s="20">
        <v>1685.9922999999999</v>
      </c>
      <c r="K706" s="20">
        <v>587.04769999999996</v>
      </c>
    </row>
    <row r="707" spans="1:11" ht="15" customHeight="1" x14ac:dyDescent="0.25">
      <c r="A707" s="22" t="s">
        <v>609</v>
      </c>
      <c r="B707" s="23" t="s">
        <v>8</v>
      </c>
      <c r="C707" s="23" t="s">
        <v>9</v>
      </c>
      <c r="D707" s="24" t="s">
        <v>64</v>
      </c>
      <c r="E707" s="24" t="s">
        <v>24</v>
      </c>
      <c r="F707" s="18">
        <v>12.5473</v>
      </c>
      <c r="G707" s="19">
        <v>21.5989</v>
      </c>
      <c r="H707" s="20">
        <v>10.3498</v>
      </c>
      <c r="I707" s="21">
        <v>734.85479999999995</v>
      </c>
      <c r="J707" s="20">
        <v>1234.4389000000001</v>
      </c>
      <c r="K707" s="20">
        <v>587.04769999999996</v>
      </c>
    </row>
    <row r="708" spans="1:11" ht="15" customHeight="1" x14ac:dyDescent="0.25">
      <c r="A708" s="22" t="s">
        <v>610</v>
      </c>
      <c r="B708" s="23" t="s">
        <v>8</v>
      </c>
      <c r="C708" s="23" t="s">
        <v>9</v>
      </c>
      <c r="D708" s="24" t="s">
        <v>64</v>
      </c>
      <c r="E708" s="24" t="s">
        <v>103</v>
      </c>
      <c r="F708" s="18">
        <v>0.68669999999999998</v>
      </c>
      <c r="G708" s="19"/>
      <c r="H708" s="20"/>
      <c r="I708" s="21">
        <v>52.465899999999998</v>
      </c>
      <c r="J708" s="20"/>
      <c r="K708" s="20"/>
    </row>
    <row r="709" spans="1:11" ht="15" customHeight="1" x14ac:dyDescent="0.25">
      <c r="A709" s="22" t="s">
        <v>611</v>
      </c>
      <c r="B709" s="23" t="s">
        <v>8</v>
      </c>
      <c r="C709" s="23" t="s">
        <v>9</v>
      </c>
      <c r="D709" s="24" t="s">
        <v>20</v>
      </c>
      <c r="E709" s="24" t="s">
        <v>42</v>
      </c>
      <c r="F709" s="18"/>
      <c r="G709" s="19"/>
      <c r="H709" s="20"/>
      <c r="I709" s="21"/>
      <c r="J709" s="20"/>
      <c r="K709" s="20"/>
    </row>
    <row r="710" spans="1:11" ht="15" customHeight="1" x14ac:dyDescent="0.25">
      <c r="A710" s="22" t="s">
        <v>612</v>
      </c>
      <c r="B710" s="23" t="s">
        <v>8</v>
      </c>
      <c r="C710" s="23" t="s">
        <v>9</v>
      </c>
      <c r="D710" s="24" t="s">
        <v>64</v>
      </c>
      <c r="E710" s="24" t="s">
        <v>42</v>
      </c>
      <c r="F710" s="18">
        <v>37.213999999999999</v>
      </c>
      <c r="G710" s="19">
        <v>7.2126999999999999</v>
      </c>
      <c r="H710" s="20"/>
      <c r="I710" s="21">
        <v>2501.2190000000001</v>
      </c>
      <c r="J710" s="20">
        <v>451.55340000000001</v>
      </c>
      <c r="K710" s="20"/>
    </row>
    <row r="711" spans="1:11" ht="15" customHeight="1" x14ac:dyDescent="0.25">
      <c r="A711" s="22" t="s">
        <v>613</v>
      </c>
      <c r="B711" s="23" t="s">
        <v>8</v>
      </c>
      <c r="C711" s="23" t="s">
        <v>9</v>
      </c>
      <c r="D711" s="24" t="s">
        <v>64</v>
      </c>
      <c r="E711" s="24" t="s">
        <v>68</v>
      </c>
      <c r="F711" s="18">
        <v>2.7111999999999998</v>
      </c>
      <c r="G711" s="19"/>
      <c r="H711" s="20"/>
      <c r="I711" s="21">
        <v>136.8194</v>
      </c>
      <c r="J711" s="20"/>
      <c r="K711" s="20"/>
    </row>
    <row r="712" spans="1:11" ht="15" customHeight="1" x14ac:dyDescent="0.25">
      <c r="A712" s="14" t="s">
        <v>614</v>
      </c>
      <c r="B712" s="15" t="s">
        <v>6</v>
      </c>
      <c r="C712" s="16"/>
      <c r="D712" s="17"/>
      <c r="E712" s="17"/>
      <c r="F712" s="18"/>
      <c r="G712" s="19">
        <v>19.032699999999998</v>
      </c>
      <c r="H712" s="20">
        <v>19.713699999999999</v>
      </c>
      <c r="I712" s="21"/>
      <c r="J712" s="20">
        <v>1111.0531000000001</v>
      </c>
      <c r="K712" s="20">
        <v>1063.3096</v>
      </c>
    </row>
    <row r="713" spans="1:11" ht="15" customHeight="1" x14ac:dyDescent="0.25">
      <c r="A713" s="22" t="s">
        <v>615</v>
      </c>
      <c r="B713" s="23" t="s">
        <v>8</v>
      </c>
      <c r="C713" s="23" t="s">
        <v>9</v>
      </c>
      <c r="D713" s="24" t="s">
        <v>64</v>
      </c>
      <c r="E713" s="24" t="s">
        <v>103</v>
      </c>
      <c r="F713" s="18"/>
      <c r="G713" s="19">
        <v>19.032699999999998</v>
      </c>
      <c r="H713" s="20">
        <v>19.713699999999999</v>
      </c>
      <c r="I713" s="21"/>
      <c r="J713" s="20">
        <v>1111.0531000000001</v>
      </c>
      <c r="K713" s="20">
        <v>1063.3096</v>
      </c>
    </row>
    <row r="714" spans="1:11" ht="15" customHeight="1" x14ac:dyDescent="0.25">
      <c r="A714" s="14" t="s">
        <v>616</v>
      </c>
      <c r="B714" s="15" t="s">
        <v>6</v>
      </c>
      <c r="C714" s="16"/>
      <c r="D714" s="17"/>
      <c r="E714" s="17"/>
      <c r="F714" s="18">
        <v>270.87889999999999</v>
      </c>
      <c r="G714" s="19">
        <v>171.8775</v>
      </c>
      <c r="H714" s="20">
        <v>82.344399999999993</v>
      </c>
      <c r="I714" s="21">
        <v>16349.0191</v>
      </c>
      <c r="J714" s="20">
        <v>10296.382799999999</v>
      </c>
      <c r="K714" s="20">
        <v>4756.37</v>
      </c>
    </row>
    <row r="715" spans="1:11" ht="15" customHeight="1" x14ac:dyDescent="0.25">
      <c r="A715" s="22" t="s">
        <v>617</v>
      </c>
      <c r="B715" s="23" t="s">
        <v>8</v>
      </c>
      <c r="C715" s="23" t="s">
        <v>9</v>
      </c>
      <c r="D715" s="24" t="s">
        <v>30</v>
      </c>
      <c r="E715" s="24" t="s">
        <v>21</v>
      </c>
      <c r="F715" s="18">
        <v>1.0042</v>
      </c>
      <c r="G715" s="19"/>
      <c r="H715" s="20"/>
      <c r="I715" s="21">
        <v>76.638000000000005</v>
      </c>
      <c r="J715" s="20"/>
      <c r="K715" s="20"/>
    </row>
    <row r="716" spans="1:11" ht="15" customHeight="1" x14ac:dyDescent="0.25">
      <c r="A716" s="22" t="s">
        <v>618</v>
      </c>
      <c r="B716" s="23" t="s">
        <v>8</v>
      </c>
      <c r="C716" s="23" t="s">
        <v>9</v>
      </c>
      <c r="D716" s="24" t="s">
        <v>20</v>
      </c>
      <c r="E716" s="24" t="s">
        <v>24</v>
      </c>
      <c r="F716" s="18">
        <v>251.465</v>
      </c>
      <c r="G716" s="19">
        <v>145.75579999999999</v>
      </c>
      <c r="H716" s="20">
        <v>77.822699999999998</v>
      </c>
      <c r="I716" s="21">
        <v>15122.0514</v>
      </c>
      <c r="J716" s="20">
        <v>8717.0684000000001</v>
      </c>
      <c r="K716" s="20">
        <v>4462.7493999999997</v>
      </c>
    </row>
    <row r="717" spans="1:11" ht="15" customHeight="1" x14ac:dyDescent="0.25">
      <c r="A717" s="22" t="s">
        <v>619</v>
      </c>
      <c r="B717" s="23" t="s">
        <v>8</v>
      </c>
      <c r="C717" s="23" t="s">
        <v>9</v>
      </c>
      <c r="D717" s="24" t="s">
        <v>30</v>
      </c>
      <c r="E717" s="24" t="s">
        <v>570</v>
      </c>
      <c r="F717" s="18">
        <v>15.856</v>
      </c>
      <c r="G717" s="19">
        <v>22.015000000000001</v>
      </c>
      <c r="H717" s="20">
        <v>3.4060000000000001</v>
      </c>
      <c r="I717" s="21">
        <v>1023.9475</v>
      </c>
      <c r="J717" s="20">
        <v>1391.8684000000001</v>
      </c>
      <c r="K717" s="20">
        <v>229.50649999999999</v>
      </c>
    </row>
    <row r="718" spans="1:11" ht="15" customHeight="1" x14ac:dyDescent="0.25">
      <c r="A718" s="22" t="s">
        <v>620</v>
      </c>
      <c r="B718" s="23" t="s">
        <v>8</v>
      </c>
      <c r="C718" s="23" t="s">
        <v>9</v>
      </c>
      <c r="D718" s="24" t="s">
        <v>20</v>
      </c>
      <c r="E718" s="24" t="s">
        <v>99</v>
      </c>
      <c r="F718" s="18"/>
      <c r="G718" s="19"/>
      <c r="H718" s="20">
        <v>0.28920000000000001</v>
      </c>
      <c r="I718" s="21"/>
      <c r="J718" s="20"/>
      <c r="K718" s="20">
        <v>17.3521</v>
      </c>
    </row>
    <row r="719" spans="1:11" ht="15" customHeight="1" x14ac:dyDescent="0.25">
      <c r="A719" s="22" t="s">
        <v>621</v>
      </c>
      <c r="B719" s="23" t="s">
        <v>8</v>
      </c>
      <c r="C719" s="23" t="s">
        <v>9</v>
      </c>
      <c r="D719" s="24" t="s">
        <v>20</v>
      </c>
      <c r="E719" s="24" t="s">
        <v>42</v>
      </c>
      <c r="F719" s="18">
        <v>2.5535999999999999</v>
      </c>
      <c r="G719" s="19">
        <v>3.8500999999999999</v>
      </c>
      <c r="H719" s="20">
        <v>0.82650000000000001</v>
      </c>
      <c r="I719" s="21">
        <v>126.3817</v>
      </c>
      <c r="J719" s="20">
        <v>174.249</v>
      </c>
      <c r="K719" s="20">
        <v>46.762</v>
      </c>
    </row>
    <row r="720" spans="1:11" ht="15" customHeight="1" x14ac:dyDescent="0.25">
      <c r="A720" s="22" t="s">
        <v>622</v>
      </c>
      <c r="B720" s="23" t="s">
        <v>8</v>
      </c>
      <c r="C720" s="23" t="s">
        <v>9</v>
      </c>
      <c r="D720" s="24" t="s">
        <v>20</v>
      </c>
      <c r="E720" s="24" t="s">
        <v>42</v>
      </c>
      <c r="F720" s="18"/>
      <c r="G720" s="19">
        <v>0.25659999999999999</v>
      </c>
      <c r="H720" s="20"/>
      <c r="I720" s="21"/>
      <c r="J720" s="20">
        <v>13.196899999999999</v>
      </c>
      <c r="K720" s="20"/>
    </row>
    <row r="721" spans="1:11" ht="14.25" customHeight="1" x14ac:dyDescent="0.25">
      <c r="A721" s="25" t="s">
        <v>804</v>
      </c>
      <c r="B721" s="4" t="s">
        <v>5</v>
      </c>
      <c r="C721" s="4"/>
      <c r="D721" s="5"/>
      <c r="E721" s="5"/>
      <c r="F721" s="10">
        <v>154.93469999999999</v>
      </c>
      <c r="G721" s="11">
        <v>154.98240000000001</v>
      </c>
      <c r="H721" s="12">
        <v>45.514299999999999</v>
      </c>
      <c r="I721" s="13">
        <v>4738.4238999999998</v>
      </c>
      <c r="J721" s="12">
        <v>5792.3320000000003</v>
      </c>
      <c r="K721" s="12">
        <v>1599.6686</v>
      </c>
    </row>
    <row r="722" spans="1:11" ht="15" customHeight="1" x14ac:dyDescent="0.25">
      <c r="A722" s="14" t="s">
        <v>623</v>
      </c>
      <c r="B722" s="15" t="s">
        <v>6</v>
      </c>
      <c r="C722" s="16"/>
      <c r="D722" s="17"/>
      <c r="E722" s="17"/>
      <c r="F722" s="18">
        <v>154.93469999999999</v>
      </c>
      <c r="G722" s="19">
        <v>154.98240000000001</v>
      </c>
      <c r="H722" s="20">
        <v>45.514299999999999</v>
      </c>
      <c r="I722" s="21">
        <v>4738.4238999999998</v>
      </c>
      <c r="J722" s="20">
        <v>5792.3320000000003</v>
      </c>
      <c r="K722" s="20">
        <v>1599.6686</v>
      </c>
    </row>
    <row r="723" spans="1:11" ht="15" customHeight="1" x14ac:dyDescent="0.25">
      <c r="A723" s="22" t="s">
        <v>624</v>
      </c>
      <c r="B723" s="23" t="s">
        <v>8</v>
      </c>
      <c r="C723" s="23" t="s">
        <v>9</v>
      </c>
      <c r="D723" s="24" t="s">
        <v>30</v>
      </c>
      <c r="E723" s="24" t="s">
        <v>376</v>
      </c>
      <c r="F723" s="18"/>
      <c r="G723" s="19">
        <v>0.5504</v>
      </c>
      <c r="H723" s="20">
        <v>0.74670000000000003</v>
      </c>
      <c r="I723" s="21"/>
      <c r="J723" s="20">
        <v>6.7556000000000003</v>
      </c>
      <c r="K723" s="20">
        <v>9.0073000000000008</v>
      </c>
    </row>
    <row r="724" spans="1:11" ht="15" customHeight="1" x14ac:dyDescent="0.25">
      <c r="A724" s="22" t="s">
        <v>625</v>
      </c>
      <c r="B724" s="23" t="s">
        <v>8</v>
      </c>
      <c r="C724" s="23" t="s">
        <v>9</v>
      </c>
      <c r="D724" s="24" t="s">
        <v>30</v>
      </c>
      <c r="E724" s="24" t="s">
        <v>11</v>
      </c>
      <c r="F724" s="18">
        <v>4.7511999999999999</v>
      </c>
      <c r="G724" s="19">
        <v>3.7549000000000001</v>
      </c>
      <c r="H724" s="20">
        <v>1.1405000000000001</v>
      </c>
      <c r="I724" s="21">
        <v>70.328999999999994</v>
      </c>
      <c r="J724" s="20">
        <v>55.465600000000002</v>
      </c>
      <c r="K724" s="20">
        <v>16.475899999999999</v>
      </c>
    </row>
    <row r="725" spans="1:11" ht="15" customHeight="1" x14ac:dyDescent="0.25">
      <c r="A725" s="22" t="s">
        <v>626</v>
      </c>
      <c r="B725" s="23" t="s">
        <v>8</v>
      </c>
      <c r="C725" s="23" t="s">
        <v>9</v>
      </c>
      <c r="D725" s="24" t="s">
        <v>10</v>
      </c>
      <c r="E725" s="24" t="s">
        <v>11</v>
      </c>
      <c r="F725" s="18">
        <v>1.23E-2</v>
      </c>
      <c r="G725" s="19">
        <v>2.7799999999999998E-2</v>
      </c>
      <c r="H725" s="20"/>
      <c r="I725" s="21">
        <v>0.18</v>
      </c>
      <c r="J725" s="20">
        <v>0.46179999999999999</v>
      </c>
      <c r="K725" s="20"/>
    </row>
    <row r="726" spans="1:11" ht="15" customHeight="1" x14ac:dyDescent="0.25">
      <c r="A726" s="22" t="s">
        <v>627</v>
      </c>
      <c r="B726" s="23" t="s">
        <v>8</v>
      </c>
      <c r="C726" s="23" t="s">
        <v>9</v>
      </c>
      <c r="D726" s="24" t="s">
        <v>64</v>
      </c>
      <c r="E726" s="24" t="s">
        <v>11</v>
      </c>
      <c r="F726" s="18">
        <v>11.1968</v>
      </c>
      <c r="G726" s="19">
        <v>6.3734000000000002</v>
      </c>
      <c r="H726" s="20">
        <v>1.3038000000000001</v>
      </c>
      <c r="I726" s="21">
        <v>170.3914</v>
      </c>
      <c r="J726" s="20">
        <v>94.576999999999998</v>
      </c>
      <c r="K726" s="20">
        <v>19.252400000000002</v>
      </c>
    </row>
    <row r="727" spans="1:11" ht="15" customHeight="1" x14ac:dyDescent="0.25">
      <c r="A727" s="22" t="s">
        <v>628</v>
      </c>
      <c r="B727" s="23" t="s">
        <v>8</v>
      </c>
      <c r="C727" s="23" t="s">
        <v>9</v>
      </c>
      <c r="D727" s="24" t="s">
        <v>64</v>
      </c>
      <c r="E727" s="24" t="s">
        <v>363</v>
      </c>
      <c r="F727" s="18"/>
      <c r="G727" s="19">
        <v>0.89970000000000006</v>
      </c>
      <c r="H727" s="20">
        <v>2.4813999999999998</v>
      </c>
      <c r="I727" s="21"/>
      <c r="J727" s="20">
        <v>21.057300000000001</v>
      </c>
      <c r="K727" s="20">
        <v>55.505499999999998</v>
      </c>
    </row>
    <row r="728" spans="1:11" ht="15" customHeight="1" x14ac:dyDescent="0.25">
      <c r="A728" s="22" t="s">
        <v>629</v>
      </c>
      <c r="B728" s="23" t="s">
        <v>8</v>
      </c>
      <c r="C728" s="23" t="s">
        <v>9</v>
      </c>
      <c r="D728" s="24" t="s">
        <v>30</v>
      </c>
      <c r="E728" s="24" t="s">
        <v>630</v>
      </c>
      <c r="F728" s="18">
        <v>2.3999999999999998E-3</v>
      </c>
      <c r="G728" s="19"/>
      <c r="H728" s="20"/>
      <c r="I728" s="21">
        <v>5.7000000000000002E-2</v>
      </c>
      <c r="J728" s="20"/>
      <c r="K728" s="20"/>
    </row>
    <row r="729" spans="1:11" ht="15" customHeight="1" x14ac:dyDescent="0.25">
      <c r="A729" s="22" t="s">
        <v>631</v>
      </c>
      <c r="B729" s="23" t="s">
        <v>8</v>
      </c>
      <c r="C729" s="23" t="s">
        <v>9</v>
      </c>
      <c r="D729" s="24" t="s">
        <v>10</v>
      </c>
      <c r="E729" s="24" t="s">
        <v>37</v>
      </c>
      <c r="F729" s="18">
        <v>0.22650000000000001</v>
      </c>
      <c r="G729" s="19"/>
      <c r="H729" s="20"/>
      <c r="I729" s="21">
        <v>7.2465999999999999</v>
      </c>
      <c r="J729" s="20"/>
      <c r="K729" s="20"/>
    </row>
    <row r="730" spans="1:11" ht="15" customHeight="1" x14ac:dyDescent="0.25">
      <c r="A730" s="22" t="s">
        <v>632</v>
      </c>
      <c r="B730" s="23" t="s">
        <v>8</v>
      </c>
      <c r="C730" s="23" t="s">
        <v>9</v>
      </c>
      <c r="D730" s="24" t="s">
        <v>20</v>
      </c>
      <c r="E730" s="24" t="s">
        <v>37</v>
      </c>
      <c r="F730" s="18">
        <v>0.74809999999999999</v>
      </c>
      <c r="G730" s="19"/>
      <c r="H730" s="20"/>
      <c r="I730" s="21">
        <v>25.650500000000001</v>
      </c>
      <c r="J730" s="20"/>
      <c r="K730" s="20"/>
    </row>
    <row r="731" spans="1:11" ht="15" customHeight="1" x14ac:dyDescent="0.25">
      <c r="A731" s="22" t="s">
        <v>633</v>
      </c>
      <c r="B731" s="23" t="s">
        <v>8</v>
      </c>
      <c r="C731" s="23" t="s">
        <v>9</v>
      </c>
      <c r="D731" s="24" t="s">
        <v>20</v>
      </c>
      <c r="E731" s="24" t="s">
        <v>37</v>
      </c>
      <c r="F731" s="18">
        <v>7.1352000000000002</v>
      </c>
      <c r="G731" s="19">
        <v>0.98229999999999995</v>
      </c>
      <c r="H731" s="20">
        <v>0.17499999999999999</v>
      </c>
      <c r="I731" s="21">
        <v>199.79089999999999</v>
      </c>
      <c r="J731" s="20">
        <v>31.398199999999999</v>
      </c>
      <c r="K731" s="20">
        <v>5.5553999999999997</v>
      </c>
    </row>
    <row r="732" spans="1:11" ht="15" customHeight="1" x14ac:dyDescent="0.25">
      <c r="A732" s="22" t="s">
        <v>634</v>
      </c>
      <c r="B732" s="23" t="s">
        <v>8</v>
      </c>
      <c r="C732" s="23" t="s">
        <v>9</v>
      </c>
      <c r="D732" s="24" t="s">
        <v>20</v>
      </c>
      <c r="E732" s="24" t="s">
        <v>37</v>
      </c>
      <c r="F732" s="18">
        <v>38.636499999999998</v>
      </c>
      <c r="G732" s="19">
        <v>25.403500000000001</v>
      </c>
      <c r="H732" s="20">
        <v>9.4920000000000009</v>
      </c>
      <c r="I732" s="21">
        <v>1064.7156</v>
      </c>
      <c r="J732" s="20">
        <v>712.85350000000005</v>
      </c>
      <c r="K732" s="20">
        <v>244.268</v>
      </c>
    </row>
    <row r="733" spans="1:11" ht="15" customHeight="1" x14ac:dyDescent="0.25">
      <c r="A733" s="22" t="s">
        <v>635</v>
      </c>
      <c r="B733" s="23" t="s">
        <v>8</v>
      </c>
      <c r="C733" s="23" t="s">
        <v>9</v>
      </c>
      <c r="D733" s="24" t="s">
        <v>64</v>
      </c>
      <c r="E733" s="24" t="s">
        <v>37</v>
      </c>
      <c r="F733" s="18"/>
      <c r="G733" s="19"/>
      <c r="H733" s="20"/>
      <c r="I733" s="21"/>
      <c r="J733" s="20"/>
      <c r="K733" s="20"/>
    </row>
    <row r="734" spans="1:11" ht="15" customHeight="1" x14ac:dyDescent="0.25">
      <c r="A734" s="22" t="s">
        <v>636</v>
      </c>
      <c r="B734" s="23" t="s">
        <v>8</v>
      </c>
      <c r="C734" s="23" t="s">
        <v>9</v>
      </c>
      <c r="D734" s="24" t="s">
        <v>64</v>
      </c>
      <c r="E734" s="24" t="s">
        <v>37</v>
      </c>
      <c r="F734" s="18">
        <v>3.0739999999999998</v>
      </c>
      <c r="G734" s="19">
        <v>0.314</v>
      </c>
      <c r="H734" s="20">
        <v>6.4199999999999993E-2</v>
      </c>
      <c r="I734" s="21">
        <v>79.571700000000007</v>
      </c>
      <c r="J734" s="20">
        <v>7.3994999999999997</v>
      </c>
      <c r="K734" s="20">
        <v>1.5809</v>
      </c>
    </row>
    <row r="735" spans="1:11" ht="15" customHeight="1" x14ac:dyDescent="0.25">
      <c r="A735" s="22" t="s">
        <v>637</v>
      </c>
      <c r="B735" s="23" t="s">
        <v>8</v>
      </c>
      <c r="C735" s="23" t="s">
        <v>9</v>
      </c>
      <c r="D735" s="24" t="s">
        <v>64</v>
      </c>
      <c r="E735" s="24" t="s">
        <v>37</v>
      </c>
      <c r="F735" s="18">
        <v>57.373899999999999</v>
      </c>
      <c r="G735" s="19">
        <v>28.978999999999999</v>
      </c>
      <c r="H735" s="20">
        <v>4.5244999999999997</v>
      </c>
      <c r="I735" s="21">
        <v>1605.2121</v>
      </c>
      <c r="J735" s="20">
        <v>798.29169999999999</v>
      </c>
      <c r="K735" s="20">
        <v>128.11799999999999</v>
      </c>
    </row>
    <row r="736" spans="1:11" ht="15" customHeight="1" x14ac:dyDescent="0.25">
      <c r="A736" s="22" t="s">
        <v>638</v>
      </c>
      <c r="B736" s="23" t="s">
        <v>8</v>
      </c>
      <c r="C736" s="23" t="s">
        <v>9</v>
      </c>
      <c r="D736" s="24" t="s">
        <v>30</v>
      </c>
      <c r="E736" s="24" t="s">
        <v>42</v>
      </c>
      <c r="F736" s="18">
        <v>0.84319999999999995</v>
      </c>
      <c r="G736" s="19"/>
      <c r="H736" s="20"/>
      <c r="I736" s="21">
        <v>38.896500000000003</v>
      </c>
      <c r="J736" s="20"/>
      <c r="K736" s="20"/>
    </row>
    <row r="737" spans="1:11" ht="15" customHeight="1" x14ac:dyDescent="0.25">
      <c r="A737" s="22" t="s">
        <v>639</v>
      </c>
      <c r="B737" s="23" t="s">
        <v>8</v>
      </c>
      <c r="C737" s="23" t="s">
        <v>9</v>
      </c>
      <c r="D737" s="24" t="s">
        <v>30</v>
      </c>
      <c r="E737" s="24" t="s">
        <v>640</v>
      </c>
      <c r="F737" s="18">
        <v>0.32700000000000001</v>
      </c>
      <c r="G737" s="19">
        <v>7.9399999999999998E-2</v>
      </c>
      <c r="H737" s="20"/>
      <c r="I737" s="21">
        <v>8.1380999999999997</v>
      </c>
      <c r="J737" s="20">
        <v>2.0009000000000001</v>
      </c>
      <c r="K737" s="20"/>
    </row>
    <row r="738" spans="1:11" ht="15" customHeight="1" x14ac:dyDescent="0.25">
      <c r="A738" s="22" t="s">
        <v>641</v>
      </c>
      <c r="B738" s="23" t="s">
        <v>8</v>
      </c>
      <c r="C738" s="23" t="s">
        <v>9</v>
      </c>
      <c r="D738" s="24" t="s">
        <v>30</v>
      </c>
      <c r="E738" s="24" t="s">
        <v>17</v>
      </c>
      <c r="F738" s="18">
        <v>30.607399999999998</v>
      </c>
      <c r="G738" s="19">
        <v>87.617999999999995</v>
      </c>
      <c r="H738" s="20">
        <v>25.586099999999998</v>
      </c>
      <c r="I738" s="21">
        <v>1468.2443000000001</v>
      </c>
      <c r="J738" s="20">
        <v>4062.0709999999999</v>
      </c>
      <c r="K738" s="20">
        <v>1119.9051999999999</v>
      </c>
    </row>
    <row r="739" spans="1:11" ht="14.25" customHeight="1" x14ac:dyDescent="0.25">
      <c r="A739" s="25" t="s">
        <v>805</v>
      </c>
      <c r="B739" s="4" t="s">
        <v>5</v>
      </c>
      <c r="C739" s="4"/>
      <c r="D739" s="5"/>
      <c r="E739" s="5"/>
      <c r="F739" s="10">
        <v>466.315</v>
      </c>
      <c r="G739" s="11">
        <v>321.99369999999999</v>
      </c>
      <c r="H739" s="12">
        <v>119.931</v>
      </c>
      <c r="I739" s="13">
        <v>27928.0566</v>
      </c>
      <c r="J739" s="12">
        <v>19049.5026</v>
      </c>
      <c r="K739" s="12">
        <v>6464.4501</v>
      </c>
    </row>
    <row r="740" spans="1:11" ht="15" customHeight="1" x14ac:dyDescent="0.25">
      <c r="A740" s="14" t="s">
        <v>642</v>
      </c>
      <c r="B740" s="15" t="s">
        <v>6</v>
      </c>
      <c r="C740" s="16"/>
      <c r="D740" s="17"/>
      <c r="E740" s="17"/>
      <c r="F740" s="18">
        <v>0.26200000000000001</v>
      </c>
      <c r="G740" s="19">
        <v>0.1656</v>
      </c>
      <c r="H740" s="20"/>
      <c r="I740" s="21">
        <v>18.860299999999999</v>
      </c>
      <c r="J740" s="20">
        <v>11.920500000000001</v>
      </c>
      <c r="K740" s="20"/>
    </row>
    <row r="741" spans="1:11" ht="15" customHeight="1" x14ac:dyDescent="0.25">
      <c r="A741" s="22" t="s">
        <v>643</v>
      </c>
      <c r="B741" s="23" t="s">
        <v>8</v>
      </c>
      <c r="C741" s="23" t="s">
        <v>9</v>
      </c>
      <c r="D741" s="24" t="s">
        <v>20</v>
      </c>
      <c r="E741" s="24" t="s">
        <v>42</v>
      </c>
      <c r="F741" s="18">
        <v>0.26200000000000001</v>
      </c>
      <c r="G741" s="19">
        <v>0.1656</v>
      </c>
      <c r="H741" s="20"/>
      <c r="I741" s="21">
        <v>18.860299999999999</v>
      </c>
      <c r="J741" s="20">
        <v>11.920500000000001</v>
      </c>
      <c r="K741" s="20"/>
    </row>
    <row r="742" spans="1:11" ht="15" customHeight="1" x14ac:dyDescent="0.25">
      <c r="A742" s="14" t="s">
        <v>644</v>
      </c>
      <c r="B742" s="15" t="s">
        <v>6</v>
      </c>
      <c r="C742" s="16"/>
      <c r="D742" s="17"/>
      <c r="E742" s="17"/>
      <c r="F742" s="18">
        <v>8.2482000000000006</v>
      </c>
      <c r="G742" s="19">
        <v>0.97330000000000005</v>
      </c>
      <c r="H742" s="20"/>
      <c r="I742" s="21">
        <v>505.78250000000003</v>
      </c>
      <c r="J742" s="20">
        <v>58.400799999999997</v>
      </c>
      <c r="K742" s="20"/>
    </row>
    <row r="743" spans="1:11" ht="15" customHeight="1" x14ac:dyDescent="0.25">
      <c r="A743" s="22" t="s">
        <v>645</v>
      </c>
      <c r="B743" s="23" t="s">
        <v>8</v>
      </c>
      <c r="C743" s="23" t="s">
        <v>9</v>
      </c>
      <c r="D743" s="24" t="s">
        <v>64</v>
      </c>
      <c r="E743" s="24" t="s">
        <v>24</v>
      </c>
      <c r="F743" s="18">
        <v>8.2482000000000006</v>
      </c>
      <c r="G743" s="19">
        <v>0.97330000000000005</v>
      </c>
      <c r="H743" s="20"/>
      <c r="I743" s="21">
        <v>505.78250000000003</v>
      </c>
      <c r="J743" s="20">
        <v>58.400799999999997</v>
      </c>
      <c r="K743" s="20"/>
    </row>
    <row r="744" spans="1:11" ht="15" customHeight="1" x14ac:dyDescent="0.25">
      <c r="A744" s="22" t="s">
        <v>646</v>
      </c>
      <c r="B744" s="23" t="s">
        <v>8</v>
      </c>
      <c r="C744" s="23" t="s">
        <v>9</v>
      </c>
      <c r="D744" s="24" t="s">
        <v>64</v>
      </c>
      <c r="E744" s="24" t="s">
        <v>42</v>
      </c>
      <c r="F744" s="18"/>
      <c r="G744" s="19"/>
      <c r="H744" s="20"/>
      <c r="I744" s="21"/>
      <c r="J744" s="20"/>
      <c r="K744" s="20"/>
    </row>
    <row r="745" spans="1:11" ht="15" customHeight="1" x14ac:dyDescent="0.25">
      <c r="A745" s="22" t="s">
        <v>647</v>
      </c>
      <c r="B745" s="23" t="s">
        <v>8</v>
      </c>
      <c r="C745" s="23" t="s">
        <v>9</v>
      </c>
      <c r="D745" s="24" t="s">
        <v>64</v>
      </c>
      <c r="E745" s="24" t="s">
        <v>42</v>
      </c>
      <c r="F745" s="18"/>
      <c r="G745" s="19"/>
      <c r="H745" s="20"/>
      <c r="I745" s="21"/>
      <c r="J745" s="20"/>
      <c r="K745" s="20"/>
    </row>
    <row r="746" spans="1:11" ht="15" customHeight="1" x14ac:dyDescent="0.25">
      <c r="A746" s="14" t="s">
        <v>648</v>
      </c>
      <c r="B746" s="15" t="s">
        <v>6</v>
      </c>
      <c r="C746" s="16"/>
      <c r="D746" s="17"/>
      <c r="E746" s="17"/>
      <c r="F746" s="18"/>
      <c r="G746" s="19"/>
      <c r="H746" s="20"/>
      <c r="I746" s="21"/>
      <c r="J746" s="20"/>
      <c r="K746" s="20"/>
    </row>
    <row r="747" spans="1:11" ht="15" customHeight="1" x14ac:dyDescent="0.25">
      <c r="A747" s="22" t="s">
        <v>649</v>
      </c>
      <c r="B747" s="23" t="s">
        <v>8</v>
      </c>
      <c r="C747" s="23" t="s">
        <v>9</v>
      </c>
      <c r="D747" s="24" t="s">
        <v>30</v>
      </c>
      <c r="E747" s="24" t="s">
        <v>21</v>
      </c>
      <c r="F747" s="18"/>
      <c r="G747" s="19"/>
      <c r="H747" s="20"/>
      <c r="I747" s="21"/>
      <c r="J747" s="20"/>
      <c r="K747" s="20"/>
    </row>
    <row r="748" spans="1:11" ht="15" customHeight="1" x14ac:dyDescent="0.25">
      <c r="A748" s="14" t="s">
        <v>650</v>
      </c>
      <c r="B748" s="15" t="s">
        <v>6</v>
      </c>
      <c r="C748" s="16"/>
      <c r="D748" s="17"/>
      <c r="E748" s="17"/>
      <c r="F748" s="18"/>
      <c r="G748" s="19"/>
      <c r="H748" s="20"/>
      <c r="I748" s="21"/>
      <c r="J748" s="20"/>
      <c r="K748" s="20"/>
    </row>
    <row r="749" spans="1:11" ht="15" customHeight="1" x14ac:dyDescent="0.25">
      <c r="A749" s="22" t="s">
        <v>651</v>
      </c>
      <c r="B749" s="23" t="s">
        <v>8</v>
      </c>
      <c r="C749" s="23" t="s">
        <v>9</v>
      </c>
      <c r="D749" s="24" t="s">
        <v>20</v>
      </c>
      <c r="E749" s="24" t="s">
        <v>42</v>
      </c>
      <c r="F749" s="18"/>
      <c r="G749" s="19"/>
      <c r="H749" s="20"/>
      <c r="I749" s="21"/>
      <c r="J749" s="20"/>
      <c r="K749" s="20"/>
    </row>
    <row r="750" spans="1:11" ht="15" customHeight="1" x14ac:dyDescent="0.25">
      <c r="A750" s="14" t="s">
        <v>652</v>
      </c>
      <c r="B750" s="15" t="s">
        <v>6</v>
      </c>
      <c r="C750" s="16"/>
      <c r="D750" s="17"/>
      <c r="E750" s="17"/>
      <c r="F750" s="18">
        <v>5.7763</v>
      </c>
      <c r="G750" s="19">
        <v>9.2917000000000005</v>
      </c>
      <c r="H750" s="20">
        <v>0.95250000000000001</v>
      </c>
      <c r="I750" s="21">
        <v>311.05720000000002</v>
      </c>
      <c r="J750" s="20">
        <v>539.97619999999995</v>
      </c>
      <c r="K750" s="20">
        <v>61.781700000000001</v>
      </c>
    </row>
    <row r="751" spans="1:11" ht="15" customHeight="1" x14ac:dyDescent="0.25">
      <c r="A751" s="22" t="s">
        <v>653</v>
      </c>
      <c r="B751" s="23" t="s">
        <v>8</v>
      </c>
      <c r="C751" s="23" t="s">
        <v>9</v>
      </c>
      <c r="D751" s="24" t="s">
        <v>30</v>
      </c>
      <c r="E751" s="24" t="s">
        <v>24</v>
      </c>
      <c r="F751" s="18">
        <v>5.7763</v>
      </c>
      <c r="G751" s="19">
        <v>9.2917000000000005</v>
      </c>
      <c r="H751" s="20">
        <v>0.95250000000000001</v>
      </c>
      <c r="I751" s="21">
        <v>311.05720000000002</v>
      </c>
      <c r="J751" s="20">
        <v>539.97619999999995</v>
      </c>
      <c r="K751" s="20">
        <v>61.781700000000001</v>
      </c>
    </row>
    <row r="752" spans="1:11" ht="15" customHeight="1" x14ac:dyDescent="0.25">
      <c r="A752" s="14" t="s">
        <v>654</v>
      </c>
      <c r="B752" s="15" t="s">
        <v>6</v>
      </c>
      <c r="C752" s="16"/>
      <c r="D752" s="17"/>
      <c r="E752" s="17"/>
      <c r="F752" s="18">
        <v>55.783799999999999</v>
      </c>
      <c r="G752" s="19">
        <v>57.806899999999999</v>
      </c>
      <c r="H752" s="20">
        <v>19.850100000000001</v>
      </c>
      <c r="I752" s="21">
        <v>3648.0401999999999</v>
      </c>
      <c r="J752" s="20">
        <v>4041.2568000000001</v>
      </c>
      <c r="K752" s="20">
        <v>1253.7541000000001</v>
      </c>
    </row>
    <row r="753" spans="1:11" ht="15" customHeight="1" x14ac:dyDescent="0.25">
      <c r="A753" s="22" t="s">
        <v>655</v>
      </c>
      <c r="B753" s="23" t="s">
        <v>8</v>
      </c>
      <c r="C753" s="23" t="s">
        <v>9</v>
      </c>
      <c r="D753" s="24" t="s">
        <v>20</v>
      </c>
      <c r="E753" s="24" t="s">
        <v>21</v>
      </c>
      <c r="F753" s="18">
        <v>55.7286</v>
      </c>
      <c r="G753" s="19">
        <v>53.311300000000003</v>
      </c>
      <c r="H753" s="20">
        <v>19.850100000000001</v>
      </c>
      <c r="I753" s="21">
        <v>3644.6801999999998</v>
      </c>
      <c r="J753" s="20">
        <v>3675.9913999999999</v>
      </c>
      <c r="K753" s="20">
        <v>1253.7541000000001</v>
      </c>
    </row>
    <row r="754" spans="1:11" ht="15" customHeight="1" x14ac:dyDescent="0.25">
      <c r="A754" s="22" t="s">
        <v>656</v>
      </c>
      <c r="B754" s="23" t="s">
        <v>8</v>
      </c>
      <c r="C754" s="23" t="s">
        <v>9</v>
      </c>
      <c r="D754" s="24" t="s">
        <v>30</v>
      </c>
      <c r="E754" s="24" t="s">
        <v>24</v>
      </c>
      <c r="F754" s="18"/>
      <c r="G754" s="19">
        <v>4.4955999999999996</v>
      </c>
      <c r="H754" s="20"/>
      <c r="I754" s="21"/>
      <c r="J754" s="20">
        <v>365.2654</v>
      </c>
      <c r="K754" s="20"/>
    </row>
    <row r="755" spans="1:11" ht="15" customHeight="1" x14ac:dyDescent="0.25">
      <c r="A755" s="22" t="s">
        <v>657</v>
      </c>
      <c r="B755" s="23" t="s">
        <v>8</v>
      </c>
      <c r="C755" s="23" t="s">
        <v>9</v>
      </c>
      <c r="D755" s="24" t="s">
        <v>20</v>
      </c>
      <c r="E755" s="24" t="s">
        <v>103</v>
      </c>
      <c r="F755" s="18">
        <v>5.5199999999999999E-2</v>
      </c>
      <c r="G755" s="19"/>
      <c r="H755" s="20"/>
      <c r="I755" s="21">
        <v>3.36</v>
      </c>
      <c r="J755" s="20"/>
      <c r="K755" s="20"/>
    </row>
    <row r="756" spans="1:11" ht="15" customHeight="1" x14ac:dyDescent="0.25">
      <c r="A756" s="14" t="s">
        <v>658</v>
      </c>
      <c r="B756" s="15" t="s">
        <v>6</v>
      </c>
      <c r="C756" s="16"/>
      <c r="D756" s="17"/>
      <c r="E756" s="17"/>
      <c r="F756" s="18">
        <v>396.2448</v>
      </c>
      <c r="G756" s="19">
        <v>253.72479999999999</v>
      </c>
      <c r="H756" s="20">
        <v>99.128500000000003</v>
      </c>
      <c r="I756" s="21">
        <v>23444.316599999998</v>
      </c>
      <c r="J756" s="20">
        <v>14396.6903</v>
      </c>
      <c r="K756" s="20">
        <v>5148.9142000000002</v>
      </c>
    </row>
    <row r="757" spans="1:11" ht="15" customHeight="1" x14ac:dyDescent="0.25">
      <c r="A757" s="22" t="s">
        <v>659</v>
      </c>
      <c r="B757" s="23" t="s">
        <v>8</v>
      </c>
      <c r="C757" s="23" t="s">
        <v>9</v>
      </c>
      <c r="D757" s="24" t="s">
        <v>20</v>
      </c>
      <c r="E757" s="24" t="s">
        <v>24</v>
      </c>
      <c r="F757" s="18">
        <v>5.3959999999999999</v>
      </c>
      <c r="G757" s="19">
        <v>7.0095999999999998</v>
      </c>
      <c r="H757" s="20">
        <v>3.0608</v>
      </c>
      <c r="I757" s="21">
        <v>290.08819999999997</v>
      </c>
      <c r="J757" s="20">
        <v>393.84969999999998</v>
      </c>
      <c r="K757" s="20">
        <v>158.0343</v>
      </c>
    </row>
    <row r="758" spans="1:11" ht="15" customHeight="1" x14ac:dyDescent="0.25">
      <c r="A758" s="22" t="s">
        <v>660</v>
      </c>
      <c r="B758" s="23" t="s">
        <v>8</v>
      </c>
      <c r="C758" s="23" t="s">
        <v>9</v>
      </c>
      <c r="D758" s="24" t="s">
        <v>30</v>
      </c>
      <c r="E758" s="24" t="s">
        <v>661</v>
      </c>
      <c r="F758" s="18">
        <v>39.775100000000002</v>
      </c>
      <c r="G758" s="19">
        <v>29.160399999999999</v>
      </c>
      <c r="H758" s="20">
        <v>6.0876999999999999</v>
      </c>
      <c r="I758" s="21">
        <v>2342.4566</v>
      </c>
      <c r="J758" s="20">
        <v>1534.7882999999999</v>
      </c>
      <c r="K758" s="20">
        <v>287.5865</v>
      </c>
    </row>
    <row r="759" spans="1:11" ht="15" customHeight="1" x14ac:dyDescent="0.25">
      <c r="A759" s="22" t="s">
        <v>662</v>
      </c>
      <c r="B759" s="23" t="s">
        <v>8</v>
      </c>
      <c r="C759" s="23" t="s">
        <v>9</v>
      </c>
      <c r="D759" s="24" t="s">
        <v>20</v>
      </c>
      <c r="E759" s="24" t="s">
        <v>42</v>
      </c>
      <c r="F759" s="18">
        <v>73.361099999999993</v>
      </c>
      <c r="G759" s="19">
        <v>57.603700000000003</v>
      </c>
      <c r="H759" s="20">
        <v>12.2355</v>
      </c>
      <c r="I759" s="21">
        <v>4307.2969000000003</v>
      </c>
      <c r="J759" s="20">
        <v>3235.6705999999999</v>
      </c>
      <c r="K759" s="20">
        <v>650.06870000000004</v>
      </c>
    </row>
    <row r="760" spans="1:11" ht="15" customHeight="1" x14ac:dyDescent="0.25">
      <c r="A760" s="22" t="s">
        <v>663</v>
      </c>
      <c r="B760" s="23" t="s">
        <v>8</v>
      </c>
      <c r="C760" s="23" t="s">
        <v>9</v>
      </c>
      <c r="D760" s="24" t="s">
        <v>20</v>
      </c>
      <c r="E760" s="24" t="s">
        <v>42</v>
      </c>
      <c r="F760" s="18">
        <v>7.6637000000000004</v>
      </c>
      <c r="G760" s="19">
        <v>5.7187999999999999</v>
      </c>
      <c r="H760" s="20">
        <v>3.4293999999999998</v>
      </c>
      <c r="I760" s="21">
        <v>412.75630000000001</v>
      </c>
      <c r="J760" s="20">
        <v>314.68810000000002</v>
      </c>
      <c r="K760" s="20">
        <v>185.42320000000001</v>
      </c>
    </row>
    <row r="761" spans="1:11" ht="15" customHeight="1" x14ac:dyDescent="0.25">
      <c r="A761" s="22" t="s">
        <v>664</v>
      </c>
      <c r="B761" s="23" t="s">
        <v>8</v>
      </c>
      <c r="C761" s="23" t="s">
        <v>9</v>
      </c>
      <c r="D761" s="24" t="s">
        <v>20</v>
      </c>
      <c r="E761" s="24" t="s">
        <v>42</v>
      </c>
      <c r="F761" s="18">
        <v>97.800700000000006</v>
      </c>
      <c r="G761" s="19">
        <v>61.680799999999998</v>
      </c>
      <c r="H761" s="20">
        <v>23.825800000000001</v>
      </c>
      <c r="I761" s="21">
        <v>4426.3535000000002</v>
      </c>
      <c r="J761" s="20">
        <v>2861.6763999999998</v>
      </c>
      <c r="K761" s="20">
        <v>975.65369999999996</v>
      </c>
    </row>
    <row r="762" spans="1:11" ht="15" customHeight="1" x14ac:dyDescent="0.25">
      <c r="A762" s="22" t="s">
        <v>665</v>
      </c>
      <c r="B762" s="23" t="s">
        <v>8</v>
      </c>
      <c r="C762" s="23" t="s">
        <v>9</v>
      </c>
      <c r="D762" s="24" t="s">
        <v>20</v>
      </c>
      <c r="E762" s="24" t="s">
        <v>17</v>
      </c>
      <c r="F762" s="18">
        <v>137.74010000000001</v>
      </c>
      <c r="G762" s="19">
        <v>71.2029</v>
      </c>
      <c r="H762" s="20">
        <v>36.735799999999998</v>
      </c>
      <c r="I762" s="21">
        <v>9592.0316999999995</v>
      </c>
      <c r="J762" s="20">
        <v>4713.7775000000001</v>
      </c>
      <c r="K762" s="20">
        <v>2155.8667</v>
      </c>
    </row>
    <row r="763" spans="1:11" ht="15" customHeight="1" x14ac:dyDescent="0.25">
      <c r="A763" s="22" t="s">
        <v>666</v>
      </c>
      <c r="B763" s="23" t="s">
        <v>8</v>
      </c>
      <c r="C763" s="23" t="s">
        <v>9</v>
      </c>
      <c r="D763" s="24" t="s">
        <v>30</v>
      </c>
      <c r="E763" s="24" t="s">
        <v>17</v>
      </c>
      <c r="F763" s="18">
        <v>34.508099999999999</v>
      </c>
      <c r="G763" s="19">
        <v>21.348800000000001</v>
      </c>
      <c r="H763" s="20">
        <v>13.753299999999999</v>
      </c>
      <c r="I763" s="21">
        <v>2073.3334</v>
      </c>
      <c r="J763" s="20">
        <v>1342.2397000000001</v>
      </c>
      <c r="K763" s="20">
        <v>736.28099999999995</v>
      </c>
    </row>
    <row r="764" spans="1:11" ht="15" customHeight="1" x14ac:dyDescent="0.25">
      <c r="A764" s="14" t="s">
        <v>667</v>
      </c>
      <c r="B764" s="15" t="s">
        <v>6</v>
      </c>
      <c r="C764" s="16"/>
      <c r="D764" s="17"/>
      <c r="E764" s="17"/>
      <c r="F764" s="18"/>
      <c r="G764" s="19"/>
      <c r="H764" s="20"/>
      <c r="I764" s="21"/>
      <c r="J764" s="20"/>
      <c r="K764" s="20"/>
    </row>
    <row r="765" spans="1:11" ht="15" customHeight="1" x14ac:dyDescent="0.25">
      <c r="A765" s="22" t="s">
        <v>668</v>
      </c>
      <c r="B765" s="23" t="s">
        <v>8</v>
      </c>
      <c r="C765" s="23" t="s">
        <v>9</v>
      </c>
      <c r="D765" s="24" t="s">
        <v>20</v>
      </c>
      <c r="E765" s="24" t="s">
        <v>42</v>
      </c>
      <c r="F765" s="18"/>
      <c r="G765" s="19"/>
      <c r="H765" s="20"/>
      <c r="I765" s="21"/>
      <c r="J765" s="20"/>
      <c r="K765" s="20"/>
    </row>
    <row r="766" spans="1:11" ht="15" customHeight="1" x14ac:dyDescent="0.25">
      <c r="A766" s="14" t="s">
        <v>669</v>
      </c>
      <c r="B766" s="15" t="s">
        <v>6</v>
      </c>
      <c r="C766" s="16"/>
      <c r="D766" s="17"/>
      <c r="E766" s="17"/>
      <c r="F766" s="18"/>
      <c r="G766" s="19">
        <v>3.1300000000000001E-2</v>
      </c>
      <c r="H766" s="20"/>
      <c r="I766" s="21"/>
      <c r="J766" s="20">
        <v>1.2579</v>
      </c>
      <c r="K766" s="20"/>
    </row>
    <row r="767" spans="1:11" ht="15" customHeight="1" x14ac:dyDescent="0.25">
      <c r="A767" s="22" t="s">
        <v>670</v>
      </c>
      <c r="B767" s="23" t="s">
        <v>8</v>
      </c>
      <c r="C767" s="23" t="s">
        <v>9</v>
      </c>
      <c r="D767" s="24" t="s">
        <v>20</v>
      </c>
      <c r="E767" s="24" t="s">
        <v>42</v>
      </c>
      <c r="F767" s="18"/>
      <c r="G767" s="19">
        <v>3.1300000000000001E-2</v>
      </c>
      <c r="H767" s="20"/>
      <c r="I767" s="21"/>
      <c r="J767" s="20">
        <v>1.2579</v>
      </c>
      <c r="K767" s="20"/>
    </row>
    <row r="768" spans="1:11" ht="14.25" customHeight="1" x14ac:dyDescent="0.25">
      <c r="A768" s="25" t="s">
        <v>806</v>
      </c>
      <c r="B768" s="4" t="s">
        <v>5</v>
      </c>
      <c r="C768" s="4"/>
      <c r="D768" s="5"/>
      <c r="E768" s="5"/>
      <c r="F768" s="10">
        <v>0.1459</v>
      </c>
      <c r="G768" s="11">
        <v>0.29930000000000001</v>
      </c>
      <c r="H768" s="12">
        <v>5.04E-2</v>
      </c>
      <c r="I768" s="13">
        <v>2.8885999999999998</v>
      </c>
      <c r="J768" s="12">
        <v>6.5743</v>
      </c>
      <c r="K768" s="12">
        <v>1.1331</v>
      </c>
    </row>
    <row r="769" spans="1:11" ht="15" customHeight="1" x14ac:dyDescent="0.25">
      <c r="A769" s="14" t="s">
        <v>671</v>
      </c>
      <c r="B769" s="15" t="s">
        <v>6</v>
      </c>
      <c r="C769" s="16"/>
      <c r="D769" s="17"/>
      <c r="E769" s="17"/>
      <c r="F769" s="18">
        <v>0.1459</v>
      </c>
      <c r="G769" s="19">
        <v>0.29930000000000001</v>
      </c>
      <c r="H769" s="20">
        <v>5.04E-2</v>
      </c>
      <c r="I769" s="21">
        <v>2.8885999999999998</v>
      </c>
      <c r="J769" s="20">
        <v>6.5743</v>
      </c>
      <c r="K769" s="20">
        <v>1.1331</v>
      </c>
    </row>
    <row r="770" spans="1:11" ht="15" customHeight="1" x14ac:dyDescent="0.25">
      <c r="A770" s="22" t="s">
        <v>672</v>
      </c>
      <c r="B770" s="23" t="s">
        <v>8</v>
      </c>
      <c r="C770" s="23" t="s">
        <v>9</v>
      </c>
      <c r="D770" s="24" t="s">
        <v>64</v>
      </c>
      <c r="E770" s="24" t="s">
        <v>99</v>
      </c>
      <c r="F770" s="18">
        <v>7.7399999999999997E-2</v>
      </c>
      <c r="G770" s="19">
        <v>0.20100000000000001</v>
      </c>
      <c r="H770" s="20">
        <v>1.1599999999999999E-2</v>
      </c>
      <c r="I770" s="21">
        <v>1.2943</v>
      </c>
      <c r="J770" s="20">
        <v>3.8485999999999998</v>
      </c>
      <c r="K770" s="20">
        <v>0.1971</v>
      </c>
    </row>
    <row r="771" spans="1:11" ht="15" customHeight="1" x14ac:dyDescent="0.25">
      <c r="A771" s="22" t="s">
        <v>673</v>
      </c>
      <c r="B771" s="23" t="s">
        <v>8</v>
      </c>
      <c r="C771" s="23" t="s">
        <v>9</v>
      </c>
      <c r="D771" s="24" t="s">
        <v>20</v>
      </c>
      <c r="E771" s="24" t="s">
        <v>42</v>
      </c>
      <c r="F771" s="18">
        <v>6.8400000000000002E-2</v>
      </c>
      <c r="G771" s="19">
        <v>9.8500000000000004E-2</v>
      </c>
      <c r="H771" s="20">
        <v>3.8800000000000001E-2</v>
      </c>
      <c r="I771" s="21">
        <v>1.5943000000000001</v>
      </c>
      <c r="J771" s="20">
        <v>2.7256999999999998</v>
      </c>
      <c r="K771" s="20">
        <v>0.93600000000000005</v>
      </c>
    </row>
    <row r="772" spans="1:11" ht="14.25" customHeight="1" x14ac:dyDescent="0.25">
      <c r="A772" s="25" t="s">
        <v>807</v>
      </c>
      <c r="B772" s="4" t="s">
        <v>5</v>
      </c>
      <c r="C772" s="4"/>
      <c r="D772" s="5"/>
      <c r="E772" s="5"/>
      <c r="F772" s="10">
        <v>5.2523</v>
      </c>
      <c r="G772" s="11"/>
      <c r="H772" s="12"/>
      <c r="I772" s="13">
        <v>269.2595</v>
      </c>
      <c r="J772" s="12"/>
      <c r="K772" s="12"/>
    </row>
    <row r="773" spans="1:11" ht="15" customHeight="1" x14ac:dyDescent="0.25">
      <c r="A773" s="14" t="s">
        <v>674</v>
      </c>
      <c r="B773" s="15" t="s">
        <v>6</v>
      </c>
      <c r="C773" s="16"/>
      <c r="D773" s="17"/>
      <c r="E773" s="17"/>
      <c r="F773" s="18">
        <v>5.2523</v>
      </c>
      <c r="G773" s="19"/>
      <c r="H773" s="20"/>
      <c r="I773" s="21">
        <v>269.2595</v>
      </c>
      <c r="J773" s="20"/>
      <c r="K773" s="20"/>
    </row>
    <row r="774" spans="1:11" ht="15" customHeight="1" x14ac:dyDescent="0.25">
      <c r="A774" s="22" t="s">
        <v>675</v>
      </c>
      <c r="B774" s="23" t="s">
        <v>8</v>
      </c>
      <c r="C774" s="23" t="s">
        <v>9</v>
      </c>
      <c r="D774" s="24" t="s">
        <v>20</v>
      </c>
      <c r="E774" s="24" t="s">
        <v>21</v>
      </c>
      <c r="F774" s="18">
        <v>1.2095</v>
      </c>
      <c r="G774" s="19"/>
      <c r="H774" s="20"/>
      <c r="I774" s="21">
        <v>58.601599999999998</v>
      </c>
      <c r="J774" s="20"/>
      <c r="K774" s="20"/>
    </row>
    <row r="775" spans="1:11" ht="15" customHeight="1" x14ac:dyDescent="0.25">
      <c r="A775" s="22" t="s">
        <v>676</v>
      </c>
      <c r="B775" s="23" t="s">
        <v>8</v>
      </c>
      <c r="C775" s="23" t="s">
        <v>9</v>
      </c>
      <c r="D775" s="24" t="s">
        <v>20</v>
      </c>
      <c r="E775" s="24" t="s">
        <v>21</v>
      </c>
      <c r="F775" s="18"/>
      <c r="G775" s="19"/>
      <c r="H775" s="20"/>
      <c r="I775" s="21"/>
      <c r="J775" s="20"/>
      <c r="K775" s="20"/>
    </row>
    <row r="776" spans="1:11" ht="15" customHeight="1" x14ac:dyDescent="0.25">
      <c r="A776" s="22" t="s">
        <v>677</v>
      </c>
      <c r="B776" s="23" t="s">
        <v>8</v>
      </c>
      <c r="C776" s="23" t="s">
        <v>9</v>
      </c>
      <c r="D776" s="24" t="s">
        <v>20</v>
      </c>
      <c r="E776" s="24" t="s">
        <v>24</v>
      </c>
      <c r="F776" s="18">
        <v>3.4049</v>
      </c>
      <c r="G776" s="19"/>
      <c r="H776" s="20"/>
      <c r="I776" s="21">
        <v>181.5942</v>
      </c>
      <c r="J776" s="20"/>
      <c r="K776" s="20"/>
    </row>
    <row r="777" spans="1:11" ht="15" customHeight="1" x14ac:dyDescent="0.25">
      <c r="A777" s="22" t="s">
        <v>678</v>
      </c>
      <c r="B777" s="23" t="s">
        <v>8</v>
      </c>
      <c r="C777" s="23" t="s">
        <v>9</v>
      </c>
      <c r="D777" s="24" t="s">
        <v>20</v>
      </c>
      <c r="E777" s="24" t="s">
        <v>42</v>
      </c>
      <c r="F777" s="18">
        <v>0.27539999999999998</v>
      </c>
      <c r="G777" s="19"/>
      <c r="H777" s="20"/>
      <c r="I777" s="21">
        <v>11.6632</v>
      </c>
      <c r="J777" s="20"/>
      <c r="K777" s="20"/>
    </row>
    <row r="778" spans="1:11" ht="15" customHeight="1" x14ac:dyDescent="0.25">
      <c r="A778" s="22" t="s">
        <v>679</v>
      </c>
      <c r="B778" s="23" t="s">
        <v>8</v>
      </c>
      <c r="C778" s="23" t="s">
        <v>9</v>
      </c>
      <c r="D778" s="24" t="s">
        <v>20</v>
      </c>
      <c r="E778" s="24" t="s">
        <v>42</v>
      </c>
      <c r="F778" s="18">
        <v>0.36249999999999999</v>
      </c>
      <c r="G778" s="19"/>
      <c r="H778" s="20"/>
      <c r="I778" s="21">
        <v>17.400500000000001</v>
      </c>
      <c r="J778" s="20"/>
      <c r="K778" s="20"/>
    </row>
    <row r="779" spans="1:11" ht="14.25" customHeight="1" x14ac:dyDescent="0.25">
      <c r="A779" s="25" t="s">
        <v>808</v>
      </c>
      <c r="B779" s="4" t="s">
        <v>5</v>
      </c>
      <c r="C779" s="4"/>
      <c r="D779" s="5"/>
      <c r="E779" s="5"/>
      <c r="F779" s="10"/>
      <c r="G779" s="11"/>
      <c r="H779" s="12"/>
      <c r="I779" s="13"/>
      <c r="J779" s="12"/>
      <c r="K779" s="12"/>
    </row>
    <row r="780" spans="1:11" ht="15" customHeight="1" x14ac:dyDescent="0.25">
      <c r="A780" s="14" t="s">
        <v>680</v>
      </c>
      <c r="B780" s="15" t="s">
        <v>6</v>
      </c>
      <c r="C780" s="16"/>
      <c r="D780" s="17"/>
      <c r="E780" s="17"/>
      <c r="F780" s="18"/>
      <c r="G780" s="19"/>
      <c r="H780" s="20"/>
      <c r="I780" s="21"/>
      <c r="J780" s="20"/>
      <c r="K780" s="20"/>
    </row>
    <row r="781" spans="1:11" ht="15" customHeight="1" x14ac:dyDescent="0.25">
      <c r="A781" s="22" t="s">
        <v>681</v>
      </c>
      <c r="B781" s="23" t="s">
        <v>8</v>
      </c>
      <c r="C781" s="23" t="s">
        <v>9</v>
      </c>
      <c r="D781" s="24" t="s">
        <v>10</v>
      </c>
      <c r="E781" s="24" t="s">
        <v>11</v>
      </c>
      <c r="F781" s="18"/>
      <c r="G781" s="19"/>
      <c r="H781" s="20"/>
      <c r="I781" s="21"/>
      <c r="J781" s="20"/>
      <c r="K781" s="20"/>
    </row>
    <row r="782" spans="1:11" ht="15" customHeight="1" x14ac:dyDescent="0.25">
      <c r="A782" s="22" t="s">
        <v>682</v>
      </c>
      <c r="B782" s="23" t="s">
        <v>8</v>
      </c>
      <c r="C782" s="23" t="s">
        <v>9</v>
      </c>
      <c r="D782" s="24" t="s">
        <v>10</v>
      </c>
      <c r="E782" s="24" t="s">
        <v>42</v>
      </c>
      <c r="F782" s="18"/>
      <c r="G782" s="19"/>
      <c r="H782" s="20"/>
      <c r="I782" s="21"/>
      <c r="J782" s="20"/>
      <c r="K782" s="20"/>
    </row>
    <row r="783" spans="1:11" ht="14.25" customHeight="1" x14ac:dyDescent="0.25">
      <c r="A783" s="25" t="s">
        <v>809</v>
      </c>
      <c r="B783" s="4" t="s">
        <v>5</v>
      </c>
      <c r="C783" s="4"/>
      <c r="D783" s="5"/>
      <c r="E783" s="5"/>
      <c r="F783" s="10"/>
      <c r="G783" s="11"/>
      <c r="H783" s="12">
        <v>3.1633</v>
      </c>
      <c r="I783" s="13"/>
      <c r="J783" s="12"/>
      <c r="K783" s="12">
        <v>171.71680000000001</v>
      </c>
    </row>
    <row r="784" spans="1:11" ht="15" customHeight="1" x14ac:dyDescent="0.25">
      <c r="A784" s="14" t="s">
        <v>683</v>
      </c>
      <c r="B784" s="15" t="s">
        <v>6</v>
      </c>
      <c r="C784" s="16"/>
      <c r="D784" s="17"/>
      <c r="E784" s="17"/>
      <c r="F784" s="18"/>
      <c r="G784" s="19"/>
      <c r="H784" s="20">
        <v>3.1633</v>
      </c>
      <c r="I784" s="21"/>
      <c r="J784" s="20"/>
      <c r="K784" s="20">
        <v>171.71680000000001</v>
      </c>
    </row>
    <row r="785" spans="1:11" ht="15" customHeight="1" x14ac:dyDescent="0.25">
      <c r="A785" s="22" t="s">
        <v>827</v>
      </c>
      <c r="B785" s="23" t="s">
        <v>8</v>
      </c>
      <c r="C785" s="23" t="s">
        <v>9</v>
      </c>
      <c r="D785" s="24" t="s">
        <v>20</v>
      </c>
      <c r="E785" s="24" t="s">
        <v>24</v>
      </c>
      <c r="F785" s="18"/>
      <c r="G785" s="19"/>
      <c r="H785" s="20">
        <v>3.1633</v>
      </c>
      <c r="I785" s="21"/>
      <c r="J785" s="20"/>
      <c r="K785" s="20">
        <v>171.71680000000001</v>
      </c>
    </row>
    <row r="786" spans="1:11" ht="14.25" customHeight="1" x14ac:dyDescent="0.25">
      <c r="A786" s="25" t="s">
        <v>810</v>
      </c>
      <c r="B786" s="4" t="s">
        <v>5</v>
      </c>
      <c r="C786" s="4"/>
      <c r="D786" s="5"/>
      <c r="E786" s="5"/>
      <c r="F786" s="10">
        <v>55.096499999999999</v>
      </c>
      <c r="G786" s="11">
        <v>43.348100000000002</v>
      </c>
      <c r="H786" s="12">
        <v>24.53</v>
      </c>
      <c r="I786" s="13">
        <v>2000.4357</v>
      </c>
      <c r="J786" s="12">
        <v>1647.0114000000001</v>
      </c>
      <c r="K786" s="12">
        <v>929.35159999999996</v>
      </c>
    </row>
    <row r="787" spans="1:11" ht="15" customHeight="1" x14ac:dyDescent="0.25">
      <c r="A787" s="14" t="s">
        <v>684</v>
      </c>
      <c r="B787" s="15" t="s">
        <v>6</v>
      </c>
      <c r="C787" s="16"/>
      <c r="D787" s="17"/>
      <c r="E787" s="17"/>
      <c r="F787" s="18">
        <v>54.988799999999998</v>
      </c>
      <c r="G787" s="19">
        <v>43.223300000000002</v>
      </c>
      <c r="H787" s="20">
        <v>24.458100000000002</v>
      </c>
      <c r="I787" s="21">
        <v>1994.8981000000001</v>
      </c>
      <c r="J787" s="20">
        <v>1640.5911000000001</v>
      </c>
      <c r="K787" s="20">
        <v>925.65359999999998</v>
      </c>
    </row>
    <row r="788" spans="1:11" ht="15" customHeight="1" x14ac:dyDescent="0.25">
      <c r="A788" s="22" t="s">
        <v>685</v>
      </c>
      <c r="B788" s="23" t="s">
        <v>8</v>
      </c>
      <c r="C788" s="23" t="s">
        <v>9</v>
      </c>
      <c r="D788" s="24" t="s">
        <v>20</v>
      </c>
      <c r="E788" s="24" t="s">
        <v>24</v>
      </c>
      <c r="F788" s="18"/>
      <c r="G788" s="19">
        <v>10.313499999999999</v>
      </c>
      <c r="H788" s="20">
        <v>10.635400000000001</v>
      </c>
      <c r="I788" s="21"/>
      <c r="J788" s="20">
        <v>475.9119</v>
      </c>
      <c r="K788" s="20">
        <v>461.80500000000001</v>
      </c>
    </row>
    <row r="789" spans="1:11" ht="15" customHeight="1" x14ac:dyDescent="0.25">
      <c r="A789" s="22" t="s">
        <v>686</v>
      </c>
      <c r="B789" s="23" t="s">
        <v>8</v>
      </c>
      <c r="C789" s="23" t="s">
        <v>9</v>
      </c>
      <c r="D789" s="24" t="s">
        <v>20</v>
      </c>
      <c r="E789" s="24" t="s">
        <v>42</v>
      </c>
      <c r="F789" s="18">
        <v>54.988799999999998</v>
      </c>
      <c r="G789" s="19">
        <v>32.909799999999997</v>
      </c>
      <c r="H789" s="20">
        <v>13.822900000000001</v>
      </c>
      <c r="I789" s="21">
        <v>1994.8981000000001</v>
      </c>
      <c r="J789" s="20">
        <v>1164.6792</v>
      </c>
      <c r="K789" s="20">
        <v>463.84859999999998</v>
      </c>
    </row>
    <row r="790" spans="1:11" ht="15" customHeight="1" x14ac:dyDescent="0.25">
      <c r="A790" s="14" t="s">
        <v>687</v>
      </c>
      <c r="B790" s="15" t="s">
        <v>6</v>
      </c>
      <c r="C790" s="16"/>
      <c r="D790" s="17"/>
      <c r="E790" s="17"/>
      <c r="F790" s="18">
        <v>0.1076</v>
      </c>
      <c r="G790" s="19">
        <v>0.1249</v>
      </c>
      <c r="H790" s="20">
        <v>7.1900000000000006E-2</v>
      </c>
      <c r="I790" s="21">
        <v>5.5374999999999996</v>
      </c>
      <c r="J790" s="20">
        <v>6.4203000000000001</v>
      </c>
      <c r="K790" s="20">
        <v>3.698</v>
      </c>
    </row>
    <row r="791" spans="1:11" ht="15" customHeight="1" x14ac:dyDescent="0.25">
      <c r="A791" s="22" t="s">
        <v>688</v>
      </c>
      <c r="B791" s="23" t="s">
        <v>8</v>
      </c>
      <c r="C791" s="23" t="s">
        <v>9</v>
      </c>
      <c r="D791" s="24" t="s">
        <v>20</v>
      </c>
      <c r="E791" s="24" t="s">
        <v>42</v>
      </c>
      <c r="F791" s="18">
        <v>0.1076</v>
      </c>
      <c r="G791" s="19">
        <v>0.1249</v>
      </c>
      <c r="H791" s="20">
        <v>7.1900000000000006E-2</v>
      </c>
      <c r="I791" s="21">
        <v>5.5374999999999996</v>
      </c>
      <c r="J791" s="20">
        <v>6.4203000000000001</v>
      </c>
      <c r="K791" s="20">
        <v>3.698</v>
      </c>
    </row>
    <row r="792" spans="1:11" ht="14.25" customHeight="1" x14ac:dyDescent="0.25">
      <c r="A792" s="25" t="s">
        <v>811</v>
      </c>
      <c r="B792" s="4" t="s">
        <v>5</v>
      </c>
      <c r="C792" s="4"/>
      <c r="D792" s="5"/>
      <c r="E792" s="5"/>
      <c r="F792" s="10">
        <v>34.924300000000002</v>
      </c>
      <c r="G792" s="11">
        <v>13.6989</v>
      </c>
      <c r="H792" s="12">
        <v>2.1793999999999998</v>
      </c>
      <c r="I792" s="13">
        <v>2361.7521000000002</v>
      </c>
      <c r="J792" s="12">
        <v>920.36559999999997</v>
      </c>
      <c r="K792" s="12">
        <v>151.65029999999999</v>
      </c>
    </row>
    <row r="793" spans="1:11" ht="15" customHeight="1" x14ac:dyDescent="0.25">
      <c r="A793" s="14" t="s">
        <v>689</v>
      </c>
      <c r="B793" s="15" t="s">
        <v>6</v>
      </c>
      <c r="C793" s="16"/>
      <c r="D793" s="17"/>
      <c r="E793" s="17"/>
      <c r="F793" s="18">
        <v>34.924300000000002</v>
      </c>
      <c r="G793" s="19">
        <v>13.6989</v>
      </c>
      <c r="H793" s="20">
        <v>2.1793999999999998</v>
      </c>
      <c r="I793" s="21">
        <v>2361.7521000000002</v>
      </c>
      <c r="J793" s="20">
        <v>920.36559999999997</v>
      </c>
      <c r="K793" s="20">
        <v>151.65029999999999</v>
      </c>
    </row>
    <row r="794" spans="1:11" ht="15" customHeight="1" x14ac:dyDescent="0.25">
      <c r="A794" s="22" t="s">
        <v>690</v>
      </c>
      <c r="B794" s="23" t="s">
        <v>8</v>
      </c>
      <c r="C794" s="23" t="s">
        <v>9</v>
      </c>
      <c r="D794" s="24" t="s">
        <v>30</v>
      </c>
      <c r="E794" s="24" t="s">
        <v>99</v>
      </c>
      <c r="F794" s="18">
        <v>0.30349999999999999</v>
      </c>
      <c r="G794" s="19">
        <v>7.7100000000000002E-2</v>
      </c>
      <c r="H794" s="20"/>
      <c r="I794" s="21">
        <v>10.7111</v>
      </c>
      <c r="J794" s="20">
        <v>2.9864999999999999</v>
      </c>
      <c r="K794" s="20"/>
    </row>
    <row r="795" spans="1:11" ht="15" customHeight="1" x14ac:dyDescent="0.25">
      <c r="A795" s="22" t="s">
        <v>691</v>
      </c>
      <c r="B795" s="23" t="s">
        <v>8</v>
      </c>
      <c r="C795" s="23" t="s">
        <v>9</v>
      </c>
      <c r="D795" s="24" t="s">
        <v>30</v>
      </c>
      <c r="E795" s="24" t="s">
        <v>42</v>
      </c>
      <c r="F795" s="18">
        <v>34.620800000000003</v>
      </c>
      <c r="G795" s="19">
        <v>13.6218</v>
      </c>
      <c r="H795" s="20">
        <v>2.1793999999999998</v>
      </c>
      <c r="I795" s="21">
        <v>2351.0409</v>
      </c>
      <c r="J795" s="20">
        <v>917.37919999999997</v>
      </c>
      <c r="K795" s="20">
        <v>151.65029999999999</v>
      </c>
    </row>
    <row r="796" spans="1:11" ht="14.25" customHeight="1" x14ac:dyDescent="0.25">
      <c r="A796" s="25" t="s">
        <v>812</v>
      </c>
      <c r="B796" s="4" t="s">
        <v>5</v>
      </c>
      <c r="C796" s="4"/>
      <c r="D796" s="5"/>
      <c r="E796" s="5"/>
      <c r="F796" s="10"/>
      <c r="G796" s="11"/>
      <c r="H796" s="12">
        <v>1.9407000000000001</v>
      </c>
      <c r="I796" s="13"/>
      <c r="J796" s="12"/>
      <c r="K796" s="12">
        <v>110.1146</v>
      </c>
    </row>
    <row r="797" spans="1:11" ht="15" customHeight="1" x14ac:dyDescent="0.25">
      <c r="A797" s="14" t="s">
        <v>692</v>
      </c>
      <c r="B797" s="15" t="s">
        <v>6</v>
      </c>
      <c r="C797" s="16"/>
      <c r="D797" s="17"/>
      <c r="E797" s="17"/>
      <c r="F797" s="18"/>
      <c r="G797" s="19"/>
      <c r="H797" s="20">
        <v>1.9407000000000001</v>
      </c>
      <c r="I797" s="21"/>
      <c r="J797" s="20"/>
      <c r="K797" s="20">
        <v>110.1146</v>
      </c>
    </row>
    <row r="798" spans="1:11" ht="15" customHeight="1" x14ac:dyDescent="0.25">
      <c r="A798" s="22" t="s">
        <v>693</v>
      </c>
      <c r="B798" s="23" t="s">
        <v>8</v>
      </c>
      <c r="C798" s="23" t="s">
        <v>9</v>
      </c>
      <c r="D798" s="24" t="s">
        <v>10</v>
      </c>
      <c r="E798" s="24" t="s">
        <v>24</v>
      </c>
      <c r="F798" s="18"/>
      <c r="G798" s="19"/>
      <c r="H798" s="20">
        <v>1.9407000000000001</v>
      </c>
      <c r="I798" s="21"/>
      <c r="J798" s="20"/>
      <c r="K798" s="20">
        <v>110.1146</v>
      </c>
    </row>
    <row r="799" spans="1:11" ht="14.25" customHeight="1" x14ac:dyDescent="0.25">
      <c r="A799" s="25" t="s">
        <v>813</v>
      </c>
      <c r="B799" s="4" t="s">
        <v>5</v>
      </c>
      <c r="C799" s="4"/>
      <c r="D799" s="5"/>
      <c r="E799" s="5"/>
      <c r="F799" s="10">
        <v>2.0785999999999998</v>
      </c>
      <c r="G799" s="11">
        <v>7.1199999999999999E-2</v>
      </c>
      <c r="H799" s="12"/>
      <c r="I799" s="13">
        <v>104.04649999999999</v>
      </c>
      <c r="J799" s="12">
        <v>3.8216000000000001</v>
      </c>
      <c r="K799" s="12"/>
    </row>
    <row r="800" spans="1:11" ht="15" customHeight="1" x14ac:dyDescent="0.25">
      <c r="A800" s="14" t="s">
        <v>694</v>
      </c>
      <c r="B800" s="15" t="s">
        <v>6</v>
      </c>
      <c r="C800" s="16"/>
      <c r="D800" s="17"/>
      <c r="E800" s="17"/>
      <c r="F800" s="18">
        <v>2.0785999999999998</v>
      </c>
      <c r="G800" s="19">
        <v>7.1199999999999999E-2</v>
      </c>
      <c r="H800" s="20"/>
      <c r="I800" s="21">
        <v>104.04649999999999</v>
      </c>
      <c r="J800" s="20">
        <v>3.8216000000000001</v>
      </c>
      <c r="K800" s="20"/>
    </row>
    <row r="801" spans="1:11" ht="15" customHeight="1" x14ac:dyDescent="0.25">
      <c r="A801" s="22" t="s">
        <v>695</v>
      </c>
      <c r="B801" s="23" t="s">
        <v>8</v>
      </c>
      <c r="C801" s="23" t="s">
        <v>9</v>
      </c>
      <c r="D801" s="24" t="s">
        <v>20</v>
      </c>
      <c r="E801" s="24" t="s">
        <v>42</v>
      </c>
      <c r="F801" s="18">
        <v>2.0785999999999998</v>
      </c>
      <c r="G801" s="19">
        <v>7.1199999999999999E-2</v>
      </c>
      <c r="H801" s="20"/>
      <c r="I801" s="21">
        <v>104.04649999999999</v>
      </c>
      <c r="J801" s="20">
        <v>3.8216000000000001</v>
      </c>
      <c r="K801" s="20"/>
    </row>
    <row r="802" spans="1:11" ht="14.25" customHeight="1" x14ac:dyDescent="0.25">
      <c r="A802" s="25" t="s">
        <v>814</v>
      </c>
      <c r="B802" s="4" t="s">
        <v>5</v>
      </c>
      <c r="C802" s="4"/>
      <c r="D802" s="5"/>
      <c r="E802" s="5"/>
      <c r="F802" s="10"/>
      <c r="G802" s="11">
        <v>0.06</v>
      </c>
      <c r="H802" s="12">
        <v>22.319900000000001</v>
      </c>
      <c r="I802" s="13"/>
      <c r="J802" s="12">
        <v>3.96</v>
      </c>
      <c r="K802" s="12">
        <v>1362.7346</v>
      </c>
    </row>
    <row r="803" spans="1:11" ht="15" customHeight="1" x14ac:dyDescent="0.25">
      <c r="A803" s="14" t="s">
        <v>696</v>
      </c>
      <c r="B803" s="15" t="s">
        <v>6</v>
      </c>
      <c r="C803" s="16"/>
      <c r="D803" s="17"/>
      <c r="E803" s="17"/>
      <c r="F803" s="18"/>
      <c r="G803" s="19"/>
      <c r="H803" s="20">
        <v>0.1532</v>
      </c>
      <c r="I803" s="21"/>
      <c r="J803" s="20"/>
      <c r="K803" s="20">
        <v>9.1946999999999992</v>
      </c>
    </row>
    <row r="804" spans="1:11" ht="15" customHeight="1" x14ac:dyDescent="0.25">
      <c r="A804" s="22" t="s">
        <v>697</v>
      </c>
      <c r="B804" s="23" t="s">
        <v>8</v>
      </c>
      <c r="C804" s="23" t="s">
        <v>9</v>
      </c>
      <c r="D804" s="24" t="s">
        <v>30</v>
      </c>
      <c r="E804" s="24" t="s">
        <v>24</v>
      </c>
      <c r="F804" s="18"/>
      <c r="G804" s="19"/>
      <c r="H804" s="20">
        <v>0.1532</v>
      </c>
      <c r="I804" s="21"/>
      <c r="J804" s="20"/>
      <c r="K804" s="20">
        <v>9.1946999999999992</v>
      </c>
    </row>
    <row r="805" spans="1:11" ht="15" customHeight="1" x14ac:dyDescent="0.25">
      <c r="A805" s="14" t="s">
        <v>698</v>
      </c>
      <c r="B805" s="15" t="s">
        <v>6</v>
      </c>
      <c r="C805" s="16"/>
      <c r="D805" s="17"/>
      <c r="E805" s="17"/>
      <c r="F805" s="18"/>
      <c r="G805" s="19">
        <v>0.06</v>
      </c>
      <c r="H805" s="20">
        <v>22.166699999999999</v>
      </c>
      <c r="I805" s="21"/>
      <c r="J805" s="20">
        <v>3.96</v>
      </c>
      <c r="K805" s="20">
        <v>1353.54</v>
      </c>
    </row>
    <row r="806" spans="1:11" ht="15" customHeight="1" x14ac:dyDescent="0.25">
      <c r="A806" s="22" t="s">
        <v>699</v>
      </c>
      <c r="B806" s="23" t="s">
        <v>8</v>
      </c>
      <c r="C806" s="23" t="s">
        <v>9</v>
      </c>
      <c r="D806" s="24" t="s">
        <v>30</v>
      </c>
      <c r="E806" s="24" t="s">
        <v>42</v>
      </c>
      <c r="F806" s="18"/>
      <c r="G806" s="19">
        <v>2.8000000000000001E-2</v>
      </c>
      <c r="H806" s="20">
        <v>14.061199999999999</v>
      </c>
      <c r="I806" s="21"/>
      <c r="J806" s="20">
        <v>1.8513999999999999</v>
      </c>
      <c r="K806" s="20">
        <v>850.57989999999995</v>
      </c>
    </row>
    <row r="807" spans="1:11" ht="15" customHeight="1" x14ac:dyDescent="0.25">
      <c r="A807" s="22" t="s">
        <v>700</v>
      </c>
      <c r="B807" s="23" t="s">
        <v>8</v>
      </c>
      <c r="C807" s="23" t="s">
        <v>9</v>
      </c>
      <c r="D807" s="24" t="s">
        <v>30</v>
      </c>
      <c r="E807" s="24" t="s">
        <v>42</v>
      </c>
      <c r="F807" s="18"/>
      <c r="G807" s="19">
        <v>3.1899999999999998E-2</v>
      </c>
      <c r="H807" s="20">
        <v>8.1054999999999993</v>
      </c>
      <c r="I807" s="21"/>
      <c r="J807" s="20">
        <v>2.1086</v>
      </c>
      <c r="K807" s="20">
        <v>502.96</v>
      </c>
    </row>
    <row r="808" spans="1:11" ht="14.25" customHeight="1" x14ac:dyDescent="0.25">
      <c r="A808" s="25" t="s">
        <v>815</v>
      </c>
      <c r="B808" s="4" t="s">
        <v>5</v>
      </c>
      <c r="C808" s="4"/>
      <c r="D808" s="5"/>
      <c r="E808" s="5"/>
      <c r="F808" s="10"/>
      <c r="G808" s="11"/>
      <c r="H808" s="12"/>
      <c r="I808" s="13"/>
      <c r="J808" s="12"/>
      <c r="K808" s="12"/>
    </row>
    <row r="809" spans="1:11" ht="15" customHeight="1" x14ac:dyDescent="0.25">
      <c r="A809" s="14" t="s">
        <v>701</v>
      </c>
      <c r="B809" s="15" t="s">
        <v>6</v>
      </c>
      <c r="C809" s="16"/>
      <c r="D809" s="17"/>
      <c r="E809" s="17"/>
      <c r="F809" s="18"/>
      <c r="G809" s="19"/>
      <c r="H809" s="20"/>
      <c r="I809" s="21"/>
      <c r="J809" s="20"/>
      <c r="K809" s="20"/>
    </row>
    <row r="810" spans="1:11" ht="15" customHeight="1" x14ac:dyDescent="0.25">
      <c r="A810" s="22" t="s">
        <v>702</v>
      </c>
      <c r="B810" s="23" t="s">
        <v>8</v>
      </c>
      <c r="C810" s="23" t="s">
        <v>9</v>
      </c>
      <c r="D810" s="24" t="s">
        <v>64</v>
      </c>
      <c r="E810" s="24" t="s">
        <v>21</v>
      </c>
      <c r="F810" s="18"/>
      <c r="G810" s="19"/>
      <c r="H810" s="20"/>
      <c r="I810" s="21"/>
      <c r="J810" s="20"/>
      <c r="K810" s="20"/>
    </row>
    <row r="811" spans="1:11" ht="14.25" customHeight="1" x14ac:dyDescent="0.25">
      <c r="A811" s="25" t="s">
        <v>816</v>
      </c>
      <c r="B811" s="4" t="s">
        <v>5</v>
      </c>
      <c r="C811" s="4"/>
      <c r="D811" s="5"/>
      <c r="E811" s="5"/>
      <c r="F811" s="10">
        <v>25.839099999999998</v>
      </c>
      <c r="G811" s="11">
        <v>9.0121000000000002</v>
      </c>
      <c r="H811" s="12">
        <v>10.0204</v>
      </c>
      <c r="I811" s="13">
        <v>1539.4739</v>
      </c>
      <c r="J811" s="12">
        <v>509.45670000000001</v>
      </c>
      <c r="K811" s="12">
        <v>585.52229999999997</v>
      </c>
    </row>
    <row r="812" spans="1:11" ht="15" customHeight="1" x14ac:dyDescent="0.25">
      <c r="A812" s="14" t="s">
        <v>703</v>
      </c>
      <c r="B812" s="15" t="s">
        <v>6</v>
      </c>
      <c r="C812" s="16"/>
      <c r="D812" s="17"/>
      <c r="E812" s="17"/>
      <c r="F812" s="18">
        <v>25.839099999999998</v>
      </c>
      <c r="G812" s="19">
        <v>9.0121000000000002</v>
      </c>
      <c r="H812" s="20">
        <v>10.0204</v>
      </c>
      <c r="I812" s="21">
        <v>1539.4739</v>
      </c>
      <c r="J812" s="20">
        <v>509.45670000000001</v>
      </c>
      <c r="K812" s="20">
        <v>585.52229999999997</v>
      </c>
    </row>
    <row r="813" spans="1:11" ht="15" customHeight="1" x14ac:dyDescent="0.25">
      <c r="A813" s="22" t="s">
        <v>704</v>
      </c>
      <c r="B813" s="23" t="s">
        <v>8</v>
      </c>
      <c r="C813" s="23" t="s">
        <v>9</v>
      </c>
      <c r="D813" s="24" t="s">
        <v>30</v>
      </c>
      <c r="E813" s="24" t="s">
        <v>24</v>
      </c>
      <c r="F813" s="18">
        <v>25.839099999999998</v>
      </c>
      <c r="G813" s="19">
        <v>9.0121000000000002</v>
      </c>
      <c r="H813" s="20">
        <v>10.0204</v>
      </c>
      <c r="I813" s="21">
        <v>1539.4739</v>
      </c>
      <c r="J813" s="20">
        <v>509.45670000000001</v>
      </c>
      <c r="K813" s="20">
        <v>585.52229999999997</v>
      </c>
    </row>
    <row r="814" spans="1:11" ht="14.25" customHeight="1" x14ac:dyDescent="0.25">
      <c r="A814" s="25" t="s">
        <v>817</v>
      </c>
      <c r="B814" s="4" t="s">
        <v>5</v>
      </c>
      <c r="C814" s="4"/>
      <c r="D814" s="5"/>
      <c r="E814" s="5"/>
      <c r="F814" s="10">
        <v>19.4955</v>
      </c>
      <c r="G814" s="11">
        <v>39.761400000000002</v>
      </c>
      <c r="H814" s="12">
        <v>26.269500000000001</v>
      </c>
      <c r="I814" s="13">
        <v>286.0496</v>
      </c>
      <c r="J814" s="12">
        <v>652.10860000000002</v>
      </c>
      <c r="K814" s="12">
        <v>499.83789999999999</v>
      </c>
    </row>
    <row r="815" spans="1:11" ht="15" customHeight="1" x14ac:dyDescent="0.25">
      <c r="A815" s="14" t="s">
        <v>705</v>
      </c>
      <c r="B815" s="15" t="s">
        <v>6</v>
      </c>
      <c r="C815" s="16"/>
      <c r="D815" s="17"/>
      <c r="E815" s="17"/>
      <c r="F815" s="18">
        <v>19.4955</v>
      </c>
      <c r="G815" s="19">
        <v>39.761400000000002</v>
      </c>
      <c r="H815" s="20">
        <v>26.269500000000001</v>
      </c>
      <c r="I815" s="21">
        <v>286.0496</v>
      </c>
      <c r="J815" s="20">
        <v>652.10860000000002</v>
      </c>
      <c r="K815" s="20">
        <v>499.83789999999999</v>
      </c>
    </row>
    <row r="816" spans="1:11" ht="15" customHeight="1" x14ac:dyDescent="0.25">
      <c r="A816" s="22" t="s">
        <v>706</v>
      </c>
      <c r="B816" s="23" t="s">
        <v>8</v>
      </c>
      <c r="C816" s="23" t="s">
        <v>9</v>
      </c>
      <c r="D816" s="24" t="s">
        <v>249</v>
      </c>
      <c r="E816" s="24" t="s">
        <v>15</v>
      </c>
      <c r="F816" s="18">
        <v>9.0969999999999995</v>
      </c>
      <c r="G816" s="19">
        <v>13.0891</v>
      </c>
      <c r="H816" s="20">
        <v>4.6460999999999997</v>
      </c>
      <c r="I816" s="21">
        <v>134.3818</v>
      </c>
      <c r="J816" s="20">
        <v>186.4109</v>
      </c>
      <c r="K816" s="20">
        <v>56.316099999999999</v>
      </c>
    </row>
    <row r="817" spans="1:11" ht="15" customHeight="1" x14ac:dyDescent="0.25">
      <c r="A817" s="22" t="s">
        <v>707</v>
      </c>
      <c r="B817" s="23" t="s">
        <v>8</v>
      </c>
      <c r="C817" s="23" t="s">
        <v>9</v>
      </c>
      <c r="D817" s="24" t="s">
        <v>64</v>
      </c>
      <c r="E817" s="24" t="s">
        <v>15</v>
      </c>
      <c r="F817" s="18">
        <v>10.3986</v>
      </c>
      <c r="G817" s="19">
        <v>26.6724</v>
      </c>
      <c r="H817" s="20">
        <v>21.6234</v>
      </c>
      <c r="I817" s="21">
        <v>151.6679</v>
      </c>
      <c r="J817" s="20">
        <v>465.6979</v>
      </c>
      <c r="K817" s="20">
        <v>443.52179999999998</v>
      </c>
    </row>
    <row r="818" spans="1:11" ht="14.25" customHeight="1" x14ac:dyDescent="0.25">
      <c r="A818" s="25" t="s">
        <v>818</v>
      </c>
      <c r="B818" s="4" t="s">
        <v>5</v>
      </c>
      <c r="C818" s="4"/>
      <c r="D818" s="5"/>
      <c r="E818" s="5"/>
      <c r="F818" s="10">
        <v>1.8396999999999999</v>
      </c>
      <c r="G818" s="11">
        <v>4.3616000000000001</v>
      </c>
      <c r="H818" s="12"/>
      <c r="I818" s="13">
        <v>115.49760000000001</v>
      </c>
      <c r="J818" s="12">
        <v>300.46589999999998</v>
      </c>
      <c r="K818" s="12"/>
    </row>
    <row r="819" spans="1:11" ht="15" customHeight="1" x14ac:dyDescent="0.25">
      <c r="A819" s="14" t="s">
        <v>708</v>
      </c>
      <c r="B819" s="15" t="s">
        <v>6</v>
      </c>
      <c r="C819" s="16"/>
      <c r="D819" s="17"/>
      <c r="E819" s="17"/>
      <c r="F819" s="18">
        <v>1.8396999999999999</v>
      </c>
      <c r="G819" s="19">
        <v>4.3616000000000001</v>
      </c>
      <c r="H819" s="20"/>
      <c r="I819" s="21">
        <v>115.49760000000001</v>
      </c>
      <c r="J819" s="20">
        <v>300.46589999999998</v>
      </c>
      <c r="K819" s="20"/>
    </row>
    <row r="820" spans="1:11" ht="15" customHeight="1" x14ac:dyDescent="0.25">
      <c r="A820" s="22" t="s">
        <v>709</v>
      </c>
      <c r="B820" s="23" t="s">
        <v>8</v>
      </c>
      <c r="C820" s="23" t="s">
        <v>9</v>
      </c>
      <c r="D820" s="24" t="s">
        <v>20</v>
      </c>
      <c r="E820" s="24" t="s">
        <v>42</v>
      </c>
      <c r="F820" s="18">
        <v>1.8396999999999999</v>
      </c>
      <c r="G820" s="19">
        <v>4.3616000000000001</v>
      </c>
      <c r="H820" s="20"/>
      <c r="I820" s="21">
        <v>115.49760000000001</v>
      </c>
      <c r="J820" s="20">
        <v>300.46589999999998</v>
      </c>
      <c r="K820" s="20"/>
    </row>
  </sheetData>
  <mergeCells count="3">
    <mergeCell ref="A1:E2"/>
    <mergeCell ref="F1:H1"/>
    <mergeCell ref="I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9ECD2-0DFA-4694-9151-421906A27D40}">
  <sheetPr codeName="Sheet4"/>
  <dimension ref="A1:AC827"/>
  <sheetViews>
    <sheetView topLeftCell="I1" workbookViewId="0">
      <selection activeCell="I4" sqref="I4"/>
    </sheetView>
  </sheetViews>
  <sheetFormatPr defaultRowHeight="12" x14ac:dyDescent="0.2"/>
  <cols>
    <col min="1" max="1" width="51.5703125" style="26" bestFit="1" customWidth="1"/>
    <col min="2" max="4" width="21.7109375" style="26" customWidth="1"/>
    <col min="5" max="5" width="21.7109375" style="72" customWidth="1"/>
    <col min="6" max="11" width="12.7109375" style="26" customWidth="1"/>
    <col min="12" max="12" width="9.140625" style="167"/>
    <col min="13" max="16384" width="9.140625" style="26"/>
  </cols>
  <sheetData>
    <row r="1" spans="1:29" s="126" customFormat="1" x14ac:dyDescent="0.2">
      <c r="E1" s="223"/>
      <c r="L1" s="224"/>
    </row>
    <row r="2" spans="1:29" s="126" customFormat="1" x14ac:dyDescent="0.2">
      <c r="E2" s="223"/>
      <c r="L2" s="224"/>
    </row>
    <row r="3" spans="1:29" s="126" customFormat="1" x14ac:dyDescent="0.2">
      <c r="E3" s="223"/>
      <c r="L3" s="224"/>
    </row>
    <row r="4" spans="1:29" s="126" customFormat="1" x14ac:dyDescent="0.2">
      <c r="E4" s="223"/>
      <c r="L4" s="224"/>
    </row>
    <row r="5" spans="1:29" s="126" customFormat="1" x14ac:dyDescent="0.2">
      <c r="E5" s="223"/>
      <c r="L5" s="224"/>
    </row>
    <row r="6" spans="1:29" s="126" customFormat="1" x14ac:dyDescent="0.2">
      <c r="E6" s="223"/>
      <c r="L6" s="224"/>
    </row>
    <row r="7" spans="1:29" s="126" customFormat="1" ht="12.75" thickBot="1" x14ac:dyDescent="0.25">
      <c r="E7" s="223"/>
      <c r="L7" s="224"/>
    </row>
    <row r="8" spans="1:29" s="64" customFormat="1" ht="24.75" thickBot="1" x14ac:dyDescent="0.25">
      <c r="A8" s="67" t="s">
        <v>1218</v>
      </c>
      <c r="B8" s="28" t="s">
        <v>6</v>
      </c>
      <c r="C8" s="28" t="s">
        <v>2</v>
      </c>
      <c r="D8" s="29" t="s">
        <v>3</v>
      </c>
      <c r="E8" s="29" t="s">
        <v>4</v>
      </c>
      <c r="F8" s="96" t="s">
        <v>1142</v>
      </c>
      <c r="G8" s="95" t="s">
        <v>1143</v>
      </c>
      <c r="H8" s="95" t="s">
        <v>710</v>
      </c>
      <c r="I8" s="95" t="s">
        <v>1144</v>
      </c>
      <c r="J8" s="95" t="s">
        <v>1145</v>
      </c>
      <c r="K8" s="95" t="s">
        <v>1152</v>
      </c>
      <c r="L8" s="163" t="s">
        <v>1153</v>
      </c>
      <c r="M8" s="225"/>
      <c r="N8" s="225"/>
      <c r="O8" s="225"/>
      <c r="P8" s="225"/>
      <c r="Q8" s="225"/>
      <c r="R8" s="225"/>
      <c r="S8" s="225"/>
      <c r="T8" s="225"/>
      <c r="U8" s="225"/>
      <c r="V8" s="225"/>
      <c r="W8" s="225"/>
      <c r="X8" s="225"/>
      <c r="Y8" s="225"/>
      <c r="Z8" s="225"/>
      <c r="AA8" s="225"/>
      <c r="AB8" s="225"/>
      <c r="AC8" s="225"/>
    </row>
    <row r="9" spans="1:29" s="64" customFormat="1" ht="33" customHeight="1" x14ac:dyDescent="0.2">
      <c r="A9" s="82" t="s">
        <v>1150</v>
      </c>
      <c r="B9" s="65"/>
      <c r="C9" s="65"/>
      <c r="D9" s="66"/>
      <c r="E9" s="69"/>
      <c r="F9" s="60">
        <v>31416.343000000001</v>
      </c>
      <c r="G9" s="61">
        <v>32432.398499999999</v>
      </c>
      <c r="H9" s="62">
        <v>17382.009999999998</v>
      </c>
      <c r="I9" s="63">
        <v>1194607.8559999999</v>
      </c>
      <c r="J9" s="62">
        <v>1188013.216</v>
      </c>
      <c r="K9" s="62">
        <v>600950.97600000002</v>
      </c>
      <c r="L9" s="168">
        <f>SUM(BabycareRaw[[#This Row],[2022]:[YTD 24]])</f>
        <v>81230.751499999998</v>
      </c>
      <c r="M9" s="225"/>
      <c r="N9" s="225"/>
      <c r="O9" s="225"/>
      <c r="P9" s="225"/>
      <c r="Q9" s="225"/>
      <c r="R9" s="225"/>
      <c r="S9" s="225"/>
      <c r="T9" s="225"/>
      <c r="U9" s="225"/>
      <c r="V9" s="225"/>
      <c r="W9" s="225"/>
      <c r="X9" s="225"/>
      <c r="Y9" s="225"/>
      <c r="Z9" s="225"/>
      <c r="AA9" s="225"/>
      <c r="AB9" s="225"/>
      <c r="AC9" s="225"/>
    </row>
    <row r="10" spans="1:29" ht="15" customHeight="1" x14ac:dyDescent="0.2">
      <c r="A10" s="27" t="s">
        <v>712</v>
      </c>
      <c r="B10" s="28" t="s">
        <v>5</v>
      </c>
      <c r="C10" s="28"/>
      <c r="D10" s="29"/>
      <c r="E10" s="68"/>
      <c r="F10" s="52">
        <v>1.9350000000000001</v>
      </c>
      <c r="G10" s="53">
        <v>0.624</v>
      </c>
      <c r="H10" s="54">
        <v>0</v>
      </c>
      <c r="I10" s="55">
        <v>24.822900000000001</v>
      </c>
      <c r="J10" s="54">
        <v>9.4085999999999999</v>
      </c>
      <c r="K10" s="54">
        <v>0</v>
      </c>
      <c r="L10" s="217">
        <f>SUM(BabycareRaw[[#This Row],[2022]:[YTD 24]])</f>
        <v>2.5590000000000002</v>
      </c>
      <c r="M10" s="126"/>
      <c r="N10" s="126"/>
      <c r="O10" s="126"/>
      <c r="P10" s="126"/>
      <c r="Q10" s="126"/>
      <c r="R10" s="126"/>
      <c r="S10" s="126"/>
      <c r="T10" s="126"/>
      <c r="U10" s="126"/>
      <c r="V10" s="126"/>
      <c r="W10" s="126"/>
      <c r="X10" s="126"/>
      <c r="Y10" s="126"/>
      <c r="Z10" s="126"/>
      <c r="AA10" s="126"/>
      <c r="AB10" s="126"/>
      <c r="AC10" s="126"/>
    </row>
    <row r="11" spans="1:29" ht="14.25" customHeight="1" x14ac:dyDescent="0.2">
      <c r="A11" s="30" t="s">
        <v>828</v>
      </c>
      <c r="B11" s="31" t="s">
        <v>6</v>
      </c>
      <c r="C11" s="32"/>
      <c r="D11" s="33"/>
      <c r="E11" s="70"/>
      <c r="F11" s="56">
        <v>1.9350000000000001</v>
      </c>
      <c r="G11" s="57">
        <v>0.624</v>
      </c>
      <c r="H11" s="58">
        <v>0</v>
      </c>
      <c r="I11" s="59">
        <v>24.822900000000001</v>
      </c>
      <c r="J11" s="58">
        <v>9.4085999999999999</v>
      </c>
      <c r="K11" s="58">
        <v>0</v>
      </c>
      <c r="L11" s="164">
        <f>SUM(BabycareRaw[[#This Row],[2022]:[YTD 24]])</f>
        <v>2.5590000000000002</v>
      </c>
      <c r="M11" s="126"/>
      <c r="N11" s="126"/>
      <c r="O11" s="126"/>
      <c r="P11" s="126"/>
      <c r="Q11" s="126"/>
      <c r="R11" s="126"/>
      <c r="S11" s="126"/>
      <c r="T11" s="126"/>
      <c r="U11" s="126"/>
      <c r="V11" s="126"/>
      <c r="W11" s="126"/>
      <c r="X11" s="126"/>
      <c r="Y11" s="126"/>
      <c r="Z11" s="126"/>
      <c r="AA11" s="126"/>
      <c r="AB11" s="126"/>
      <c r="AC11" s="126"/>
    </row>
    <row r="12" spans="1:29" ht="15" customHeight="1" x14ac:dyDescent="0.2">
      <c r="A12" s="34" t="s">
        <v>7</v>
      </c>
      <c r="B12" s="32" t="s">
        <v>8</v>
      </c>
      <c r="C12" s="32" t="s">
        <v>9</v>
      </c>
      <c r="D12" s="33" t="s">
        <v>10</v>
      </c>
      <c r="E12" s="70" t="s">
        <v>11</v>
      </c>
      <c r="F12" s="97">
        <v>1.94</v>
      </c>
      <c r="G12" s="98">
        <v>0.624</v>
      </c>
      <c r="H12" s="99">
        <v>0</v>
      </c>
      <c r="I12" s="100">
        <v>24.822900000000001</v>
      </c>
      <c r="J12" s="99">
        <v>9.4085999999999999</v>
      </c>
      <c r="K12" s="99">
        <v>0</v>
      </c>
      <c r="L12" s="165">
        <f>SUM(BabycareRaw[[#This Row],[2022]:[YTD 24]])</f>
        <v>2.5640000000000001</v>
      </c>
      <c r="M12" s="126"/>
      <c r="N12" s="126"/>
      <c r="O12" s="126"/>
      <c r="P12" s="126"/>
      <c r="Q12" s="126"/>
      <c r="R12" s="126"/>
      <c r="S12" s="126"/>
      <c r="T12" s="126"/>
      <c r="U12" s="126"/>
      <c r="V12" s="126"/>
      <c r="W12" s="126"/>
      <c r="X12" s="126"/>
      <c r="Y12" s="126"/>
      <c r="Z12" s="126"/>
      <c r="AA12" s="126"/>
      <c r="AB12" s="126"/>
      <c r="AC12" s="126"/>
    </row>
    <row r="13" spans="1:29" ht="15" customHeight="1" x14ac:dyDescent="0.2">
      <c r="A13" s="27" t="s">
        <v>713</v>
      </c>
      <c r="B13" s="28" t="s">
        <v>5</v>
      </c>
      <c r="C13" s="28"/>
      <c r="D13" s="29"/>
      <c r="E13" s="68"/>
      <c r="F13" s="101">
        <v>1.09E-2</v>
      </c>
      <c r="G13" s="102">
        <v>0</v>
      </c>
      <c r="H13" s="103">
        <v>0</v>
      </c>
      <c r="I13" s="104">
        <v>0.16</v>
      </c>
      <c r="J13" s="103">
        <v>0</v>
      </c>
      <c r="K13" s="103">
        <v>0</v>
      </c>
      <c r="L13" s="169">
        <f>SUM(BabycareRaw[[#This Row],[2022]:[YTD 24]])</f>
        <v>1.09E-2</v>
      </c>
      <c r="M13" s="126"/>
      <c r="N13" s="126"/>
      <c r="O13" s="126"/>
      <c r="P13" s="126"/>
      <c r="Q13" s="126"/>
      <c r="R13" s="126"/>
      <c r="S13" s="126"/>
      <c r="T13" s="126"/>
      <c r="U13" s="126"/>
      <c r="V13" s="126"/>
      <c r="W13" s="126"/>
      <c r="X13" s="126"/>
      <c r="Y13" s="126"/>
      <c r="Z13" s="126"/>
      <c r="AA13" s="126"/>
      <c r="AB13" s="126"/>
      <c r="AC13" s="126"/>
    </row>
    <row r="14" spans="1:29" ht="14.25" customHeight="1" x14ac:dyDescent="0.2">
      <c r="A14" s="30" t="s">
        <v>829</v>
      </c>
      <c r="B14" s="31" t="s">
        <v>6</v>
      </c>
      <c r="C14" s="32"/>
      <c r="D14" s="33"/>
      <c r="E14" s="70"/>
      <c r="F14" s="97">
        <v>1.09E-2</v>
      </c>
      <c r="G14" s="98">
        <v>0</v>
      </c>
      <c r="H14" s="99">
        <v>0</v>
      </c>
      <c r="I14" s="100">
        <v>0.16</v>
      </c>
      <c r="J14" s="99">
        <v>0</v>
      </c>
      <c r="K14" s="99">
        <v>0</v>
      </c>
      <c r="L14" s="165">
        <f>SUM(BabycareRaw[[#This Row],[2022]:[YTD 24]])</f>
        <v>1.09E-2</v>
      </c>
      <c r="M14" s="126"/>
      <c r="N14" s="126"/>
      <c r="O14" s="126"/>
      <c r="P14" s="126"/>
      <c r="Q14" s="126"/>
      <c r="R14" s="126"/>
      <c r="S14" s="126"/>
      <c r="T14" s="126"/>
      <c r="U14" s="126"/>
      <c r="V14" s="126"/>
      <c r="W14" s="126"/>
      <c r="X14" s="126"/>
      <c r="Y14" s="126"/>
      <c r="Z14" s="126"/>
      <c r="AA14" s="126"/>
      <c r="AB14" s="126"/>
      <c r="AC14" s="126"/>
    </row>
    <row r="15" spans="1:29" ht="15" customHeight="1" x14ac:dyDescent="0.2">
      <c r="A15" s="34" t="s">
        <v>12</v>
      </c>
      <c r="B15" s="32" t="s">
        <v>8</v>
      </c>
      <c r="C15" s="32" t="s">
        <v>9</v>
      </c>
      <c r="D15" s="33" t="s">
        <v>10</v>
      </c>
      <c r="E15" s="70" t="s">
        <v>13</v>
      </c>
      <c r="F15" s="97">
        <v>0</v>
      </c>
      <c r="G15" s="98">
        <v>0</v>
      </c>
      <c r="H15" s="99">
        <v>0</v>
      </c>
      <c r="I15" s="100">
        <v>0</v>
      </c>
      <c r="J15" s="99">
        <v>0</v>
      </c>
      <c r="K15" s="99">
        <v>0</v>
      </c>
      <c r="L15" s="165">
        <f>SUM(BabycareRaw[[#This Row],[2022]:[YTD 24]])</f>
        <v>0</v>
      </c>
      <c r="M15" s="126"/>
      <c r="N15" s="126"/>
      <c r="O15" s="126"/>
      <c r="P15" s="126"/>
      <c r="Q15" s="126"/>
      <c r="R15" s="126"/>
      <c r="S15" s="126"/>
      <c r="T15" s="126"/>
      <c r="U15" s="126"/>
      <c r="V15" s="126"/>
      <c r="W15" s="126"/>
      <c r="X15" s="126"/>
      <c r="Y15" s="126"/>
      <c r="Z15" s="126"/>
      <c r="AA15" s="126"/>
      <c r="AB15" s="126"/>
      <c r="AC15" s="126"/>
    </row>
    <row r="16" spans="1:29" ht="15" customHeight="1" x14ac:dyDescent="0.2">
      <c r="A16" s="34" t="s">
        <v>14</v>
      </c>
      <c r="B16" s="32" t="s">
        <v>8</v>
      </c>
      <c r="C16" s="32" t="s">
        <v>9</v>
      </c>
      <c r="D16" s="33" t="s">
        <v>10</v>
      </c>
      <c r="E16" s="70" t="s">
        <v>15</v>
      </c>
      <c r="F16" s="97">
        <v>0</v>
      </c>
      <c r="G16" s="98">
        <v>0</v>
      </c>
      <c r="H16" s="99">
        <v>0</v>
      </c>
      <c r="I16" s="100">
        <v>0</v>
      </c>
      <c r="J16" s="99">
        <v>0</v>
      </c>
      <c r="K16" s="99">
        <v>0</v>
      </c>
      <c r="L16" s="165">
        <f>SUM(BabycareRaw[[#This Row],[2022]:[YTD 24]])</f>
        <v>0</v>
      </c>
      <c r="M16" s="126"/>
      <c r="N16" s="126"/>
      <c r="O16" s="126"/>
      <c r="P16" s="126"/>
      <c r="Q16" s="126"/>
      <c r="R16" s="126"/>
      <c r="S16" s="126"/>
      <c r="T16" s="126"/>
      <c r="U16" s="126"/>
      <c r="V16" s="126"/>
      <c r="W16" s="126"/>
      <c r="X16" s="126"/>
      <c r="Y16" s="126"/>
      <c r="Z16" s="126"/>
      <c r="AA16" s="126"/>
      <c r="AB16" s="126"/>
      <c r="AC16" s="126"/>
    </row>
    <row r="17" spans="1:29" ht="15" customHeight="1" x14ac:dyDescent="0.2">
      <c r="A17" s="34" t="s">
        <v>16</v>
      </c>
      <c r="B17" s="32" t="s">
        <v>8</v>
      </c>
      <c r="C17" s="32" t="s">
        <v>9</v>
      </c>
      <c r="D17" s="33" t="s">
        <v>10</v>
      </c>
      <c r="E17" s="70" t="s">
        <v>17</v>
      </c>
      <c r="F17" s="97">
        <v>0</v>
      </c>
      <c r="G17" s="98">
        <v>0</v>
      </c>
      <c r="H17" s="99">
        <v>0</v>
      </c>
      <c r="I17" s="100">
        <v>0</v>
      </c>
      <c r="J17" s="99">
        <v>0</v>
      </c>
      <c r="K17" s="99">
        <v>0</v>
      </c>
      <c r="L17" s="165">
        <f>SUM(BabycareRaw[[#This Row],[2022]:[YTD 24]])</f>
        <v>0</v>
      </c>
      <c r="M17" s="126"/>
      <c r="N17" s="126"/>
      <c r="O17" s="126"/>
      <c r="P17" s="126"/>
      <c r="Q17" s="126"/>
      <c r="R17" s="126"/>
      <c r="S17" s="126"/>
      <c r="T17" s="126"/>
      <c r="U17" s="126"/>
      <c r="V17" s="126"/>
      <c r="W17" s="126"/>
      <c r="X17" s="126"/>
      <c r="Y17" s="126"/>
      <c r="Z17" s="126"/>
      <c r="AA17" s="126"/>
      <c r="AB17" s="126"/>
      <c r="AC17" s="126"/>
    </row>
    <row r="18" spans="1:29" ht="15" customHeight="1" x14ac:dyDescent="0.2">
      <c r="A18" s="34" t="s">
        <v>18</v>
      </c>
      <c r="B18" s="32" t="s">
        <v>8</v>
      </c>
      <c r="C18" s="32" t="s">
        <v>9</v>
      </c>
      <c r="D18" s="33" t="s">
        <v>10</v>
      </c>
      <c r="E18" s="70" t="s">
        <v>17</v>
      </c>
      <c r="F18" s="97">
        <v>1.09E-2</v>
      </c>
      <c r="G18" s="98">
        <v>0</v>
      </c>
      <c r="H18" s="99">
        <v>0</v>
      </c>
      <c r="I18" s="100">
        <v>0.16</v>
      </c>
      <c r="J18" s="99">
        <v>0</v>
      </c>
      <c r="K18" s="99">
        <v>0</v>
      </c>
      <c r="L18" s="165">
        <f>SUM(BabycareRaw[[#This Row],[2022]:[YTD 24]])</f>
        <v>1.09E-2</v>
      </c>
      <c r="M18" s="126"/>
      <c r="N18" s="126"/>
      <c r="O18" s="126"/>
      <c r="P18" s="126"/>
      <c r="Q18" s="126"/>
      <c r="R18" s="126"/>
      <c r="S18" s="126"/>
      <c r="T18" s="126"/>
      <c r="U18" s="126"/>
      <c r="V18" s="126"/>
      <c r="W18" s="126"/>
      <c r="X18" s="126"/>
      <c r="Y18" s="126"/>
      <c r="Z18" s="126"/>
      <c r="AA18" s="126"/>
      <c r="AB18" s="126"/>
      <c r="AC18" s="126"/>
    </row>
    <row r="19" spans="1:29" ht="15" customHeight="1" x14ac:dyDescent="0.2">
      <c r="A19" s="27" t="s">
        <v>714</v>
      </c>
      <c r="B19" s="28" t="s">
        <v>5</v>
      </c>
      <c r="C19" s="28"/>
      <c r="D19" s="29"/>
      <c r="E19" s="68"/>
      <c r="F19" s="101">
        <v>3341.5012999999999</v>
      </c>
      <c r="G19" s="102">
        <v>3428.0437000000002</v>
      </c>
      <c r="H19" s="103">
        <v>1852.1968999999999</v>
      </c>
      <c r="I19" s="104">
        <v>125970.25199999999</v>
      </c>
      <c r="J19" s="103">
        <v>127615.61199999999</v>
      </c>
      <c r="K19" s="103">
        <v>64977.618000000002</v>
      </c>
      <c r="L19" s="169">
        <f>SUM(BabycareRaw[[#This Row],[2022]:[YTD 24]])</f>
        <v>8621.7419000000009</v>
      </c>
      <c r="M19" s="126"/>
      <c r="N19" s="126"/>
      <c r="O19" s="126"/>
      <c r="P19" s="126"/>
      <c r="Q19" s="126"/>
      <c r="R19" s="126"/>
      <c r="S19" s="126"/>
      <c r="T19" s="126"/>
      <c r="U19" s="126"/>
      <c r="V19" s="126"/>
      <c r="W19" s="126"/>
      <c r="X19" s="126"/>
      <c r="Y19" s="126"/>
      <c r="Z19" s="126"/>
      <c r="AA19" s="126"/>
      <c r="AB19" s="126"/>
      <c r="AC19" s="126"/>
    </row>
    <row r="20" spans="1:29" ht="14.25" customHeight="1" x14ac:dyDescent="0.2">
      <c r="A20" s="30" t="s">
        <v>830</v>
      </c>
      <c r="B20" s="31" t="s">
        <v>6</v>
      </c>
      <c r="C20" s="32"/>
      <c r="D20" s="33"/>
      <c r="E20" s="70"/>
      <c r="F20" s="97">
        <v>3341.5012999999999</v>
      </c>
      <c r="G20" s="98">
        <v>3428.0437000000002</v>
      </c>
      <c r="H20" s="99">
        <v>1852.1968999999999</v>
      </c>
      <c r="I20" s="100">
        <v>125970.25199999999</v>
      </c>
      <c r="J20" s="99">
        <v>127615.61199999999</v>
      </c>
      <c r="K20" s="99">
        <v>64977.618000000002</v>
      </c>
      <c r="L20" s="165">
        <f>SUM(BabycareRaw[[#This Row],[2022]:[YTD 24]])</f>
        <v>8621.7419000000009</v>
      </c>
      <c r="M20" s="126"/>
      <c r="N20" s="126"/>
      <c r="O20" s="126"/>
      <c r="P20" s="126"/>
      <c r="Q20" s="126"/>
      <c r="R20" s="126"/>
      <c r="S20" s="126"/>
      <c r="T20" s="126"/>
      <c r="U20" s="126"/>
      <c r="V20" s="126"/>
      <c r="W20" s="126"/>
      <c r="X20" s="126"/>
      <c r="Y20" s="126"/>
      <c r="Z20" s="126"/>
      <c r="AA20" s="126"/>
      <c r="AB20" s="126"/>
      <c r="AC20" s="126"/>
    </row>
    <row r="21" spans="1:29" ht="15" customHeight="1" x14ac:dyDescent="0.2">
      <c r="A21" s="34" t="s">
        <v>19</v>
      </c>
      <c r="B21" s="32" t="s">
        <v>8</v>
      </c>
      <c r="C21" s="32" t="s">
        <v>9</v>
      </c>
      <c r="D21" s="33" t="s">
        <v>20</v>
      </c>
      <c r="E21" s="70" t="s">
        <v>21</v>
      </c>
      <c r="F21" s="97">
        <v>81.467399999999998</v>
      </c>
      <c r="G21" s="98">
        <v>92.903000000000006</v>
      </c>
      <c r="H21" s="99">
        <v>52.511899999999997</v>
      </c>
      <c r="I21" s="100">
        <v>2980.7042999999999</v>
      </c>
      <c r="J21" s="99">
        <v>3415.3553999999999</v>
      </c>
      <c r="K21" s="99">
        <v>1823.0734</v>
      </c>
      <c r="L21" s="165">
        <f>SUM(BabycareRaw[[#This Row],[2022]:[YTD 24]])</f>
        <v>226.88230000000001</v>
      </c>
      <c r="M21" s="126"/>
      <c r="N21" s="126"/>
      <c r="O21" s="126"/>
      <c r="P21" s="126"/>
      <c r="Q21" s="126"/>
      <c r="R21" s="126"/>
      <c r="S21" s="126"/>
      <c r="T21" s="126"/>
      <c r="U21" s="126"/>
      <c r="V21" s="126"/>
      <c r="W21" s="126"/>
      <c r="X21" s="126"/>
      <c r="Y21" s="126"/>
      <c r="Z21" s="126"/>
      <c r="AA21" s="126"/>
      <c r="AB21" s="126"/>
      <c r="AC21" s="126"/>
    </row>
    <row r="22" spans="1:29" ht="15" customHeight="1" x14ac:dyDescent="0.2">
      <c r="A22" s="34" t="s">
        <v>22</v>
      </c>
      <c r="B22" s="32" t="s">
        <v>8</v>
      </c>
      <c r="C22" s="32" t="s">
        <v>9</v>
      </c>
      <c r="D22" s="33" t="s">
        <v>20</v>
      </c>
      <c r="E22" s="70" t="s">
        <v>21</v>
      </c>
      <c r="F22" s="97">
        <v>165.22800000000001</v>
      </c>
      <c r="G22" s="98">
        <v>172.68430000000001</v>
      </c>
      <c r="H22" s="99">
        <v>91.1357</v>
      </c>
      <c r="I22" s="100">
        <v>5930.9056</v>
      </c>
      <c r="J22" s="99">
        <v>6183.6273000000001</v>
      </c>
      <c r="K22" s="99">
        <v>3125.7986999999998</v>
      </c>
      <c r="L22" s="165">
        <f>SUM(BabycareRaw[[#This Row],[2022]:[YTD 24]])</f>
        <v>429.048</v>
      </c>
      <c r="M22" s="126"/>
      <c r="N22" s="126"/>
      <c r="O22" s="126"/>
      <c r="P22" s="126"/>
      <c r="Q22" s="126"/>
      <c r="R22" s="126"/>
      <c r="S22" s="126"/>
      <c r="T22" s="126"/>
      <c r="U22" s="126"/>
      <c r="V22" s="126"/>
      <c r="W22" s="126"/>
      <c r="X22" s="126"/>
      <c r="Y22" s="126"/>
      <c r="Z22" s="126"/>
      <c r="AA22" s="126"/>
      <c r="AB22" s="126"/>
      <c r="AC22" s="126"/>
    </row>
    <row r="23" spans="1:29" ht="15" customHeight="1" x14ac:dyDescent="0.2">
      <c r="A23" s="34" t="s">
        <v>23</v>
      </c>
      <c r="B23" s="32" t="s">
        <v>8</v>
      </c>
      <c r="C23" s="32" t="s">
        <v>9</v>
      </c>
      <c r="D23" s="33" t="s">
        <v>20</v>
      </c>
      <c r="E23" s="70" t="s">
        <v>24</v>
      </c>
      <c r="F23" s="97">
        <v>842.87239999999997</v>
      </c>
      <c r="G23" s="98">
        <v>745.33579999999995</v>
      </c>
      <c r="H23" s="99">
        <v>366.95890000000003</v>
      </c>
      <c r="I23" s="100">
        <v>38888.539799999999</v>
      </c>
      <c r="J23" s="99">
        <v>31985.000499999998</v>
      </c>
      <c r="K23" s="99">
        <v>14135.173000000001</v>
      </c>
      <c r="L23" s="165">
        <f>SUM(BabycareRaw[[#This Row],[2022]:[YTD 24]])</f>
        <v>1955.1671000000001</v>
      </c>
      <c r="M23" s="126"/>
      <c r="N23" s="126"/>
      <c r="O23" s="126"/>
      <c r="P23" s="126"/>
      <c r="Q23" s="126"/>
      <c r="R23" s="126"/>
      <c r="S23" s="126"/>
      <c r="T23" s="126"/>
      <c r="U23" s="126"/>
      <c r="V23" s="126"/>
      <c r="W23" s="126"/>
      <c r="X23" s="126"/>
      <c r="Y23" s="126"/>
      <c r="Z23" s="126"/>
      <c r="AA23" s="126"/>
      <c r="AB23" s="126"/>
      <c r="AC23" s="126"/>
    </row>
    <row r="24" spans="1:29" ht="15" customHeight="1" x14ac:dyDescent="0.2">
      <c r="A24" s="34" t="s">
        <v>25</v>
      </c>
      <c r="B24" s="32" t="s">
        <v>8</v>
      </c>
      <c r="C24" s="32" t="s">
        <v>9</v>
      </c>
      <c r="D24" s="33" t="s">
        <v>10</v>
      </c>
      <c r="E24" s="70" t="s">
        <v>26</v>
      </c>
      <c r="F24" s="97">
        <v>12.774800000000001</v>
      </c>
      <c r="G24" s="98">
        <v>10.866</v>
      </c>
      <c r="H24" s="99">
        <v>6.7743000000000002</v>
      </c>
      <c r="I24" s="100">
        <v>151.26679999999999</v>
      </c>
      <c r="J24" s="99">
        <v>127.18680000000001</v>
      </c>
      <c r="K24" s="99">
        <v>77.459400000000002</v>
      </c>
      <c r="L24" s="165">
        <f>SUM(BabycareRaw[[#This Row],[2022]:[YTD 24]])</f>
        <v>30.415099999999999</v>
      </c>
      <c r="M24" s="126"/>
      <c r="N24" s="126"/>
      <c r="O24" s="126"/>
      <c r="P24" s="126"/>
      <c r="Q24" s="126"/>
      <c r="R24" s="126"/>
      <c r="S24" s="126"/>
      <c r="T24" s="126"/>
      <c r="U24" s="126"/>
      <c r="V24" s="126"/>
      <c r="W24" s="126"/>
      <c r="X24" s="126"/>
      <c r="Y24" s="126"/>
      <c r="Z24" s="126"/>
      <c r="AA24" s="126"/>
      <c r="AB24" s="126"/>
      <c r="AC24" s="126"/>
    </row>
    <row r="25" spans="1:29" ht="15" customHeight="1" x14ac:dyDescent="0.2">
      <c r="A25" s="34" t="s">
        <v>27</v>
      </c>
      <c r="B25" s="32" t="s">
        <v>8</v>
      </c>
      <c r="C25" s="32" t="s">
        <v>9</v>
      </c>
      <c r="D25" s="33" t="s">
        <v>10</v>
      </c>
      <c r="E25" s="70" t="s">
        <v>26</v>
      </c>
      <c r="F25" s="97">
        <v>20.055299999999999</v>
      </c>
      <c r="G25" s="98">
        <v>17.836099999999998</v>
      </c>
      <c r="H25" s="99">
        <v>11.187099999999999</v>
      </c>
      <c r="I25" s="100">
        <v>231.08779999999999</v>
      </c>
      <c r="J25" s="99">
        <v>217.71180000000001</v>
      </c>
      <c r="K25" s="99">
        <v>141.00800000000001</v>
      </c>
      <c r="L25" s="165">
        <f>SUM(BabycareRaw[[#This Row],[2022]:[YTD 24]])</f>
        <v>49.078499999999998</v>
      </c>
      <c r="M25" s="126"/>
      <c r="N25" s="126"/>
      <c r="O25" s="126"/>
      <c r="P25" s="126"/>
      <c r="Q25" s="126"/>
      <c r="R25" s="126"/>
      <c r="S25" s="126"/>
      <c r="T25" s="126"/>
      <c r="U25" s="126"/>
      <c r="V25" s="126"/>
      <c r="W25" s="126"/>
      <c r="X25" s="126"/>
      <c r="Y25" s="126"/>
      <c r="Z25" s="126"/>
      <c r="AA25" s="126"/>
      <c r="AB25" s="126"/>
      <c r="AC25" s="126"/>
    </row>
    <row r="26" spans="1:29" ht="15" customHeight="1" x14ac:dyDescent="0.2">
      <c r="A26" s="34" t="s">
        <v>28</v>
      </c>
      <c r="B26" s="32" t="s">
        <v>8</v>
      </c>
      <c r="C26" s="32" t="s">
        <v>9</v>
      </c>
      <c r="D26" s="33" t="s">
        <v>20</v>
      </c>
      <c r="E26" s="70" t="s">
        <v>26</v>
      </c>
      <c r="F26" s="97">
        <v>1.2461</v>
      </c>
      <c r="G26" s="98">
        <v>7.7651000000000003</v>
      </c>
      <c r="H26" s="99">
        <v>2.2378</v>
      </c>
      <c r="I26" s="100">
        <v>20.960899999999999</v>
      </c>
      <c r="J26" s="99">
        <v>127.6666</v>
      </c>
      <c r="K26" s="99">
        <v>33.570999999999998</v>
      </c>
      <c r="L26" s="165">
        <f>SUM(BabycareRaw[[#This Row],[2022]:[YTD 24]])</f>
        <v>11.249000000000001</v>
      </c>
      <c r="M26" s="126"/>
      <c r="N26" s="126"/>
      <c r="O26" s="126"/>
      <c r="P26" s="126"/>
      <c r="Q26" s="126"/>
      <c r="R26" s="126"/>
      <c r="S26" s="126"/>
      <c r="T26" s="126"/>
      <c r="U26" s="126"/>
      <c r="V26" s="126"/>
      <c r="W26" s="126"/>
      <c r="X26" s="126"/>
      <c r="Y26" s="126"/>
      <c r="Z26" s="126"/>
      <c r="AA26" s="126"/>
      <c r="AB26" s="126"/>
      <c r="AC26" s="126"/>
    </row>
    <row r="27" spans="1:29" ht="15" customHeight="1" x14ac:dyDescent="0.2">
      <c r="A27" s="34" t="s">
        <v>29</v>
      </c>
      <c r="B27" s="32" t="s">
        <v>8</v>
      </c>
      <c r="C27" s="32" t="s">
        <v>9</v>
      </c>
      <c r="D27" s="33" t="s">
        <v>30</v>
      </c>
      <c r="E27" s="70" t="s">
        <v>26</v>
      </c>
      <c r="F27" s="97">
        <v>9.6471999999999998</v>
      </c>
      <c r="G27" s="98">
        <v>10.7577</v>
      </c>
      <c r="H27" s="99">
        <v>7.0723000000000003</v>
      </c>
      <c r="I27" s="100">
        <v>112.20610000000001</v>
      </c>
      <c r="J27" s="99">
        <v>131.05279999999999</v>
      </c>
      <c r="K27" s="99">
        <v>85.719800000000006</v>
      </c>
      <c r="L27" s="165">
        <f>SUM(BabycareRaw[[#This Row],[2022]:[YTD 24]])</f>
        <v>27.477199999999996</v>
      </c>
      <c r="M27" s="126"/>
      <c r="N27" s="126"/>
      <c r="O27" s="126"/>
      <c r="P27" s="126"/>
      <c r="Q27" s="126"/>
      <c r="R27" s="126"/>
      <c r="S27" s="126"/>
      <c r="T27" s="126"/>
      <c r="U27" s="126"/>
      <c r="V27" s="126"/>
      <c r="W27" s="126"/>
      <c r="X27" s="126"/>
      <c r="Y27" s="126"/>
      <c r="Z27" s="126"/>
      <c r="AA27" s="126"/>
      <c r="AB27" s="126"/>
      <c r="AC27" s="126"/>
    </row>
    <row r="28" spans="1:29" ht="15" customHeight="1" x14ac:dyDescent="0.2">
      <c r="A28" s="34" t="s">
        <v>31</v>
      </c>
      <c r="B28" s="32" t="s">
        <v>8</v>
      </c>
      <c r="C28" s="32" t="s">
        <v>9</v>
      </c>
      <c r="D28" s="33" t="s">
        <v>10</v>
      </c>
      <c r="E28" s="70" t="s">
        <v>32</v>
      </c>
      <c r="F28" s="97">
        <v>0.1235</v>
      </c>
      <c r="G28" s="98">
        <v>0</v>
      </c>
      <c r="H28" s="99">
        <v>0</v>
      </c>
      <c r="I28" s="100">
        <v>2.2799999999999998</v>
      </c>
      <c r="J28" s="99">
        <v>0</v>
      </c>
      <c r="K28" s="99">
        <v>0</v>
      </c>
      <c r="L28" s="165">
        <f>SUM(BabycareRaw[[#This Row],[2022]:[YTD 24]])</f>
        <v>0.1235</v>
      </c>
      <c r="M28" s="126"/>
      <c r="N28" s="126"/>
      <c r="O28" s="126"/>
      <c r="P28" s="126"/>
      <c r="Q28" s="126"/>
      <c r="R28" s="126"/>
      <c r="S28" s="126"/>
      <c r="T28" s="126"/>
      <c r="U28" s="126"/>
      <c r="V28" s="126"/>
      <c r="W28" s="126"/>
      <c r="X28" s="126"/>
      <c r="Y28" s="126"/>
      <c r="Z28" s="126"/>
      <c r="AA28" s="126"/>
      <c r="AB28" s="126"/>
      <c r="AC28" s="126"/>
    </row>
    <row r="29" spans="1:29" ht="15" customHeight="1" x14ac:dyDescent="0.2">
      <c r="A29" s="34" t="s">
        <v>33</v>
      </c>
      <c r="B29" s="32" t="s">
        <v>8</v>
      </c>
      <c r="C29" s="32" t="s">
        <v>9</v>
      </c>
      <c r="D29" s="33" t="s">
        <v>20</v>
      </c>
      <c r="E29" s="70" t="s">
        <v>34</v>
      </c>
      <c r="F29" s="97">
        <v>0</v>
      </c>
      <c r="G29" s="98">
        <v>0</v>
      </c>
      <c r="H29" s="99">
        <v>7.1128</v>
      </c>
      <c r="I29" s="100">
        <v>0</v>
      </c>
      <c r="J29" s="99">
        <v>0</v>
      </c>
      <c r="K29" s="99">
        <v>247.09899999999999</v>
      </c>
      <c r="L29" s="165">
        <f>SUM(BabycareRaw[[#This Row],[2022]:[YTD 24]])</f>
        <v>7.1128</v>
      </c>
      <c r="M29" s="126"/>
      <c r="N29" s="126"/>
      <c r="O29" s="126"/>
      <c r="P29" s="126"/>
      <c r="Q29" s="126"/>
      <c r="R29" s="126"/>
      <c r="S29" s="126"/>
      <c r="T29" s="126"/>
      <c r="U29" s="126"/>
      <c r="V29" s="126"/>
      <c r="W29" s="126"/>
      <c r="X29" s="126"/>
      <c r="Y29" s="126"/>
      <c r="Z29" s="126"/>
      <c r="AA29" s="126"/>
      <c r="AB29" s="126"/>
      <c r="AC29" s="126"/>
    </row>
    <row r="30" spans="1:29" ht="15" customHeight="1" x14ac:dyDescent="0.2">
      <c r="A30" s="34" t="s">
        <v>35</v>
      </c>
      <c r="B30" s="32" t="s">
        <v>8</v>
      </c>
      <c r="C30" s="32" t="s">
        <v>9</v>
      </c>
      <c r="D30" s="33" t="s">
        <v>20</v>
      </c>
      <c r="E30" s="70" t="s">
        <v>34</v>
      </c>
      <c r="F30" s="97">
        <v>0.18310000000000001</v>
      </c>
      <c r="G30" s="98">
        <v>0.1116</v>
      </c>
      <c r="H30" s="99">
        <v>0.38700000000000001</v>
      </c>
      <c r="I30" s="100">
        <v>5.8884999999999996</v>
      </c>
      <c r="J30" s="99">
        <v>3.7909999999999999</v>
      </c>
      <c r="K30" s="99">
        <v>14.3827</v>
      </c>
      <c r="L30" s="165">
        <f>SUM(BabycareRaw[[#This Row],[2022]:[YTD 24]])</f>
        <v>0.68169999999999997</v>
      </c>
      <c r="M30" s="126"/>
      <c r="N30" s="126"/>
      <c r="O30" s="126"/>
      <c r="P30" s="126"/>
      <c r="Q30" s="126"/>
      <c r="R30" s="126"/>
      <c r="S30" s="126"/>
      <c r="T30" s="126"/>
      <c r="U30" s="126"/>
      <c r="V30" s="126"/>
      <c r="W30" s="126"/>
      <c r="X30" s="126"/>
      <c r="Y30" s="126"/>
      <c r="Z30" s="126"/>
      <c r="AA30" s="126"/>
      <c r="AB30" s="126"/>
      <c r="AC30" s="126"/>
    </row>
    <row r="31" spans="1:29" ht="15" customHeight="1" x14ac:dyDescent="0.2">
      <c r="A31" s="34" t="s">
        <v>36</v>
      </c>
      <c r="B31" s="32" t="s">
        <v>8</v>
      </c>
      <c r="C31" s="32" t="s">
        <v>9</v>
      </c>
      <c r="D31" s="33" t="s">
        <v>10</v>
      </c>
      <c r="E31" s="70" t="s">
        <v>37</v>
      </c>
      <c r="F31" s="97">
        <v>1.8938999999999999</v>
      </c>
      <c r="G31" s="98">
        <v>0</v>
      </c>
      <c r="H31" s="99">
        <v>0.22520000000000001</v>
      </c>
      <c r="I31" s="100">
        <v>49.9726</v>
      </c>
      <c r="J31" s="99">
        <v>0</v>
      </c>
      <c r="K31" s="99">
        <v>6.9500999999999999</v>
      </c>
      <c r="L31" s="165">
        <f>SUM(BabycareRaw[[#This Row],[2022]:[YTD 24]])</f>
        <v>2.1191</v>
      </c>
      <c r="M31" s="126"/>
      <c r="N31" s="126"/>
      <c r="O31" s="126"/>
      <c r="P31" s="126"/>
      <c r="Q31" s="126"/>
      <c r="R31" s="126"/>
      <c r="S31" s="126"/>
      <c r="T31" s="126"/>
      <c r="U31" s="126"/>
      <c r="V31" s="126"/>
      <c r="W31" s="126"/>
      <c r="X31" s="126"/>
      <c r="Y31" s="126"/>
      <c r="Z31" s="126"/>
      <c r="AA31" s="126"/>
      <c r="AB31" s="126"/>
      <c r="AC31" s="126"/>
    </row>
    <row r="32" spans="1:29" ht="15" customHeight="1" x14ac:dyDescent="0.2">
      <c r="A32" s="34" t="s">
        <v>38</v>
      </c>
      <c r="B32" s="32" t="s">
        <v>8</v>
      </c>
      <c r="C32" s="32" t="s">
        <v>9</v>
      </c>
      <c r="D32" s="33" t="s">
        <v>10</v>
      </c>
      <c r="E32" s="70" t="s">
        <v>37</v>
      </c>
      <c r="F32" s="97">
        <v>1.3514999999999999</v>
      </c>
      <c r="G32" s="98">
        <v>1.6999999999999999E-3</v>
      </c>
      <c r="H32" s="99">
        <v>0</v>
      </c>
      <c r="I32" s="100">
        <v>37.322600000000001</v>
      </c>
      <c r="J32" s="99">
        <v>6.4000000000000001E-2</v>
      </c>
      <c r="K32" s="99">
        <v>0</v>
      </c>
      <c r="L32" s="165">
        <f>SUM(BabycareRaw[[#This Row],[2022]:[YTD 24]])</f>
        <v>1.3532</v>
      </c>
      <c r="M32" s="126"/>
      <c r="N32" s="126"/>
      <c r="O32" s="126"/>
      <c r="P32" s="126"/>
      <c r="Q32" s="126"/>
      <c r="R32" s="126"/>
      <c r="S32" s="126"/>
      <c r="T32" s="126"/>
      <c r="U32" s="126"/>
      <c r="V32" s="126"/>
      <c r="W32" s="126"/>
      <c r="X32" s="126"/>
      <c r="Y32" s="126"/>
      <c r="Z32" s="126"/>
      <c r="AA32" s="126"/>
      <c r="AB32" s="126"/>
      <c r="AC32" s="126"/>
    </row>
    <row r="33" spans="1:29" ht="15" customHeight="1" x14ac:dyDescent="0.2">
      <c r="A33" s="34" t="s">
        <v>39</v>
      </c>
      <c r="B33" s="32" t="s">
        <v>8</v>
      </c>
      <c r="C33" s="32" t="s">
        <v>9</v>
      </c>
      <c r="D33" s="33" t="s">
        <v>20</v>
      </c>
      <c r="E33" s="70" t="s">
        <v>37</v>
      </c>
      <c r="F33" s="97">
        <v>5.8978000000000002</v>
      </c>
      <c r="G33" s="98">
        <v>0.1087</v>
      </c>
      <c r="H33" s="99">
        <v>0</v>
      </c>
      <c r="I33" s="100">
        <v>169.58080000000001</v>
      </c>
      <c r="J33" s="99">
        <v>3.3822999999999999</v>
      </c>
      <c r="K33" s="99">
        <v>0</v>
      </c>
      <c r="L33" s="165">
        <f>SUM(BabycareRaw[[#This Row],[2022]:[YTD 24]])</f>
        <v>6.0065</v>
      </c>
      <c r="M33" s="126"/>
      <c r="N33" s="126"/>
      <c r="O33" s="126"/>
      <c r="P33" s="126"/>
      <c r="Q33" s="126"/>
      <c r="R33" s="126"/>
      <c r="S33" s="126"/>
      <c r="T33" s="126"/>
      <c r="U33" s="126"/>
      <c r="V33" s="126"/>
      <c r="W33" s="126"/>
      <c r="X33" s="126"/>
      <c r="Y33" s="126"/>
      <c r="Z33" s="126"/>
      <c r="AA33" s="126"/>
      <c r="AB33" s="126"/>
      <c r="AC33" s="126"/>
    </row>
    <row r="34" spans="1:29" ht="15" customHeight="1" x14ac:dyDescent="0.2">
      <c r="A34" s="34" t="s">
        <v>40</v>
      </c>
      <c r="B34" s="32" t="s">
        <v>8</v>
      </c>
      <c r="C34" s="32" t="s">
        <v>9</v>
      </c>
      <c r="D34" s="33" t="s">
        <v>30</v>
      </c>
      <c r="E34" s="70" t="s">
        <v>37</v>
      </c>
      <c r="F34" s="97">
        <v>0.69669999999999999</v>
      </c>
      <c r="G34" s="98">
        <v>28.392900000000001</v>
      </c>
      <c r="H34" s="99">
        <v>2.1978</v>
      </c>
      <c r="I34" s="100">
        <v>25.606300000000001</v>
      </c>
      <c r="J34" s="99">
        <v>1226.3661999999999</v>
      </c>
      <c r="K34" s="99">
        <v>96.438800000000001</v>
      </c>
      <c r="L34" s="165">
        <f>SUM(BabycareRaw[[#This Row],[2022]:[YTD 24]])</f>
        <v>31.287400000000002</v>
      </c>
      <c r="M34" s="126"/>
      <c r="N34" s="126"/>
      <c r="O34" s="126"/>
      <c r="P34" s="126"/>
      <c r="Q34" s="126"/>
      <c r="R34" s="126"/>
      <c r="S34" s="126"/>
      <c r="T34" s="126"/>
      <c r="U34" s="126"/>
      <c r="V34" s="126"/>
      <c r="W34" s="126"/>
      <c r="X34" s="126"/>
      <c r="Y34" s="126"/>
      <c r="Z34" s="126"/>
      <c r="AA34" s="126"/>
      <c r="AB34" s="126"/>
      <c r="AC34" s="126"/>
    </row>
    <row r="35" spans="1:29" ht="15" customHeight="1" x14ac:dyDescent="0.2">
      <c r="A35" s="34" t="s">
        <v>41</v>
      </c>
      <c r="B35" s="32" t="s">
        <v>8</v>
      </c>
      <c r="C35" s="32" t="s">
        <v>9</v>
      </c>
      <c r="D35" s="33" t="s">
        <v>10</v>
      </c>
      <c r="E35" s="70" t="s">
        <v>42</v>
      </c>
      <c r="F35" s="97">
        <v>117.6534</v>
      </c>
      <c r="G35" s="98">
        <v>68.117699999999999</v>
      </c>
      <c r="H35" s="99">
        <v>28.349900000000002</v>
      </c>
      <c r="I35" s="100">
        <v>3055.9405999999999</v>
      </c>
      <c r="J35" s="99">
        <v>1781.8513</v>
      </c>
      <c r="K35" s="99">
        <v>711.07719999999995</v>
      </c>
      <c r="L35" s="165">
        <f>SUM(BabycareRaw[[#This Row],[2022]:[YTD 24]])</f>
        <v>214.12099999999998</v>
      </c>
      <c r="M35" s="126"/>
      <c r="N35" s="126"/>
      <c r="O35" s="126"/>
      <c r="P35" s="126"/>
      <c r="Q35" s="126"/>
      <c r="R35" s="126"/>
      <c r="S35" s="126"/>
      <c r="T35" s="126"/>
      <c r="U35" s="126"/>
      <c r="V35" s="126"/>
      <c r="W35" s="126"/>
      <c r="X35" s="126"/>
      <c r="Y35" s="126"/>
      <c r="Z35" s="126"/>
      <c r="AA35" s="126"/>
      <c r="AB35" s="126"/>
      <c r="AC35" s="126"/>
    </row>
    <row r="36" spans="1:29" ht="15" customHeight="1" x14ac:dyDescent="0.2">
      <c r="A36" s="34" t="s">
        <v>43</v>
      </c>
      <c r="B36" s="32" t="s">
        <v>8</v>
      </c>
      <c r="C36" s="32" t="s">
        <v>9</v>
      </c>
      <c r="D36" s="33" t="s">
        <v>10</v>
      </c>
      <c r="E36" s="70" t="s">
        <v>42</v>
      </c>
      <c r="F36" s="97">
        <v>38.677799999999998</v>
      </c>
      <c r="G36" s="98">
        <v>31.4983</v>
      </c>
      <c r="H36" s="99">
        <v>9.7551000000000005</v>
      </c>
      <c r="I36" s="100">
        <v>954.11220000000003</v>
      </c>
      <c r="J36" s="99">
        <v>803.28520000000003</v>
      </c>
      <c r="K36" s="99">
        <v>236.19829999999999</v>
      </c>
      <c r="L36" s="165">
        <f>SUM(BabycareRaw[[#This Row],[2022]:[YTD 24]])</f>
        <v>79.93119999999999</v>
      </c>
      <c r="M36" s="126"/>
      <c r="N36" s="126"/>
      <c r="O36" s="126"/>
      <c r="P36" s="126"/>
      <c r="Q36" s="126"/>
      <c r="R36" s="126"/>
      <c r="S36" s="126"/>
      <c r="T36" s="126"/>
      <c r="U36" s="126"/>
      <c r="V36" s="126"/>
      <c r="W36" s="126"/>
      <c r="X36" s="126"/>
      <c r="Y36" s="126"/>
      <c r="Z36" s="126"/>
      <c r="AA36" s="126"/>
      <c r="AB36" s="126"/>
      <c r="AC36" s="126"/>
    </row>
    <row r="37" spans="1:29" ht="15" customHeight="1" x14ac:dyDescent="0.2">
      <c r="A37" s="34" t="s">
        <v>44</v>
      </c>
      <c r="B37" s="32" t="s">
        <v>8</v>
      </c>
      <c r="C37" s="32" t="s">
        <v>9</v>
      </c>
      <c r="D37" s="33" t="s">
        <v>20</v>
      </c>
      <c r="E37" s="70" t="s">
        <v>42</v>
      </c>
      <c r="F37" s="97">
        <v>6.1199999999999997E-2</v>
      </c>
      <c r="G37" s="98">
        <v>0</v>
      </c>
      <c r="H37" s="99">
        <v>0</v>
      </c>
      <c r="I37" s="100">
        <v>1.6046</v>
      </c>
      <c r="J37" s="99">
        <v>0</v>
      </c>
      <c r="K37" s="99">
        <v>0</v>
      </c>
      <c r="L37" s="165">
        <f>SUM(BabycareRaw[[#This Row],[2022]:[YTD 24]])</f>
        <v>6.1199999999999997E-2</v>
      </c>
      <c r="M37" s="126"/>
      <c r="N37" s="126"/>
      <c r="O37" s="126"/>
      <c r="P37" s="126"/>
      <c r="Q37" s="126"/>
      <c r="R37" s="126"/>
      <c r="S37" s="126"/>
      <c r="T37" s="126"/>
      <c r="U37" s="126"/>
      <c r="V37" s="126"/>
      <c r="W37" s="126"/>
      <c r="X37" s="126"/>
      <c r="Y37" s="126"/>
      <c r="Z37" s="126"/>
      <c r="AA37" s="126"/>
      <c r="AB37" s="126"/>
      <c r="AC37" s="126"/>
    </row>
    <row r="38" spans="1:29" ht="15" customHeight="1" x14ac:dyDescent="0.2">
      <c r="A38" s="34" t="s">
        <v>45</v>
      </c>
      <c r="B38" s="32" t="s">
        <v>8</v>
      </c>
      <c r="C38" s="32" t="s">
        <v>9</v>
      </c>
      <c r="D38" s="33" t="s">
        <v>20</v>
      </c>
      <c r="E38" s="70" t="s">
        <v>42</v>
      </c>
      <c r="F38" s="97">
        <v>36.521799999999999</v>
      </c>
      <c r="G38" s="98">
        <v>5.1192000000000002</v>
      </c>
      <c r="H38" s="99">
        <v>1.1213</v>
      </c>
      <c r="I38" s="100">
        <v>1199.5277000000001</v>
      </c>
      <c r="J38" s="99">
        <v>135.36869999999999</v>
      </c>
      <c r="K38" s="99">
        <v>30.554400000000001</v>
      </c>
      <c r="L38" s="165">
        <f>SUM(BabycareRaw[[#This Row],[2022]:[YTD 24]])</f>
        <v>42.762299999999996</v>
      </c>
      <c r="M38" s="126"/>
      <c r="N38" s="126"/>
      <c r="O38" s="126"/>
      <c r="P38" s="126"/>
      <c r="Q38" s="126"/>
      <c r="R38" s="126"/>
      <c r="S38" s="126"/>
      <c r="T38" s="126"/>
      <c r="U38" s="126"/>
      <c r="V38" s="126"/>
      <c r="W38" s="126"/>
      <c r="X38" s="126"/>
      <c r="Y38" s="126"/>
      <c r="Z38" s="126"/>
      <c r="AA38" s="126"/>
      <c r="AB38" s="126"/>
      <c r="AC38" s="126"/>
    </row>
    <row r="39" spans="1:29" ht="15" customHeight="1" x14ac:dyDescent="0.2">
      <c r="A39" s="34" t="s">
        <v>46</v>
      </c>
      <c r="B39" s="32" t="s">
        <v>8</v>
      </c>
      <c r="C39" s="32" t="s">
        <v>9</v>
      </c>
      <c r="D39" s="33" t="s">
        <v>20</v>
      </c>
      <c r="E39" s="70" t="s">
        <v>42</v>
      </c>
      <c r="F39" s="97">
        <v>21.958300000000001</v>
      </c>
      <c r="G39" s="98">
        <v>39.467100000000002</v>
      </c>
      <c r="H39" s="99">
        <v>10.7844</v>
      </c>
      <c r="I39" s="100">
        <v>726.31399999999996</v>
      </c>
      <c r="J39" s="99">
        <v>1508.4713999999999</v>
      </c>
      <c r="K39" s="99">
        <v>314.52640000000002</v>
      </c>
      <c r="L39" s="165">
        <f>SUM(BabycareRaw[[#This Row],[2022]:[YTD 24]])</f>
        <v>72.209800000000001</v>
      </c>
      <c r="M39" s="126"/>
      <c r="N39" s="126"/>
      <c r="O39" s="126"/>
      <c r="P39" s="126"/>
      <c r="Q39" s="126"/>
      <c r="R39" s="126"/>
      <c r="S39" s="126"/>
      <c r="T39" s="126"/>
      <c r="U39" s="126"/>
      <c r="V39" s="126"/>
      <c r="W39" s="126"/>
      <c r="X39" s="126"/>
      <c r="Y39" s="126"/>
      <c r="Z39" s="126"/>
      <c r="AA39" s="126"/>
      <c r="AB39" s="126"/>
      <c r="AC39" s="126"/>
    </row>
    <row r="40" spans="1:29" ht="15" customHeight="1" x14ac:dyDescent="0.2">
      <c r="A40" s="34" t="s">
        <v>47</v>
      </c>
      <c r="B40" s="32" t="s">
        <v>8</v>
      </c>
      <c r="C40" s="32" t="s">
        <v>9</v>
      </c>
      <c r="D40" s="33" t="s">
        <v>20</v>
      </c>
      <c r="E40" s="70" t="s">
        <v>42</v>
      </c>
      <c r="F40" s="97">
        <v>27.983599999999999</v>
      </c>
      <c r="G40" s="98">
        <v>162.41050000000001</v>
      </c>
      <c r="H40" s="99">
        <v>103.16800000000001</v>
      </c>
      <c r="I40" s="100">
        <v>928.81529999999998</v>
      </c>
      <c r="J40" s="99">
        <v>5484.9444999999996</v>
      </c>
      <c r="K40" s="99">
        <v>3446.0194999999999</v>
      </c>
      <c r="L40" s="165">
        <f>SUM(BabycareRaw[[#This Row],[2022]:[YTD 24]])</f>
        <v>293.56209999999999</v>
      </c>
      <c r="M40" s="126"/>
      <c r="N40" s="126"/>
      <c r="O40" s="126"/>
      <c r="P40" s="126"/>
      <c r="Q40" s="126"/>
      <c r="R40" s="126"/>
      <c r="S40" s="126"/>
      <c r="T40" s="126"/>
      <c r="U40" s="126"/>
      <c r="V40" s="126"/>
      <c r="W40" s="126"/>
      <c r="X40" s="126"/>
      <c r="Y40" s="126"/>
      <c r="Z40" s="126"/>
      <c r="AA40" s="126"/>
      <c r="AB40" s="126"/>
      <c r="AC40" s="126"/>
    </row>
    <row r="41" spans="1:29" ht="15" customHeight="1" x14ac:dyDescent="0.2">
      <c r="A41" s="34" t="s">
        <v>48</v>
      </c>
      <c r="B41" s="32" t="s">
        <v>8</v>
      </c>
      <c r="C41" s="32" t="s">
        <v>9</v>
      </c>
      <c r="D41" s="33" t="s">
        <v>10</v>
      </c>
      <c r="E41" s="70" t="s">
        <v>42</v>
      </c>
      <c r="F41" s="97">
        <v>221.17019999999999</v>
      </c>
      <c r="G41" s="98">
        <v>159.9896</v>
      </c>
      <c r="H41" s="99">
        <v>77.865600000000001</v>
      </c>
      <c r="I41" s="100">
        <v>6715.8593000000001</v>
      </c>
      <c r="J41" s="99">
        <v>4333.2687999999998</v>
      </c>
      <c r="K41" s="99">
        <v>2035.5381</v>
      </c>
      <c r="L41" s="165">
        <f>SUM(BabycareRaw[[#This Row],[2022]:[YTD 24]])</f>
        <v>459.02539999999999</v>
      </c>
      <c r="M41" s="126"/>
      <c r="N41" s="126"/>
      <c r="O41" s="126"/>
      <c r="P41" s="126"/>
      <c r="Q41" s="126"/>
      <c r="R41" s="126"/>
      <c r="S41" s="126"/>
      <c r="T41" s="126"/>
      <c r="U41" s="126"/>
      <c r="V41" s="126"/>
      <c r="W41" s="126"/>
      <c r="X41" s="126"/>
      <c r="Y41" s="126"/>
      <c r="Z41" s="126"/>
      <c r="AA41" s="126"/>
      <c r="AB41" s="126"/>
      <c r="AC41" s="126"/>
    </row>
    <row r="42" spans="1:29" ht="15" customHeight="1" x14ac:dyDescent="0.2">
      <c r="A42" s="34" t="s">
        <v>49</v>
      </c>
      <c r="B42" s="32" t="s">
        <v>8</v>
      </c>
      <c r="C42" s="32" t="s">
        <v>9</v>
      </c>
      <c r="D42" s="33" t="s">
        <v>20</v>
      </c>
      <c r="E42" s="70" t="s">
        <v>42</v>
      </c>
      <c r="F42" s="97">
        <v>6.4486999999999997</v>
      </c>
      <c r="G42" s="98">
        <v>1.6863999999999999</v>
      </c>
      <c r="H42" s="99">
        <v>0</v>
      </c>
      <c r="I42" s="100">
        <v>194.65190000000001</v>
      </c>
      <c r="J42" s="99">
        <v>50.700299999999999</v>
      </c>
      <c r="K42" s="99">
        <v>0</v>
      </c>
      <c r="L42" s="165">
        <f>SUM(BabycareRaw[[#This Row],[2022]:[YTD 24]])</f>
        <v>8.1350999999999996</v>
      </c>
      <c r="M42" s="126"/>
      <c r="N42" s="126"/>
      <c r="O42" s="126"/>
      <c r="P42" s="126"/>
      <c r="Q42" s="126"/>
      <c r="R42" s="126"/>
      <c r="S42" s="126"/>
      <c r="T42" s="126"/>
      <c r="U42" s="126"/>
      <c r="V42" s="126"/>
      <c r="W42" s="126"/>
      <c r="X42" s="126"/>
      <c r="Y42" s="126"/>
      <c r="Z42" s="126"/>
      <c r="AA42" s="126"/>
      <c r="AB42" s="126"/>
      <c r="AC42" s="126"/>
    </row>
    <row r="43" spans="1:29" ht="15" customHeight="1" x14ac:dyDescent="0.2">
      <c r="A43" s="34" t="s">
        <v>50</v>
      </c>
      <c r="B43" s="32" t="s">
        <v>8</v>
      </c>
      <c r="C43" s="32" t="s">
        <v>9</v>
      </c>
      <c r="D43" s="33" t="s">
        <v>20</v>
      </c>
      <c r="E43" s="70" t="s">
        <v>42</v>
      </c>
      <c r="F43" s="97">
        <v>0</v>
      </c>
      <c r="G43" s="98">
        <v>0</v>
      </c>
      <c r="H43" s="99">
        <v>0</v>
      </c>
      <c r="I43" s="100">
        <v>0</v>
      </c>
      <c r="J43" s="99">
        <v>0</v>
      </c>
      <c r="K43" s="99">
        <v>0</v>
      </c>
      <c r="L43" s="165">
        <f>SUM(BabycareRaw[[#This Row],[2022]:[YTD 24]])</f>
        <v>0</v>
      </c>
      <c r="M43" s="126"/>
      <c r="N43" s="126"/>
      <c r="O43" s="126"/>
      <c r="P43" s="126"/>
      <c r="Q43" s="126"/>
      <c r="R43" s="126"/>
      <c r="S43" s="126"/>
      <c r="T43" s="126"/>
      <c r="U43" s="126"/>
      <c r="V43" s="126"/>
      <c r="W43" s="126"/>
      <c r="X43" s="126"/>
      <c r="Y43" s="126"/>
      <c r="Z43" s="126"/>
      <c r="AA43" s="126"/>
      <c r="AB43" s="126"/>
      <c r="AC43" s="126"/>
    </row>
    <row r="44" spans="1:29" ht="15" customHeight="1" x14ac:dyDescent="0.2">
      <c r="A44" s="34" t="s">
        <v>51</v>
      </c>
      <c r="B44" s="32" t="s">
        <v>8</v>
      </c>
      <c r="C44" s="32" t="s">
        <v>9</v>
      </c>
      <c r="D44" s="33" t="s">
        <v>20</v>
      </c>
      <c r="E44" s="70" t="s">
        <v>42</v>
      </c>
      <c r="F44" s="97">
        <v>1663.8369</v>
      </c>
      <c r="G44" s="98">
        <v>1815.6596999999999</v>
      </c>
      <c r="H44" s="99">
        <v>1049.2485999999999</v>
      </c>
      <c r="I44" s="100">
        <v>62012.672500000001</v>
      </c>
      <c r="J44" s="99">
        <v>68679.966</v>
      </c>
      <c r="K44" s="99">
        <v>37856.881999999998</v>
      </c>
      <c r="L44" s="165">
        <f>SUM(BabycareRaw[[#This Row],[2022]:[YTD 24]])</f>
        <v>4528.7451999999994</v>
      </c>
      <c r="M44" s="126"/>
      <c r="N44" s="126"/>
      <c r="O44" s="126"/>
      <c r="P44" s="126"/>
      <c r="Q44" s="126"/>
      <c r="R44" s="126"/>
      <c r="S44" s="126"/>
      <c r="T44" s="126"/>
      <c r="U44" s="126"/>
      <c r="V44" s="126"/>
      <c r="W44" s="126"/>
      <c r="X44" s="126"/>
      <c r="Y44" s="126"/>
      <c r="Z44" s="126"/>
      <c r="AA44" s="126"/>
      <c r="AB44" s="126"/>
      <c r="AC44" s="126"/>
    </row>
    <row r="45" spans="1:29" ht="15" customHeight="1" x14ac:dyDescent="0.2">
      <c r="A45" s="34" t="s">
        <v>52</v>
      </c>
      <c r="B45" s="32" t="s">
        <v>8</v>
      </c>
      <c r="C45" s="32" t="s">
        <v>9</v>
      </c>
      <c r="D45" s="33" t="s">
        <v>10</v>
      </c>
      <c r="E45" s="70" t="s">
        <v>17</v>
      </c>
      <c r="F45" s="97">
        <v>1.7698</v>
      </c>
      <c r="G45" s="98">
        <v>0.36170000000000002</v>
      </c>
      <c r="H45" s="99">
        <v>0.20810000000000001</v>
      </c>
      <c r="I45" s="100">
        <v>50.220500000000001</v>
      </c>
      <c r="J45" s="99">
        <v>12.068099999999999</v>
      </c>
      <c r="K45" s="99">
        <v>5.4642999999999997</v>
      </c>
      <c r="L45" s="165">
        <f>SUM(BabycareRaw[[#This Row],[2022]:[YTD 24]])</f>
        <v>2.3395999999999999</v>
      </c>
      <c r="M45" s="126"/>
      <c r="N45" s="126"/>
      <c r="O45" s="126"/>
      <c r="P45" s="126"/>
      <c r="Q45" s="126"/>
      <c r="R45" s="126"/>
      <c r="S45" s="126"/>
      <c r="T45" s="126"/>
      <c r="U45" s="126"/>
      <c r="V45" s="126"/>
      <c r="W45" s="126"/>
      <c r="X45" s="126"/>
      <c r="Y45" s="126"/>
      <c r="Z45" s="126"/>
      <c r="AA45" s="126"/>
      <c r="AB45" s="126"/>
      <c r="AC45" s="126"/>
    </row>
    <row r="46" spans="1:29" ht="15" customHeight="1" x14ac:dyDescent="0.2">
      <c r="A46" s="34" t="s">
        <v>53</v>
      </c>
      <c r="B46" s="32" t="s">
        <v>8</v>
      </c>
      <c r="C46" s="32" t="s">
        <v>9</v>
      </c>
      <c r="D46" s="33" t="s">
        <v>10</v>
      </c>
      <c r="E46" s="70" t="s">
        <v>17</v>
      </c>
      <c r="F46" s="97">
        <v>61.981900000000003</v>
      </c>
      <c r="G46" s="98">
        <v>56.970199999999998</v>
      </c>
      <c r="H46" s="99">
        <v>23.8948</v>
      </c>
      <c r="I46" s="100">
        <v>1524.2099000000001</v>
      </c>
      <c r="J46" s="99">
        <v>1404.4858999999999</v>
      </c>
      <c r="K46" s="99">
        <v>554.68420000000003</v>
      </c>
      <c r="L46" s="165">
        <f>SUM(BabycareRaw[[#This Row],[2022]:[YTD 24]])</f>
        <v>142.84690000000001</v>
      </c>
      <c r="M46" s="126"/>
      <c r="N46" s="126"/>
      <c r="O46" s="126"/>
      <c r="P46" s="126"/>
      <c r="Q46" s="126"/>
      <c r="R46" s="126"/>
      <c r="S46" s="126"/>
      <c r="T46" s="126"/>
      <c r="U46" s="126"/>
      <c r="V46" s="126"/>
      <c r="W46" s="126"/>
      <c r="X46" s="126"/>
      <c r="Y46" s="126"/>
      <c r="Z46" s="126"/>
      <c r="AA46" s="126"/>
      <c r="AB46" s="126"/>
      <c r="AC46" s="126"/>
    </row>
    <row r="47" spans="1:29" ht="15" customHeight="1" x14ac:dyDescent="0.2">
      <c r="A47" s="27" t="s">
        <v>715</v>
      </c>
      <c r="B47" s="28" t="s">
        <v>5</v>
      </c>
      <c r="C47" s="28"/>
      <c r="D47" s="29"/>
      <c r="E47" s="68"/>
      <c r="F47" s="101">
        <v>511.78089999999997</v>
      </c>
      <c r="G47" s="102">
        <v>507.3048</v>
      </c>
      <c r="H47" s="103">
        <v>295.71379999999999</v>
      </c>
      <c r="I47" s="104">
        <v>23199.701799999999</v>
      </c>
      <c r="J47" s="103">
        <v>21680.539100000002</v>
      </c>
      <c r="K47" s="103">
        <v>11434.4841</v>
      </c>
      <c r="L47" s="169">
        <f>SUM(BabycareRaw[[#This Row],[2022]:[YTD 24]])</f>
        <v>1314.7995000000001</v>
      </c>
      <c r="M47" s="126"/>
      <c r="N47" s="126"/>
      <c r="O47" s="126"/>
      <c r="P47" s="126"/>
      <c r="Q47" s="126"/>
      <c r="R47" s="126"/>
      <c r="S47" s="126"/>
      <c r="T47" s="126"/>
      <c r="U47" s="126"/>
      <c r="V47" s="126"/>
      <c r="W47" s="126"/>
      <c r="X47" s="126"/>
      <c r="Y47" s="126"/>
      <c r="Z47" s="126"/>
      <c r="AA47" s="126"/>
      <c r="AB47" s="126"/>
      <c r="AC47" s="126"/>
    </row>
    <row r="48" spans="1:29" ht="14.25" customHeight="1" x14ac:dyDescent="0.2">
      <c r="A48" s="30" t="s">
        <v>831</v>
      </c>
      <c r="B48" s="31" t="s">
        <v>6</v>
      </c>
      <c r="C48" s="32"/>
      <c r="D48" s="33"/>
      <c r="E48" s="70"/>
      <c r="F48" s="97">
        <v>511.78089999999997</v>
      </c>
      <c r="G48" s="98">
        <v>507.3048</v>
      </c>
      <c r="H48" s="99">
        <v>295.71379999999999</v>
      </c>
      <c r="I48" s="100">
        <v>23199.701799999999</v>
      </c>
      <c r="J48" s="99">
        <v>21680.539100000002</v>
      </c>
      <c r="K48" s="99">
        <v>11434.4841</v>
      </c>
      <c r="L48" s="165">
        <f>SUM(BabycareRaw[[#This Row],[2022]:[YTD 24]])</f>
        <v>1314.7995000000001</v>
      </c>
      <c r="M48" s="126"/>
      <c r="N48" s="126"/>
      <c r="O48" s="126"/>
      <c r="P48" s="126"/>
      <c r="Q48" s="126"/>
      <c r="R48" s="126"/>
      <c r="S48" s="126"/>
      <c r="T48" s="126"/>
      <c r="U48" s="126"/>
      <c r="V48" s="126"/>
      <c r="W48" s="126"/>
      <c r="X48" s="126"/>
      <c r="Y48" s="126"/>
      <c r="Z48" s="126"/>
      <c r="AA48" s="126"/>
      <c r="AB48" s="126"/>
      <c r="AC48" s="126"/>
    </row>
    <row r="49" spans="1:29" ht="15" customHeight="1" x14ac:dyDescent="0.2">
      <c r="A49" s="34" t="s">
        <v>54</v>
      </c>
      <c r="B49" s="32" t="s">
        <v>8</v>
      </c>
      <c r="C49" s="32" t="s">
        <v>9</v>
      </c>
      <c r="D49" s="33" t="s">
        <v>20</v>
      </c>
      <c r="E49" s="70" t="s">
        <v>24</v>
      </c>
      <c r="F49" s="97">
        <v>78.227999999999994</v>
      </c>
      <c r="G49" s="98">
        <v>99.030500000000004</v>
      </c>
      <c r="H49" s="99">
        <v>56.674100000000003</v>
      </c>
      <c r="I49" s="100">
        <v>4816.5708000000004</v>
      </c>
      <c r="J49" s="99">
        <v>5822.6243999999997</v>
      </c>
      <c r="K49" s="99">
        <v>2923.4182999999998</v>
      </c>
      <c r="L49" s="165">
        <f>SUM(BabycareRaw[[#This Row],[2022]:[YTD 24]])</f>
        <v>233.93260000000001</v>
      </c>
      <c r="M49" s="126"/>
      <c r="N49" s="126"/>
      <c r="O49" s="126"/>
      <c r="P49" s="126"/>
      <c r="Q49" s="126"/>
      <c r="R49" s="126"/>
      <c r="S49" s="126"/>
      <c r="T49" s="126"/>
      <c r="U49" s="126"/>
      <c r="V49" s="126"/>
      <c r="W49" s="126"/>
      <c r="X49" s="126"/>
      <c r="Y49" s="126"/>
      <c r="Z49" s="126"/>
      <c r="AA49" s="126"/>
      <c r="AB49" s="126"/>
      <c r="AC49" s="126"/>
    </row>
    <row r="50" spans="1:29" ht="15" customHeight="1" x14ac:dyDescent="0.2">
      <c r="A50" s="34" t="s">
        <v>55</v>
      </c>
      <c r="B50" s="32" t="s">
        <v>8</v>
      </c>
      <c r="C50" s="32" t="s">
        <v>9</v>
      </c>
      <c r="D50" s="33" t="s">
        <v>10</v>
      </c>
      <c r="E50" s="70" t="s">
        <v>37</v>
      </c>
      <c r="F50" s="97">
        <v>11.11</v>
      </c>
      <c r="G50" s="98">
        <v>8.9543999999999997</v>
      </c>
      <c r="H50" s="99">
        <v>2.2328999999999999</v>
      </c>
      <c r="I50" s="100">
        <v>523.16819999999996</v>
      </c>
      <c r="J50" s="99">
        <v>387.32229999999998</v>
      </c>
      <c r="K50" s="99">
        <v>84.428399999999996</v>
      </c>
      <c r="L50" s="165">
        <f>SUM(BabycareRaw[[#This Row],[2022]:[YTD 24]])</f>
        <v>22.2973</v>
      </c>
      <c r="M50" s="126"/>
      <c r="N50" s="126"/>
      <c r="O50" s="126"/>
      <c r="P50" s="126"/>
      <c r="Q50" s="126"/>
      <c r="R50" s="126"/>
      <c r="S50" s="126"/>
      <c r="T50" s="126"/>
      <c r="U50" s="126"/>
      <c r="V50" s="126"/>
      <c r="W50" s="126"/>
      <c r="X50" s="126"/>
      <c r="Y50" s="126"/>
      <c r="Z50" s="126"/>
      <c r="AA50" s="126"/>
      <c r="AB50" s="126"/>
      <c r="AC50" s="126"/>
    </row>
    <row r="51" spans="1:29" ht="15" customHeight="1" x14ac:dyDescent="0.2">
      <c r="A51" s="34" t="s">
        <v>56</v>
      </c>
      <c r="B51" s="32" t="s">
        <v>8</v>
      </c>
      <c r="C51" s="32" t="s">
        <v>9</v>
      </c>
      <c r="D51" s="33" t="s">
        <v>10</v>
      </c>
      <c r="E51" s="70" t="s">
        <v>37</v>
      </c>
      <c r="F51" s="97">
        <v>79.953000000000003</v>
      </c>
      <c r="G51" s="98">
        <v>73.757099999999994</v>
      </c>
      <c r="H51" s="99">
        <v>40.362299999999998</v>
      </c>
      <c r="I51" s="100">
        <v>3388.3481999999999</v>
      </c>
      <c r="J51" s="99">
        <v>2840.8843000000002</v>
      </c>
      <c r="K51" s="99">
        <v>1387.0689</v>
      </c>
      <c r="L51" s="165">
        <f>SUM(BabycareRaw[[#This Row],[2022]:[YTD 24]])</f>
        <v>194.07240000000002</v>
      </c>
      <c r="M51" s="126"/>
      <c r="N51" s="126"/>
      <c r="O51" s="126"/>
      <c r="P51" s="126"/>
      <c r="Q51" s="126"/>
      <c r="R51" s="126"/>
      <c r="S51" s="126"/>
      <c r="T51" s="126"/>
      <c r="U51" s="126"/>
      <c r="V51" s="126"/>
      <c r="W51" s="126"/>
      <c r="X51" s="126"/>
      <c r="Y51" s="126"/>
      <c r="Z51" s="126"/>
      <c r="AA51" s="126"/>
      <c r="AB51" s="126"/>
      <c r="AC51" s="126"/>
    </row>
    <row r="52" spans="1:29" ht="15" customHeight="1" x14ac:dyDescent="0.2">
      <c r="A52" s="34" t="s">
        <v>57</v>
      </c>
      <c r="B52" s="32" t="s">
        <v>8</v>
      </c>
      <c r="C52" s="32" t="s">
        <v>9</v>
      </c>
      <c r="D52" s="33" t="s">
        <v>10</v>
      </c>
      <c r="E52" s="70" t="s">
        <v>37</v>
      </c>
      <c r="F52" s="97">
        <v>12.195</v>
      </c>
      <c r="G52" s="98">
        <v>8.5597999999999992</v>
      </c>
      <c r="H52" s="99">
        <v>1.6516999999999999</v>
      </c>
      <c r="I52" s="100">
        <v>553.03880000000004</v>
      </c>
      <c r="J52" s="99">
        <v>369.83049999999997</v>
      </c>
      <c r="K52" s="99">
        <v>64.100099999999998</v>
      </c>
      <c r="L52" s="165">
        <f>SUM(BabycareRaw[[#This Row],[2022]:[YTD 24]])</f>
        <v>22.406500000000001</v>
      </c>
      <c r="M52" s="126"/>
      <c r="N52" s="126"/>
      <c r="O52" s="126"/>
      <c r="P52" s="126"/>
      <c r="Q52" s="126"/>
      <c r="R52" s="126"/>
      <c r="S52" s="126"/>
      <c r="T52" s="126"/>
      <c r="U52" s="126"/>
      <c r="V52" s="126"/>
      <c r="W52" s="126"/>
      <c r="X52" s="126"/>
      <c r="Y52" s="126"/>
      <c r="Z52" s="126"/>
      <c r="AA52" s="126"/>
      <c r="AB52" s="126"/>
      <c r="AC52" s="126"/>
    </row>
    <row r="53" spans="1:29" ht="15" customHeight="1" x14ac:dyDescent="0.2">
      <c r="A53" s="34" t="s">
        <v>58</v>
      </c>
      <c r="B53" s="32" t="s">
        <v>8</v>
      </c>
      <c r="C53" s="32" t="s">
        <v>9</v>
      </c>
      <c r="D53" s="33" t="s">
        <v>10</v>
      </c>
      <c r="E53" s="70" t="s">
        <v>37</v>
      </c>
      <c r="F53" s="97">
        <v>60.510800000000003</v>
      </c>
      <c r="G53" s="98">
        <v>52.405999999999999</v>
      </c>
      <c r="H53" s="99">
        <v>30.122800000000002</v>
      </c>
      <c r="I53" s="100">
        <v>2540.1291999999999</v>
      </c>
      <c r="J53" s="99">
        <v>2011.4869000000001</v>
      </c>
      <c r="K53" s="99">
        <v>1066.0352</v>
      </c>
      <c r="L53" s="165">
        <f>SUM(BabycareRaw[[#This Row],[2022]:[YTD 24]])</f>
        <v>143.03960000000001</v>
      </c>
      <c r="M53" s="126"/>
      <c r="N53" s="126"/>
      <c r="O53" s="126"/>
      <c r="P53" s="126"/>
      <c r="Q53" s="126"/>
      <c r="R53" s="126"/>
      <c r="S53" s="126"/>
      <c r="T53" s="126"/>
      <c r="U53" s="126"/>
      <c r="V53" s="126"/>
      <c r="W53" s="126"/>
      <c r="X53" s="126"/>
      <c r="Y53" s="126"/>
      <c r="Z53" s="126"/>
      <c r="AA53" s="126"/>
      <c r="AB53" s="126"/>
      <c r="AC53" s="126"/>
    </row>
    <row r="54" spans="1:29" ht="15" customHeight="1" x14ac:dyDescent="0.2">
      <c r="A54" s="34" t="s">
        <v>59</v>
      </c>
      <c r="B54" s="32" t="s">
        <v>8</v>
      </c>
      <c r="C54" s="32" t="s">
        <v>9</v>
      </c>
      <c r="D54" s="33" t="s">
        <v>10</v>
      </c>
      <c r="E54" s="70" t="s">
        <v>37</v>
      </c>
      <c r="F54" s="97">
        <v>47.8005</v>
      </c>
      <c r="G54" s="98">
        <v>51.199100000000001</v>
      </c>
      <c r="H54" s="99">
        <v>29.6906</v>
      </c>
      <c r="I54" s="100">
        <v>1970.2177999999999</v>
      </c>
      <c r="J54" s="99">
        <v>1924.2328</v>
      </c>
      <c r="K54" s="99">
        <v>1027.8571999999999</v>
      </c>
      <c r="L54" s="165">
        <f>SUM(BabycareRaw[[#This Row],[2022]:[YTD 24]])</f>
        <v>128.6902</v>
      </c>
      <c r="M54" s="126"/>
      <c r="N54" s="126"/>
      <c r="O54" s="126"/>
      <c r="P54" s="126"/>
      <c r="Q54" s="126"/>
      <c r="R54" s="126"/>
      <c r="S54" s="126"/>
      <c r="T54" s="126"/>
      <c r="U54" s="126"/>
      <c r="V54" s="126"/>
      <c r="W54" s="126"/>
      <c r="X54" s="126"/>
      <c r="Y54" s="126"/>
      <c r="Z54" s="126"/>
      <c r="AA54" s="126"/>
      <c r="AB54" s="126"/>
      <c r="AC54" s="126"/>
    </row>
    <row r="55" spans="1:29" ht="15" customHeight="1" x14ac:dyDescent="0.2">
      <c r="A55" s="34" t="s">
        <v>60</v>
      </c>
      <c r="B55" s="32" t="s">
        <v>8</v>
      </c>
      <c r="C55" s="32" t="s">
        <v>9</v>
      </c>
      <c r="D55" s="33" t="s">
        <v>20</v>
      </c>
      <c r="E55" s="70" t="s">
        <v>37</v>
      </c>
      <c r="F55" s="97">
        <v>0</v>
      </c>
      <c r="G55" s="98">
        <v>3.2536</v>
      </c>
      <c r="H55" s="99">
        <v>4.3144</v>
      </c>
      <c r="I55" s="100">
        <v>0</v>
      </c>
      <c r="J55" s="99">
        <v>139.34979999999999</v>
      </c>
      <c r="K55" s="99">
        <v>169.84690000000001</v>
      </c>
      <c r="L55" s="165">
        <f>SUM(BabycareRaw[[#This Row],[2022]:[YTD 24]])</f>
        <v>7.5679999999999996</v>
      </c>
      <c r="M55" s="126"/>
      <c r="N55" s="126"/>
      <c r="O55" s="126"/>
      <c r="P55" s="126"/>
      <c r="Q55" s="126"/>
      <c r="R55" s="126"/>
      <c r="S55" s="126"/>
      <c r="T55" s="126"/>
      <c r="U55" s="126"/>
      <c r="V55" s="126"/>
      <c r="W55" s="126"/>
      <c r="X55" s="126"/>
      <c r="Y55" s="126"/>
      <c r="Z55" s="126"/>
      <c r="AA55" s="126"/>
      <c r="AB55" s="126"/>
      <c r="AC55" s="126"/>
    </row>
    <row r="56" spans="1:29" ht="15" customHeight="1" x14ac:dyDescent="0.2">
      <c r="A56" s="34" t="s">
        <v>61</v>
      </c>
      <c r="B56" s="32" t="s">
        <v>8</v>
      </c>
      <c r="C56" s="32" t="s">
        <v>9</v>
      </c>
      <c r="D56" s="33" t="s">
        <v>20</v>
      </c>
      <c r="E56" s="70" t="s">
        <v>37</v>
      </c>
      <c r="F56" s="97">
        <v>5.5922000000000001</v>
      </c>
      <c r="G56" s="98">
        <v>5.3672000000000004</v>
      </c>
      <c r="H56" s="99">
        <v>2.5727000000000002</v>
      </c>
      <c r="I56" s="100">
        <v>261.04790000000003</v>
      </c>
      <c r="J56" s="99">
        <v>232.43600000000001</v>
      </c>
      <c r="K56" s="99">
        <v>93.995500000000007</v>
      </c>
      <c r="L56" s="165">
        <f>SUM(BabycareRaw[[#This Row],[2022]:[YTD 24]])</f>
        <v>13.5321</v>
      </c>
      <c r="M56" s="126"/>
      <c r="N56" s="126"/>
      <c r="O56" s="126"/>
      <c r="P56" s="126"/>
      <c r="Q56" s="126"/>
      <c r="R56" s="126"/>
      <c r="S56" s="126"/>
      <c r="T56" s="126"/>
      <c r="U56" s="126"/>
      <c r="V56" s="126"/>
      <c r="W56" s="126"/>
      <c r="X56" s="126"/>
      <c r="Y56" s="126"/>
      <c r="Z56" s="126"/>
      <c r="AA56" s="126"/>
      <c r="AB56" s="126"/>
      <c r="AC56" s="126"/>
    </row>
    <row r="57" spans="1:29" ht="15" customHeight="1" x14ac:dyDescent="0.2">
      <c r="A57" s="34" t="s">
        <v>62</v>
      </c>
      <c r="B57" s="32" t="s">
        <v>8</v>
      </c>
      <c r="C57" s="32" t="s">
        <v>9</v>
      </c>
      <c r="D57" s="33" t="s">
        <v>20</v>
      </c>
      <c r="E57" s="70" t="s">
        <v>37</v>
      </c>
      <c r="F57" s="97">
        <v>53.490699999999997</v>
      </c>
      <c r="G57" s="98">
        <v>44.783700000000003</v>
      </c>
      <c r="H57" s="99">
        <v>26.440899999999999</v>
      </c>
      <c r="I57" s="100">
        <v>2262.5698000000002</v>
      </c>
      <c r="J57" s="99">
        <v>1667.4681</v>
      </c>
      <c r="K57" s="99">
        <v>920.88139999999999</v>
      </c>
      <c r="L57" s="165">
        <f>SUM(BabycareRaw[[#This Row],[2022]:[YTD 24]])</f>
        <v>124.7153</v>
      </c>
      <c r="M57" s="126"/>
      <c r="N57" s="126"/>
      <c r="O57" s="126"/>
      <c r="P57" s="126"/>
      <c r="Q57" s="126"/>
      <c r="R57" s="126"/>
      <c r="S57" s="126"/>
      <c r="T57" s="126"/>
      <c r="U57" s="126"/>
      <c r="V57" s="126"/>
      <c r="W57" s="126"/>
      <c r="X57" s="126"/>
      <c r="Y57" s="126"/>
      <c r="Z57" s="126"/>
      <c r="AA57" s="126"/>
      <c r="AB57" s="126"/>
      <c r="AC57" s="126"/>
    </row>
    <row r="58" spans="1:29" ht="15" customHeight="1" x14ac:dyDescent="0.2">
      <c r="A58" s="34" t="s">
        <v>63</v>
      </c>
      <c r="B58" s="32" t="s">
        <v>8</v>
      </c>
      <c r="C58" s="32" t="s">
        <v>9</v>
      </c>
      <c r="D58" s="33" t="s">
        <v>64</v>
      </c>
      <c r="E58" s="70" t="s">
        <v>37</v>
      </c>
      <c r="F58" s="97">
        <v>8.2710000000000008</v>
      </c>
      <c r="G58" s="98">
        <v>9.9309999999999992</v>
      </c>
      <c r="H58" s="99">
        <v>1.1805000000000001</v>
      </c>
      <c r="I58" s="100">
        <v>392.0086</v>
      </c>
      <c r="J58" s="99">
        <v>426.19690000000003</v>
      </c>
      <c r="K58" s="99">
        <v>46.280799999999999</v>
      </c>
      <c r="L58" s="165">
        <f>SUM(BabycareRaw[[#This Row],[2022]:[YTD 24]])</f>
        <v>19.382499999999997</v>
      </c>
      <c r="M58" s="126"/>
      <c r="N58" s="126"/>
      <c r="O58" s="126"/>
      <c r="P58" s="126"/>
      <c r="Q58" s="126"/>
      <c r="R58" s="126"/>
      <c r="S58" s="126"/>
      <c r="T58" s="126"/>
      <c r="U58" s="126"/>
      <c r="V58" s="126"/>
      <c r="W58" s="126"/>
      <c r="X58" s="126"/>
      <c r="Y58" s="126"/>
      <c r="Z58" s="126"/>
      <c r="AA58" s="126"/>
      <c r="AB58" s="126"/>
      <c r="AC58" s="126"/>
    </row>
    <row r="59" spans="1:29" ht="15" customHeight="1" x14ac:dyDescent="0.2">
      <c r="A59" s="34" t="s">
        <v>65</v>
      </c>
      <c r="B59" s="32" t="s">
        <v>8</v>
      </c>
      <c r="C59" s="32" t="s">
        <v>9</v>
      </c>
      <c r="D59" s="33" t="s">
        <v>64</v>
      </c>
      <c r="E59" s="70" t="s">
        <v>37</v>
      </c>
      <c r="F59" s="97">
        <v>70.562299999999993</v>
      </c>
      <c r="G59" s="98">
        <v>56.785600000000002</v>
      </c>
      <c r="H59" s="99">
        <v>30.796600000000002</v>
      </c>
      <c r="I59" s="100">
        <v>2842.3220000000001</v>
      </c>
      <c r="J59" s="99">
        <v>2121.0371</v>
      </c>
      <c r="K59" s="99">
        <v>1067.8224</v>
      </c>
      <c r="L59" s="165">
        <f>SUM(BabycareRaw[[#This Row],[2022]:[YTD 24]])</f>
        <v>158.14449999999999</v>
      </c>
    </row>
    <row r="60" spans="1:29" ht="15" customHeight="1" x14ac:dyDescent="0.2">
      <c r="A60" s="34" t="s">
        <v>66</v>
      </c>
      <c r="B60" s="32" t="s">
        <v>8</v>
      </c>
      <c r="C60" s="32" t="s">
        <v>9</v>
      </c>
      <c r="D60" s="33" t="s">
        <v>20</v>
      </c>
      <c r="E60" s="70" t="s">
        <v>37</v>
      </c>
      <c r="F60" s="97">
        <v>34.495899999999999</v>
      </c>
      <c r="G60" s="98">
        <v>35.333399999999997</v>
      </c>
      <c r="H60" s="99">
        <v>28.078199999999999</v>
      </c>
      <c r="I60" s="100">
        <v>1446.3839</v>
      </c>
      <c r="J60" s="99">
        <v>1359.9783</v>
      </c>
      <c r="K60" s="99">
        <v>967.9162</v>
      </c>
      <c r="L60" s="165">
        <f>SUM(BabycareRaw[[#This Row],[2022]:[YTD 24]])</f>
        <v>97.907499999999985</v>
      </c>
    </row>
    <row r="61" spans="1:29" ht="15" customHeight="1" x14ac:dyDescent="0.2">
      <c r="A61" s="34" t="s">
        <v>67</v>
      </c>
      <c r="B61" s="32" t="s">
        <v>8</v>
      </c>
      <c r="C61" s="32" t="s">
        <v>9</v>
      </c>
      <c r="D61" s="33" t="s">
        <v>30</v>
      </c>
      <c r="E61" s="70" t="s">
        <v>68</v>
      </c>
      <c r="F61" s="97">
        <v>49.5715</v>
      </c>
      <c r="G61" s="98">
        <v>57.943199999999997</v>
      </c>
      <c r="H61" s="99">
        <v>41.595799999999997</v>
      </c>
      <c r="I61" s="100">
        <v>2203.8969999999999</v>
      </c>
      <c r="J61" s="99">
        <v>2377.6914999999999</v>
      </c>
      <c r="K61" s="99">
        <v>1614.8326999999999</v>
      </c>
      <c r="L61" s="165">
        <f>SUM(BabycareRaw[[#This Row],[2022]:[YTD 24]])</f>
        <v>149.1105</v>
      </c>
    </row>
    <row r="62" spans="1:29" ht="15" customHeight="1" x14ac:dyDescent="0.2">
      <c r="A62" s="27" t="s">
        <v>716</v>
      </c>
      <c r="B62" s="28" t="s">
        <v>5</v>
      </c>
      <c r="C62" s="28"/>
      <c r="D62" s="29"/>
      <c r="E62" s="68"/>
      <c r="F62" s="101">
        <v>0</v>
      </c>
      <c r="G62" s="102">
        <v>4.4634999999999998</v>
      </c>
      <c r="H62" s="103">
        <v>5.9009999999999998</v>
      </c>
      <c r="I62" s="104">
        <v>0</v>
      </c>
      <c r="J62" s="103">
        <v>231.33420000000001</v>
      </c>
      <c r="K62" s="103">
        <v>348.19819999999999</v>
      </c>
      <c r="L62" s="169">
        <f>SUM(BabycareRaw[[#This Row],[2022]:[YTD 24]])</f>
        <v>10.3645</v>
      </c>
    </row>
    <row r="63" spans="1:29" ht="14.25" customHeight="1" x14ac:dyDescent="0.2">
      <c r="A63" s="30" t="s">
        <v>832</v>
      </c>
      <c r="B63" s="31" t="s">
        <v>6</v>
      </c>
      <c r="C63" s="32"/>
      <c r="D63" s="33"/>
      <c r="E63" s="70"/>
      <c r="F63" s="97">
        <v>0</v>
      </c>
      <c r="G63" s="98">
        <v>4.4634999999999998</v>
      </c>
      <c r="H63" s="99">
        <v>5.9009999999999998</v>
      </c>
      <c r="I63" s="100">
        <v>0</v>
      </c>
      <c r="J63" s="99">
        <v>231.33420000000001</v>
      </c>
      <c r="K63" s="99">
        <v>348.19819999999999</v>
      </c>
      <c r="L63" s="165">
        <f>SUM(BabycareRaw[[#This Row],[2022]:[YTD 24]])</f>
        <v>10.3645</v>
      </c>
    </row>
    <row r="64" spans="1:29" ht="15" customHeight="1" x14ac:dyDescent="0.2">
      <c r="A64" s="34" t="s">
        <v>70</v>
      </c>
      <c r="B64" s="32" t="s">
        <v>8</v>
      </c>
      <c r="C64" s="32" t="s">
        <v>9</v>
      </c>
      <c r="D64" s="33" t="s">
        <v>20</v>
      </c>
      <c r="E64" s="70" t="s">
        <v>24</v>
      </c>
      <c r="F64" s="97">
        <v>0</v>
      </c>
      <c r="G64" s="98">
        <v>0</v>
      </c>
      <c r="H64" s="99">
        <v>5.7117000000000004</v>
      </c>
      <c r="I64" s="100">
        <v>0</v>
      </c>
      <c r="J64" s="99">
        <v>0</v>
      </c>
      <c r="K64" s="99">
        <v>338.46300000000002</v>
      </c>
      <c r="L64" s="165">
        <f>SUM(BabycareRaw[[#This Row],[2022]:[YTD 24]])</f>
        <v>5.7117000000000004</v>
      </c>
    </row>
    <row r="65" spans="1:12" ht="15" customHeight="1" x14ac:dyDescent="0.2">
      <c r="A65" s="34" t="s">
        <v>71</v>
      </c>
      <c r="B65" s="32" t="s">
        <v>8</v>
      </c>
      <c r="C65" s="32" t="s">
        <v>9</v>
      </c>
      <c r="D65" s="33" t="s">
        <v>20</v>
      </c>
      <c r="E65" s="70" t="s">
        <v>68</v>
      </c>
      <c r="F65" s="97">
        <v>0</v>
      </c>
      <c r="G65" s="98">
        <v>4.4634999999999998</v>
      </c>
      <c r="H65" s="99">
        <v>0.1893</v>
      </c>
      <c r="I65" s="100">
        <v>0</v>
      </c>
      <c r="J65" s="99">
        <v>231.33420000000001</v>
      </c>
      <c r="K65" s="99">
        <v>9.7352000000000007</v>
      </c>
      <c r="L65" s="165">
        <f>SUM(BabycareRaw[[#This Row],[2022]:[YTD 24]])</f>
        <v>4.6528</v>
      </c>
    </row>
    <row r="66" spans="1:12" ht="15" customHeight="1" x14ac:dyDescent="0.2">
      <c r="A66" s="27" t="s">
        <v>717</v>
      </c>
      <c r="B66" s="28" t="s">
        <v>5</v>
      </c>
      <c r="C66" s="28"/>
      <c r="D66" s="29"/>
      <c r="E66" s="68"/>
      <c r="F66" s="101">
        <v>0.70520000000000005</v>
      </c>
      <c r="G66" s="102">
        <v>0</v>
      </c>
      <c r="H66" s="103">
        <v>0</v>
      </c>
      <c r="I66" s="104">
        <v>47.325299999999999</v>
      </c>
      <c r="J66" s="103">
        <v>0</v>
      </c>
      <c r="K66" s="103">
        <v>0</v>
      </c>
      <c r="L66" s="169">
        <f>SUM(BabycareRaw[[#This Row],[2022]:[YTD 24]])</f>
        <v>0.70520000000000005</v>
      </c>
    </row>
    <row r="67" spans="1:12" ht="14.25" customHeight="1" x14ac:dyDescent="0.2">
      <c r="A67" s="30" t="s">
        <v>834</v>
      </c>
      <c r="B67" s="31" t="s">
        <v>6</v>
      </c>
      <c r="C67" s="32"/>
      <c r="D67" s="33"/>
      <c r="E67" s="70"/>
      <c r="F67" s="97">
        <v>0.70520000000000005</v>
      </c>
      <c r="G67" s="98">
        <v>0</v>
      </c>
      <c r="H67" s="99">
        <v>0</v>
      </c>
      <c r="I67" s="100">
        <v>47.325299999999999</v>
      </c>
      <c r="J67" s="99">
        <v>0</v>
      </c>
      <c r="K67" s="99">
        <v>0</v>
      </c>
      <c r="L67" s="165">
        <f>SUM(BabycareRaw[[#This Row],[2022]:[YTD 24]])</f>
        <v>0.70520000000000005</v>
      </c>
    </row>
    <row r="68" spans="1:12" ht="15" customHeight="1" x14ac:dyDescent="0.2">
      <c r="A68" s="34" t="s">
        <v>72</v>
      </c>
      <c r="B68" s="32" t="s">
        <v>8</v>
      </c>
      <c r="C68" s="32" t="s">
        <v>9</v>
      </c>
      <c r="D68" s="33" t="s">
        <v>20</v>
      </c>
      <c r="E68" s="70" t="s">
        <v>24</v>
      </c>
      <c r="F68" s="97">
        <v>0.70520000000000005</v>
      </c>
      <c r="G68" s="98">
        <v>0</v>
      </c>
      <c r="H68" s="99">
        <v>0</v>
      </c>
      <c r="I68" s="100">
        <v>47.325299999999999</v>
      </c>
      <c r="J68" s="99">
        <v>0</v>
      </c>
      <c r="K68" s="99">
        <v>0</v>
      </c>
      <c r="L68" s="165">
        <f>SUM(BabycareRaw[[#This Row],[2022]:[YTD 24]])</f>
        <v>0.70520000000000005</v>
      </c>
    </row>
    <row r="69" spans="1:12" ht="15" customHeight="1" x14ac:dyDescent="0.2">
      <c r="A69" s="27" t="s">
        <v>718</v>
      </c>
      <c r="B69" s="28" t="s">
        <v>5</v>
      </c>
      <c r="C69" s="28"/>
      <c r="D69" s="29"/>
      <c r="E69" s="68"/>
      <c r="F69" s="101">
        <v>104.66630000000001</v>
      </c>
      <c r="G69" s="102">
        <v>94.425600000000003</v>
      </c>
      <c r="H69" s="103">
        <v>45.948500000000003</v>
      </c>
      <c r="I69" s="104">
        <v>5728.6422000000002</v>
      </c>
      <c r="J69" s="103">
        <v>5002.3734000000004</v>
      </c>
      <c r="K69" s="103">
        <v>2228.9189999999999</v>
      </c>
      <c r="L69" s="169">
        <f>SUM(BabycareRaw[[#This Row],[2022]:[YTD 24]])</f>
        <v>245.04040000000001</v>
      </c>
    </row>
    <row r="70" spans="1:12" ht="14.25" customHeight="1" x14ac:dyDescent="0.2">
      <c r="A70" s="30" t="s">
        <v>835</v>
      </c>
      <c r="B70" s="31" t="s">
        <v>6</v>
      </c>
      <c r="C70" s="32"/>
      <c r="D70" s="33"/>
      <c r="E70" s="70"/>
      <c r="F70" s="97">
        <v>104.66630000000001</v>
      </c>
      <c r="G70" s="98">
        <v>94.425600000000003</v>
      </c>
      <c r="H70" s="99">
        <v>45.948500000000003</v>
      </c>
      <c r="I70" s="100">
        <v>5728.6422000000002</v>
      </c>
      <c r="J70" s="99">
        <v>5002.3734000000004</v>
      </c>
      <c r="K70" s="99">
        <v>2228.9189999999999</v>
      </c>
      <c r="L70" s="165">
        <f>SUM(BabycareRaw[[#This Row],[2022]:[YTD 24]])</f>
        <v>245.04040000000001</v>
      </c>
    </row>
    <row r="71" spans="1:12" ht="15" customHeight="1" x14ac:dyDescent="0.2">
      <c r="A71" s="34" t="s">
        <v>73</v>
      </c>
      <c r="B71" s="32" t="s">
        <v>8</v>
      </c>
      <c r="C71" s="32" t="s">
        <v>9</v>
      </c>
      <c r="D71" s="33" t="s">
        <v>20</v>
      </c>
      <c r="E71" s="70" t="s">
        <v>21</v>
      </c>
      <c r="F71" s="97">
        <v>0.76280000000000003</v>
      </c>
      <c r="G71" s="98">
        <v>0.23669999999999999</v>
      </c>
      <c r="H71" s="99">
        <v>0.1135</v>
      </c>
      <c r="I71" s="100">
        <v>43.074599999999997</v>
      </c>
      <c r="J71" s="99">
        <v>13.9861</v>
      </c>
      <c r="K71" s="99">
        <v>6.5488999999999997</v>
      </c>
      <c r="L71" s="165">
        <f>SUM(BabycareRaw[[#This Row],[2022]:[YTD 24]])</f>
        <v>1.113</v>
      </c>
    </row>
    <row r="72" spans="1:12" ht="15" customHeight="1" x14ac:dyDescent="0.2">
      <c r="A72" s="34" t="s">
        <v>74</v>
      </c>
      <c r="B72" s="32" t="s">
        <v>8</v>
      </c>
      <c r="C72" s="32" t="s">
        <v>9</v>
      </c>
      <c r="D72" s="33" t="s">
        <v>64</v>
      </c>
      <c r="E72" s="70" t="s">
        <v>21</v>
      </c>
      <c r="F72" s="97">
        <v>14.3467</v>
      </c>
      <c r="G72" s="98">
        <v>14.9893</v>
      </c>
      <c r="H72" s="99">
        <v>7.9457000000000004</v>
      </c>
      <c r="I72" s="100">
        <v>749.43960000000004</v>
      </c>
      <c r="J72" s="99">
        <v>788.71510000000001</v>
      </c>
      <c r="K72" s="99">
        <v>388.85250000000002</v>
      </c>
      <c r="L72" s="165">
        <f>SUM(BabycareRaw[[#This Row],[2022]:[YTD 24]])</f>
        <v>37.281700000000001</v>
      </c>
    </row>
    <row r="73" spans="1:12" ht="15" customHeight="1" x14ac:dyDescent="0.2">
      <c r="A73" s="34" t="s">
        <v>75</v>
      </c>
      <c r="B73" s="32" t="s">
        <v>8</v>
      </c>
      <c r="C73" s="32" t="s">
        <v>9</v>
      </c>
      <c r="D73" s="33" t="s">
        <v>10</v>
      </c>
      <c r="E73" s="70" t="s">
        <v>21</v>
      </c>
      <c r="F73" s="97">
        <v>9.9741999999999997</v>
      </c>
      <c r="G73" s="98">
        <v>17.767600000000002</v>
      </c>
      <c r="H73" s="99">
        <v>9.7081</v>
      </c>
      <c r="I73" s="100">
        <v>530.94489999999996</v>
      </c>
      <c r="J73" s="99">
        <v>921.25450000000001</v>
      </c>
      <c r="K73" s="99">
        <v>442.90179999999998</v>
      </c>
      <c r="L73" s="165">
        <f>SUM(BabycareRaw[[#This Row],[2022]:[YTD 24]])</f>
        <v>37.4499</v>
      </c>
    </row>
    <row r="74" spans="1:12" ht="15" customHeight="1" x14ac:dyDescent="0.2">
      <c r="A74" s="34" t="s">
        <v>76</v>
      </c>
      <c r="B74" s="32" t="s">
        <v>8</v>
      </c>
      <c r="C74" s="32" t="s">
        <v>9</v>
      </c>
      <c r="D74" s="33" t="s">
        <v>10</v>
      </c>
      <c r="E74" s="70" t="s">
        <v>21</v>
      </c>
      <c r="F74" s="97">
        <v>15.1808</v>
      </c>
      <c r="G74" s="98">
        <v>9.7044999999999995</v>
      </c>
      <c r="H74" s="99">
        <v>2.6509999999999998</v>
      </c>
      <c r="I74" s="100">
        <v>814.55730000000005</v>
      </c>
      <c r="J74" s="99">
        <v>531.53909999999996</v>
      </c>
      <c r="K74" s="99">
        <v>144.98150000000001</v>
      </c>
      <c r="L74" s="165">
        <f>SUM(BabycareRaw[[#This Row],[2022]:[YTD 24]])</f>
        <v>27.536300000000001</v>
      </c>
    </row>
    <row r="75" spans="1:12" ht="15" customHeight="1" x14ac:dyDescent="0.2">
      <c r="A75" s="34" t="s">
        <v>77</v>
      </c>
      <c r="B75" s="32" t="s">
        <v>8</v>
      </c>
      <c r="C75" s="32" t="s">
        <v>9</v>
      </c>
      <c r="D75" s="33" t="s">
        <v>20</v>
      </c>
      <c r="E75" s="70" t="s">
        <v>21</v>
      </c>
      <c r="F75" s="97">
        <v>18.2471</v>
      </c>
      <c r="G75" s="98">
        <v>19.903099999999998</v>
      </c>
      <c r="H75" s="99">
        <v>8.7614000000000001</v>
      </c>
      <c r="I75" s="100">
        <v>989.38980000000004</v>
      </c>
      <c r="J75" s="99">
        <v>1044.1582000000001</v>
      </c>
      <c r="K75" s="99">
        <v>387.44209999999998</v>
      </c>
      <c r="L75" s="165">
        <f>SUM(BabycareRaw[[#This Row],[2022]:[YTD 24]])</f>
        <v>46.9116</v>
      </c>
    </row>
    <row r="76" spans="1:12" ht="15" customHeight="1" x14ac:dyDescent="0.2">
      <c r="A76" s="34" t="s">
        <v>78</v>
      </c>
      <c r="B76" s="32" t="s">
        <v>8</v>
      </c>
      <c r="C76" s="32" t="s">
        <v>9</v>
      </c>
      <c r="D76" s="33" t="s">
        <v>20</v>
      </c>
      <c r="E76" s="70" t="s">
        <v>21</v>
      </c>
      <c r="F76" s="97">
        <v>13.7898</v>
      </c>
      <c r="G76" s="98">
        <v>10.6778</v>
      </c>
      <c r="H76" s="99">
        <v>5.2233000000000001</v>
      </c>
      <c r="I76" s="100">
        <v>726.86360000000002</v>
      </c>
      <c r="J76" s="99">
        <v>563.28449999999998</v>
      </c>
      <c r="K76" s="99">
        <v>268.45999999999998</v>
      </c>
      <c r="L76" s="165">
        <f>SUM(BabycareRaw[[#This Row],[2022]:[YTD 24]])</f>
        <v>29.690899999999999</v>
      </c>
    </row>
    <row r="77" spans="1:12" ht="15" customHeight="1" x14ac:dyDescent="0.2">
      <c r="A77" s="34" t="s">
        <v>79</v>
      </c>
      <c r="B77" s="32" t="s">
        <v>8</v>
      </c>
      <c r="C77" s="32" t="s">
        <v>9</v>
      </c>
      <c r="D77" s="33" t="s">
        <v>10</v>
      </c>
      <c r="E77" s="70" t="s">
        <v>21</v>
      </c>
      <c r="F77" s="97">
        <v>0</v>
      </c>
      <c r="G77" s="98">
        <v>0</v>
      </c>
      <c r="H77" s="99">
        <v>0</v>
      </c>
      <c r="I77" s="100">
        <v>0</v>
      </c>
      <c r="J77" s="99">
        <v>0</v>
      </c>
      <c r="K77" s="99">
        <v>0</v>
      </c>
      <c r="L77" s="165">
        <f>SUM(BabycareRaw[[#This Row],[2022]:[YTD 24]])</f>
        <v>0</v>
      </c>
    </row>
    <row r="78" spans="1:12" ht="15" customHeight="1" x14ac:dyDescent="0.2">
      <c r="A78" s="34" t="s">
        <v>80</v>
      </c>
      <c r="B78" s="32" t="s">
        <v>8</v>
      </c>
      <c r="C78" s="32" t="s">
        <v>9</v>
      </c>
      <c r="D78" s="33" t="s">
        <v>20</v>
      </c>
      <c r="E78" s="70" t="s">
        <v>24</v>
      </c>
      <c r="F78" s="97">
        <v>29.590800000000002</v>
      </c>
      <c r="G78" s="98">
        <v>20.845300000000002</v>
      </c>
      <c r="H78" s="99">
        <v>11.449400000000001</v>
      </c>
      <c r="I78" s="100">
        <v>1741.4848</v>
      </c>
      <c r="J78" s="99">
        <v>1127.5655999999999</v>
      </c>
      <c r="K78" s="99">
        <v>585.96109999999999</v>
      </c>
      <c r="L78" s="165">
        <f>SUM(BabycareRaw[[#This Row],[2022]:[YTD 24]])</f>
        <v>61.885500000000008</v>
      </c>
    </row>
    <row r="79" spans="1:12" ht="15" customHeight="1" x14ac:dyDescent="0.2">
      <c r="A79" s="34" t="s">
        <v>81</v>
      </c>
      <c r="B79" s="32" t="s">
        <v>8</v>
      </c>
      <c r="C79" s="32" t="s">
        <v>9</v>
      </c>
      <c r="D79" s="33" t="s">
        <v>64</v>
      </c>
      <c r="E79" s="70" t="s">
        <v>42</v>
      </c>
      <c r="F79" s="97">
        <v>0.72840000000000005</v>
      </c>
      <c r="G79" s="98">
        <v>0</v>
      </c>
      <c r="H79" s="99">
        <v>0</v>
      </c>
      <c r="I79" s="100">
        <v>51.0182</v>
      </c>
      <c r="J79" s="99">
        <v>0</v>
      </c>
      <c r="K79" s="99">
        <v>0</v>
      </c>
      <c r="L79" s="165">
        <f>SUM(BabycareRaw[[#This Row],[2022]:[YTD 24]])</f>
        <v>0.72840000000000005</v>
      </c>
    </row>
    <row r="80" spans="1:12" ht="15" customHeight="1" x14ac:dyDescent="0.2">
      <c r="A80" s="34" t="s">
        <v>82</v>
      </c>
      <c r="B80" s="32" t="s">
        <v>8</v>
      </c>
      <c r="C80" s="32" t="s">
        <v>9</v>
      </c>
      <c r="D80" s="33" t="s">
        <v>30</v>
      </c>
      <c r="E80" s="70" t="s">
        <v>68</v>
      </c>
      <c r="F80" s="97">
        <v>2.0455000000000001</v>
      </c>
      <c r="G80" s="98">
        <v>0.30070000000000002</v>
      </c>
      <c r="H80" s="99">
        <v>9.6000000000000002E-2</v>
      </c>
      <c r="I80" s="100">
        <v>81.869600000000005</v>
      </c>
      <c r="J80" s="99">
        <v>11.870100000000001</v>
      </c>
      <c r="K80" s="99">
        <v>3.7711999999999999</v>
      </c>
      <c r="L80" s="165">
        <f>SUM(BabycareRaw[[#This Row],[2022]:[YTD 24]])</f>
        <v>2.4422000000000001</v>
      </c>
    </row>
    <row r="81" spans="1:12" ht="15" customHeight="1" x14ac:dyDescent="0.2">
      <c r="A81" s="27" t="s">
        <v>719</v>
      </c>
      <c r="B81" s="28" t="s">
        <v>5</v>
      </c>
      <c r="C81" s="28"/>
      <c r="D81" s="29"/>
      <c r="E81" s="68"/>
      <c r="F81" s="101">
        <v>1.5390999999999999</v>
      </c>
      <c r="G81" s="102">
        <v>2.0581</v>
      </c>
      <c r="H81" s="103">
        <v>0.68220000000000003</v>
      </c>
      <c r="I81" s="104">
        <v>71.357399999999998</v>
      </c>
      <c r="J81" s="103">
        <v>96.8429</v>
      </c>
      <c r="K81" s="103">
        <v>27.710899999999999</v>
      </c>
      <c r="L81" s="169">
        <f>SUM(BabycareRaw[[#This Row],[2022]:[YTD 24]])</f>
        <v>4.2793999999999999</v>
      </c>
    </row>
    <row r="82" spans="1:12" ht="14.25" customHeight="1" x14ac:dyDescent="0.2">
      <c r="A82" s="30" t="s">
        <v>836</v>
      </c>
      <c r="B82" s="31" t="s">
        <v>6</v>
      </c>
      <c r="C82" s="32"/>
      <c r="D82" s="33"/>
      <c r="E82" s="70"/>
      <c r="F82" s="97">
        <v>0</v>
      </c>
      <c r="G82" s="98">
        <v>0</v>
      </c>
      <c r="H82" s="99">
        <v>0</v>
      </c>
      <c r="I82" s="100">
        <v>0</v>
      </c>
      <c r="J82" s="99">
        <v>0</v>
      </c>
      <c r="K82" s="99">
        <v>0</v>
      </c>
      <c r="L82" s="165">
        <f>SUM(BabycareRaw[[#This Row],[2022]:[YTD 24]])</f>
        <v>0</v>
      </c>
    </row>
    <row r="83" spans="1:12" ht="15" customHeight="1" x14ac:dyDescent="0.2">
      <c r="A83" s="34" t="s">
        <v>83</v>
      </c>
      <c r="B83" s="32" t="s">
        <v>8</v>
      </c>
      <c r="C83" s="32" t="s">
        <v>9</v>
      </c>
      <c r="D83" s="33" t="s">
        <v>10</v>
      </c>
      <c r="E83" s="70" t="s">
        <v>84</v>
      </c>
      <c r="F83" s="97">
        <v>0</v>
      </c>
      <c r="G83" s="98">
        <v>0</v>
      </c>
      <c r="H83" s="99">
        <v>0</v>
      </c>
      <c r="I83" s="100">
        <v>0</v>
      </c>
      <c r="J83" s="99">
        <v>0</v>
      </c>
      <c r="K83" s="99">
        <v>0</v>
      </c>
      <c r="L83" s="165">
        <f>SUM(BabycareRaw[[#This Row],[2022]:[YTD 24]])</f>
        <v>0</v>
      </c>
    </row>
    <row r="84" spans="1:12" ht="15" customHeight="1" x14ac:dyDescent="0.2">
      <c r="A84" s="30" t="s">
        <v>837</v>
      </c>
      <c r="B84" s="31" t="s">
        <v>6</v>
      </c>
      <c r="C84" s="32"/>
      <c r="D84" s="33"/>
      <c r="E84" s="70"/>
      <c r="F84" s="97">
        <v>1.5390999999999999</v>
      </c>
      <c r="G84" s="98">
        <v>2.0581</v>
      </c>
      <c r="H84" s="99">
        <v>0.68220000000000003</v>
      </c>
      <c r="I84" s="100">
        <v>71.357399999999998</v>
      </c>
      <c r="J84" s="99">
        <v>96.8429</v>
      </c>
      <c r="K84" s="99">
        <v>27.710899999999999</v>
      </c>
      <c r="L84" s="165">
        <f>SUM(BabycareRaw[[#This Row],[2022]:[YTD 24]])</f>
        <v>4.2793999999999999</v>
      </c>
    </row>
    <row r="85" spans="1:12" ht="15" customHeight="1" x14ac:dyDescent="0.2">
      <c r="A85" s="34" t="s">
        <v>85</v>
      </c>
      <c r="B85" s="32" t="s">
        <v>8</v>
      </c>
      <c r="C85" s="32" t="s">
        <v>9</v>
      </c>
      <c r="D85" s="33" t="s">
        <v>10</v>
      </c>
      <c r="E85" s="70" t="s">
        <v>24</v>
      </c>
      <c r="F85" s="97">
        <v>1.0717000000000001</v>
      </c>
      <c r="G85" s="98">
        <v>1.6845000000000001</v>
      </c>
      <c r="H85" s="99">
        <v>0.2092</v>
      </c>
      <c r="I85" s="100">
        <v>53.428199999999997</v>
      </c>
      <c r="J85" s="99">
        <v>83.401399999999995</v>
      </c>
      <c r="K85" s="99">
        <v>9.5612999999999992</v>
      </c>
      <c r="L85" s="165">
        <f>SUM(BabycareRaw[[#This Row],[2022]:[YTD 24]])</f>
        <v>2.9654000000000003</v>
      </c>
    </row>
    <row r="86" spans="1:12" ht="15" customHeight="1" x14ac:dyDescent="0.2">
      <c r="A86" s="34" t="s">
        <v>86</v>
      </c>
      <c r="B86" s="32" t="s">
        <v>8</v>
      </c>
      <c r="C86" s="32" t="s">
        <v>9</v>
      </c>
      <c r="D86" s="33" t="s">
        <v>10</v>
      </c>
      <c r="E86" s="70" t="s">
        <v>42</v>
      </c>
      <c r="F86" s="97">
        <v>0.46760000000000002</v>
      </c>
      <c r="G86" s="98">
        <v>0.37340000000000001</v>
      </c>
      <c r="H86" s="99">
        <v>0.47289999999999999</v>
      </c>
      <c r="I86" s="100">
        <v>17.929200000000002</v>
      </c>
      <c r="J86" s="99">
        <v>13.441700000000001</v>
      </c>
      <c r="K86" s="99">
        <v>18.149699999999999</v>
      </c>
      <c r="L86" s="165">
        <f>SUM(BabycareRaw[[#This Row],[2022]:[YTD 24]])</f>
        <v>1.3138999999999998</v>
      </c>
    </row>
    <row r="87" spans="1:12" ht="15" customHeight="1" x14ac:dyDescent="0.2">
      <c r="A87" s="27" t="s">
        <v>720</v>
      </c>
      <c r="B87" s="28" t="s">
        <v>5</v>
      </c>
      <c r="C87" s="28"/>
      <c r="D87" s="29"/>
      <c r="E87" s="68"/>
      <c r="F87" s="101">
        <v>4.4499999999999998E-2</v>
      </c>
      <c r="G87" s="102">
        <v>6.2E-2</v>
      </c>
      <c r="H87" s="103">
        <v>0</v>
      </c>
      <c r="I87" s="104">
        <v>0.36759999999999998</v>
      </c>
      <c r="J87" s="103">
        <v>0.48380000000000001</v>
      </c>
      <c r="K87" s="103">
        <v>0</v>
      </c>
      <c r="L87" s="169">
        <f>SUM(BabycareRaw[[#This Row],[2022]:[YTD 24]])</f>
        <v>0.1065</v>
      </c>
    </row>
    <row r="88" spans="1:12" ht="14.25" customHeight="1" x14ac:dyDescent="0.2">
      <c r="A88" s="30" t="s">
        <v>838</v>
      </c>
      <c r="B88" s="31" t="s">
        <v>6</v>
      </c>
      <c r="C88" s="32"/>
      <c r="D88" s="33"/>
      <c r="E88" s="70"/>
      <c r="F88" s="97">
        <v>4.4499999999999998E-2</v>
      </c>
      <c r="G88" s="98">
        <v>6.2E-2</v>
      </c>
      <c r="H88" s="99">
        <v>0</v>
      </c>
      <c r="I88" s="100">
        <v>0.36759999999999998</v>
      </c>
      <c r="J88" s="99">
        <v>0.48380000000000001</v>
      </c>
      <c r="K88" s="99">
        <v>0</v>
      </c>
      <c r="L88" s="165">
        <f>SUM(BabycareRaw[[#This Row],[2022]:[YTD 24]])</f>
        <v>0.1065</v>
      </c>
    </row>
    <row r="89" spans="1:12" ht="15" customHeight="1" x14ac:dyDescent="0.2">
      <c r="A89" s="34" t="s">
        <v>87</v>
      </c>
      <c r="B89" s="32" t="s">
        <v>8</v>
      </c>
      <c r="C89" s="32" t="s">
        <v>9</v>
      </c>
      <c r="D89" s="33" t="s">
        <v>10</v>
      </c>
      <c r="E89" s="70" t="s">
        <v>11</v>
      </c>
      <c r="F89" s="97">
        <v>4.4499999999999998E-2</v>
      </c>
      <c r="G89" s="98">
        <v>6.2E-2</v>
      </c>
      <c r="H89" s="99">
        <v>0</v>
      </c>
      <c r="I89" s="100">
        <v>0.36759999999999998</v>
      </c>
      <c r="J89" s="99">
        <v>0.48380000000000001</v>
      </c>
      <c r="K89" s="99">
        <v>0</v>
      </c>
      <c r="L89" s="165">
        <f>SUM(BabycareRaw[[#This Row],[2022]:[YTD 24]])</f>
        <v>0.1065</v>
      </c>
    </row>
    <row r="90" spans="1:12" ht="15" customHeight="1" x14ac:dyDescent="0.2">
      <c r="A90" s="27" t="s">
        <v>721</v>
      </c>
      <c r="B90" s="28" t="s">
        <v>5</v>
      </c>
      <c r="C90" s="28"/>
      <c r="D90" s="29"/>
      <c r="E90" s="68"/>
      <c r="F90" s="101">
        <v>11.963200000000001</v>
      </c>
      <c r="G90" s="102">
        <v>18.136199999999999</v>
      </c>
      <c r="H90" s="103">
        <v>9.0266999999999999</v>
      </c>
      <c r="I90" s="104">
        <v>603.27629999999999</v>
      </c>
      <c r="J90" s="103">
        <v>937.45190000000002</v>
      </c>
      <c r="K90" s="103">
        <v>454.77429999999998</v>
      </c>
      <c r="L90" s="169">
        <f>SUM(BabycareRaw[[#This Row],[2022]:[YTD 24]])</f>
        <v>39.126100000000001</v>
      </c>
    </row>
    <row r="91" spans="1:12" ht="14.25" customHeight="1" x14ac:dyDescent="0.2">
      <c r="A91" s="30" t="s">
        <v>839</v>
      </c>
      <c r="B91" s="31" t="s">
        <v>6</v>
      </c>
      <c r="C91" s="32"/>
      <c r="D91" s="33"/>
      <c r="E91" s="70"/>
      <c r="F91" s="97">
        <v>3.3401000000000001</v>
      </c>
      <c r="G91" s="98">
        <v>5.1974</v>
      </c>
      <c r="H91" s="99">
        <v>3.7094999999999998</v>
      </c>
      <c r="I91" s="100">
        <v>168.65979999999999</v>
      </c>
      <c r="J91" s="99">
        <v>278.62639999999999</v>
      </c>
      <c r="K91" s="99">
        <v>222.0746</v>
      </c>
      <c r="L91" s="165">
        <f>SUM(BabycareRaw[[#This Row],[2022]:[YTD 24]])</f>
        <v>12.247</v>
      </c>
    </row>
    <row r="92" spans="1:12" ht="15" customHeight="1" x14ac:dyDescent="0.2">
      <c r="A92" s="34" t="s">
        <v>89</v>
      </c>
      <c r="B92" s="32" t="s">
        <v>8</v>
      </c>
      <c r="C92" s="32" t="s">
        <v>9</v>
      </c>
      <c r="D92" s="33" t="s">
        <v>20</v>
      </c>
      <c r="E92" s="70" t="s">
        <v>42</v>
      </c>
      <c r="F92" s="97">
        <v>0</v>
      </c>
      <c r="G92" s="98">
        <v>0</v>
      </c>
      <c r="H92" s="99">
        <v>0</v>
      </c>
      <c r="I92" s="100">
        <v>0</v>
      </c>
      <c r="J92" s="99">
        <v>0</v>
      </c>
      <c r="K92" s="99">
        <v>0</v>
      </c>
      <c r="L92" s="165">
        <f>SUM(BabycareRaw[[#This Row],[2022]:[YTD 24]])</f>
        <v>0</v>
      </c>
    </row>
    <row r="93" spans="1:12" ht="15" customHeight="1" x14ac:dyDescent="0.2">
      <c r="A93" s="34" t="s">
        <v>90</v>
      </c>
      <c r="B93" s="32" t="s">
        <v>8</v>
      </c>
      <c r="C93" s="32" t="s">
        <v>9</v>
      </c>
      <c r="D93" s="33" t="s">
        <v>10</v>
      </c>
      <c r="E93" s="70" t="s">
        <v>42</v>
      </c>
      <c r="F93" s="97">
        <v>3.3401000000000001</v>
      </c>
      <c r="G93" s="98">
        <v>5.1974</v>
      </c>
      <c r="H93" s="99">
        <v>3.7094999999999998</v>
      </c>
      <c r="I93" s="100">
        <v>168.65979999999999</v>
      </c>
      <c r="J93" s="99">
        <v>278.62639999999999</v>
      </c>
      <c r="K93" s="99">
        <v>222.0746</v>
      </c>
      <c r="L93" s="165">
        <f>SUM(BabycareRaw[[#This Row],[2022]:[YTD 24]])</f>
        <v>12.247</v>
      </c>
    </row>
    <row r="94" spans="1:12" ht="15" customHeight="1" x14ac:dyDescent="0.2">
      <c r="A94" s="30" t="s">
        <v>840</v>
      </c>
      <c r="B94" s="31" t="s">
        <v>6</v>
      </c>
      <c r="C94" s="32"/>
      <c r="D94" s="33"/>
      <c r="E94" s="70"/>
      <c r="F94" s="97">
        <v>8.6231000000000009</v>
      </c>
      <c r="G94" s="98">
        <v>12.938800000000001</v>
      </c>
      <c r="H94" s="99">
        <v>5.3171999999999997</v>
      </c>
      <c r="I94" s="100">
        <v>434.61660000000001</v>
      </c>
      <c r="J94" s="99">
        <v>658.82550000000003</v>
      </c>
      <c r="K94" s="99">
        <v>232.69980000000001</v>
      </c>
      <c r="L94" s="165">
        <f>SUM(BabycareRaw[[#This Row],[2022]:[YTD 24]])</f>
        <v>26.879100000000001</v>
      </c>
    </row>
    <row r="95" spans="1:12" ht="15" customHeight="1" x14ac:dyDescent="0.2">
      <c r="A95" s="34" t="s">
        <v>91</v>
      </c>
      <c r="B95" s="32" t="s">
        <v>8</v>
      </c>
      <c r="C95" s="32" t="s">
        <v>9</v>
      </c>
      <c r="D95" s="33" t="s">
        <v>30</v>
      </c>
      <c r="E95" s="70" t="s">
        <v>24</v>
      </c>
      <c r="F95" s="97">
        <v>1.2582</v>
      </c>
      <c r="G95" s="98">
        <v>4.4390999999999998</v>
      </c>
      <c r="H95" s="99">
        <v>0.70909999999999995</v>
      </c>
      <c r="I95" s="100">
        <v>67.526600000000002</v>
      </c>
      <c r="J95" s="99">
        <v>226.15649999999999</v>
      </c>
      <c r="K95" s="99">
        <v>33.759099999999997</v>
      </c>
      <c r="L95" s="165">
        <f>SUM(BabycareRaw[[#This Row],[2022]:[YTD 24]])</f>
        <v>6.4064000000000005</v>
      </c>
    </row>
    <row r="96" spans="1:12" ht="15" customHeight="1" x14ac:dyDescent="0.2">
      <c r="A96" s="34" t="s">
        <v>92</v>
      </c>
      <c r="B96" s="32" t="s">
        <v>8</v>
      </c>
      <c r="C96" s="32" t="s">
        <v>9</v>
      </c>
      <c r="D96" s="33" t="s">
        <v>30</v>
      </c>
      <c r="E96" s="70" t="s">
        <v>24</v>
      </c>
      <c r="F96" s="97">
        <v>4.5986000000000002</v>
      </c>
      <c r="G96" s="98">
        <v>6.1303000000000001</v>
      </c>
      <c r="H96" s="99">
        <v>2.8555999999999999</v>
      </c>
      <c r="I96" s="100">
        <v>228.69929999999999</v>
      </c>
      <c r="J96" s="99">
        <v>310.51369999999997</v>
      </c>
      <c r="K96" s="99">
        <v>123.6022</v>
      </c>
      <c r="L96" s="165">
        <f>SUM(BabycareRaw[[#This Row],[2022]:[YTD 24]])</f>
        <v>13.584499999999998</v>
      </c>
    </row>
    <row r="97" spans="1:12" ht="15" customHeight="1" x14ac:dyDescent="0.2">
      <c r="A97" s="34" t="s">
        <v>93</v>
      </c>
      <c r="B97" s="32" t="s">
        <v>8</v>
      </c>
      <c r="C97" s="32" t="s">
        <v>9</v>
      </c>
      <c r="D97" s="33" t="s">
        <v>30</v>
      </c>
      <c r="E97" s="70" t="s">
        <v>42</v>
      </c>
      <c r="F97" s="97">
        <v>0.94640000000000002</v>
      </c>
      <c r="G97" s="98">
        <v>1.6005</v>
      </c>
      <c r="H97" s="99">
        <v>1.0179</v>
      </c>
      <c r="I97" s="100">
        <v>54.868499999999997</v>
      </c>
      <c r="J97" s="99">
        <v>87.027500000000003</v>
      </c>
      <c r="K97" s="99">
        <v>38.080399999999997</v>
      </c>
      <c r="L97" s="165">
        <f>SUM(BabycareRaw[[#This Row],[2022]:[YTD 24]])</f>
        <v>3.5648</v>
      </c>
    </row>
    <row r="98" spans="1:12" ht="15" customHeight="1" x14ac:dyDescent="0.2">
      <c r="A98" s="34" t="s">
        <v>94</v>
      </c>
      <c r="B98" s="32" t="s">
        <v>8</v>
      </c>
      <c r="C98" s="32" t="s">
        <v>9</v>
      </c>
      <c r="D98" s="33" t="s">
        <v>20</v>
      </c>
      <c r="E98" s="70" t="s">
        <v>42</v>
      </c>
      <c r="F98" s="97">
        <v>1.8199000000000001</v>
      </c>
      <c r="G98" s="98">
        <v>0.76910000000000001</v>
      </c>
      <c r="H98" s="99">
        <v>0.73480000000000001</v>
      </c>
      <c r="I98" s="100">
        <v>83.522300000000001</v>
      </c>
      <c r="J98" s="99">
        <v>35.127499999999998</v>
      </c>
      <c r="K98" s="99">
        <v>37.258200000000002</v>
      </c>
      <c r="L98" s="165">
        <f>SUM(BabycareRaw[[#This Row],[2022]:[YTD 24]])</f>
        <v>3.3237999999999999</v>
      </c>
    </row>
    <row r="99" spans="1:12" ht="15" customHeight="1" x14ac:dyDescent="0.2">
      <c r="A99" s="27" t="s">
        <v>722</v>
      </c>
      <c r="B99" s="28" t="s">
        <v>5</v>
      </c>
      <c r="C99" s="28"/>
      <c r="D99" s="29"/>
      <c r="E99" s="68"/>
      <c r="F99" s="101">
        <v>0</v>
      </c>
      <c r="G99" s="102">
        <v>13.1921</v>
      </c>
      <c r="H99" s="103">
        <v>52.811100000000003</v>
      </c>
      <c r="I99" s="104">
        <v>0</v>
      </c>
      <c r="J99" s="103">
        <v>565.53909999999996</v>
      </c>
      <c r="K99" s="103">
        <v>2091.2260999999999</v>
      </c>
      <c r="L99" s="169">
        <f>SUM(BabycareRaw[[#This Row],[2022]:[YTD 24]])</f>
        <v>66.003200000000007</v>
      </c>
    </row>
    <row r="100" spans="1:12" ht="14.25" customHeight="1" x14ac:dyDescent="0.2">
      <c r="A100" s="30" t="s">
        <v>841</v>
      </c>
      <c r="B100" s="31" t="s">
        <v>6</v>
      </c>
      <c r="C100" s="32"/>
      <c r="D100" s="33"/>
      <c r="E100" s="70"/>
      <c r="F100" s="97">
        <v>0</v>
      </c>
      <c r="G100" s="98">
        <v>13.1921</v>
      </c>
      <c r="H100" s="99">
        <v>52.811100000000003</v>
      </c>
      <c r="I100" s="100">
        <v>0</v>
      </c>
      <c r="J100" s="99">
        <v>565.53909999999996</v>
      </c>
      <c r="K100" s="99">
        <v>2091.2260999999999</v>
      </c>
      <c r="L100" s="165">
        <f>SUM(BabycareRaw[[#This Row],[2022]:[YTD 24]])</f>
        <v>66.003200000000007</v>
      </c>
    </row>
    <row r="101" spans="1:12" ht="15" customHeight="1" x14ac:dyDescent="0.2">
      <c r="A101" s="34" t="s">
        <v>95</v>
      </c>
      <c r="B101" s="32" t="s">
        <v>8</v>
      </c>
      <c r="C101" s="32" t="s">
        <v>9</v>
      </c>
      <c r="D101" s="33" t="s">
        <v>30</v>
      </c>
      <c r="E101" s="70" t="s">
        <v>24</v>
      </c>
      <c r="F101" s="97">
        <v>0</v>
      </c>
      <c r="G101" s="98">
        <v>10.5616</v>
      </c>
      <c r="H101" s="99">
        <v>42.6479</v>
      </c>
      <c r="I101" s="100">
        <v>0</v>
      </c>
      <c r="J101" s="99">
        <v>483.39569999999998</v>
      </c>
      <c r="K101" s="99">
        <v>1689.356</v>
      </c>
      <c r="L101" s="165">
        <f>SUM(BabycareRaw[[#This Row],[2022]:[YTD 24]])</f>
        <v>53.209499999999998</v>
      </c>
    </row>
    <row r="102" spans="1:12" ht="15" customHeight="1" x14ac:dyDescent="0.2">
      <c r="A102" s="34" t="s">
        <v>96</v>
      </c>
      <c r="B102" s="32" t="s">
        <v>8</v>
      </c>
      <c r="C102" s="32" t="s">
        <v>9</v>
      </c>
      <c r="D102" s="33" t="s">
        <v>30</v>
      </c>
      <c r="E102" s="70" t="s">
        <v>15</v>
      </c>
      <c r="F102" s="97">
        <v>0</v>
      </c>
      <c r="G102" s="98">
        <v>2.0855999999999999</v>
      </c>
      <c r="H102" s="99">
        <v>2.5316000000000001</v>
      </c>
      <c r="I102" s="100">
        <v>0</v>
      </c>
      <c r="J102" s="99">
        <v>61.262700000000002</v>
      </c>
      <c r="K102" s="99">
        <v>71.165300000000002</v>
      </c>
      <c r="L102" s="165">
        <f>SUM(BabycareRaw[[#This Row],[2022]:[YTD 24]])</f>
        <v>4.6172000000000004</v>
      </c>
    </row>
    <row r="103" spans="1:12" ht="15" customHeight="1" x14ac:dyDescent="0.2">
      <c r="A103" s="34" t="s">
        <v>97</v>
      </c>
      <c r="B103" s="32" t="s">
        <v>8</v>
      </c>
      <c r="C103" s="32" t="s">
        <v>9</v>
      </c>
      <c r="D103" s="33" t="s">
        <v>30</v>
      </c>
      <c r="E103" s="70" t="s">
        <v>42</v>
      </c>
      <c r="F103" s="97">
        <v>0</v>
      </c>
      <c r="G103" s="98">
        <v>0.54479999999999995</v>
      </c>
      <c r="H103" s="99">
        <v>7.6315999999999997</v>
      </c>
      <c r="I103" s="100">
        <v>0</v>
      </c>
      <c r="J103" s="99">
        <v>20.880700000000001</v>
      </c>
      <c r="K103" s="99">
        <v>330.70479999999998</v>
      </c>
      <c r="L103" s="165">
        <f>SUM(BabycareRaw[[#This Row],[2022]:[YTD 24]])</f>
        <v>8.1763999999999992</v>
      </c>
    </row>
    <row r="104" spans="1:12" ht="15" customHeight="1" x14ac:dyDescent="0.2">
      <c r="A104" s="27" t="s">
        <v>723</v>
      </c>
      <c r="B104" s="28" t="s">
        <v>5</v>
      </c>
      <c r="C104" s="28"/>
      <c r="D104" s="29"/>
      <c r="E104" s="68"/>
      <c r="F104" s="101">
        <v>3.1665000000000001</v>
      </c>
      <c r="G104" s="102">
        <v>2.1888000000000001</v>
      </c>
      <c r="H104" s="103">
        <v>0.46289999999999998</v>
      </c>
      <c r="I104" s="104">
        <v>65.203199999999995</v>
      </c>
      <c r="J104" s="103">
        <v>50.370399999999997</v>
      </c>
      <c r="K104" s="103">
        <v>10.166600000000001</v>
      </c>
      <c r="L104" s="169">
        <f>SUM(BabycareRaw[[#This Row],[2022]:[YTD 24]])</f>
        <v>5.8182</v>
      </c>
    </row>
    <row r="105" spans="1:12" ht="14.25" customHeight="1" x14ac:dyDescent="0.2">
      <c r="A105" s="30" t="s">
        <v>842</v>
      </c>
      <c r="B105" s="31" t="s">
        <v>6</v>
      </c>
      <c r="C105" s="32"/>
      <c r="D105" s="33"/>
      <c r="E105" s="70"/>
      <c r="F105" s="97">
        <v>3.1665000000000001</v>
      </c>
      <c r="G105" s="98">
        <v>2.1888000000000001</v>
      </c>
      <c r="H105" s="99">
        <v>0.46289999999999998</v>
      </c>
      <c r="I105" s="100">
        <v>65.203199999999995</v>
      </c>
      <c r="J105" s="99">
        <v>50.370399999999997</v>
      </c>
      <c r="K105" s="99">
        <v>10.166600000000001</v>
      </c>
      <c r="L105" s="165">
        <f>SUM(BabycareRaw[[#This Row],[2022]:[YTD 24]])</f>
        <v>5.8182</v>
      </c>
    </row>
    <row r="106" spans="1:12" ht="15" customHeight="1" x14ac:dyDescent="0.2">
      <c r="A106" s="34" t="s">
        <v>98</v>
      </c>
      <c r="B106" s="32" t="s">
        <v>8</v>
      </c>
      <c r="C106" s="32" t="s">
        <v>9</v>
      </c>
      <c r="D106" s="33" t="s">
        <v>64</v>
      </c>
      <c r="E106" s="70" t="s">
        <v>99</v>
      </c>
      <c r="F106" s="97">
        <v>0</v>
      </c>
      <c r="G106" s="98">
        <v>1.5012000000000001</v>
      </c>
      <c r="H106" s="99">
        <v>0.18310000000000001</v>
      </c>
      <c r="I106" s="100">
        <v>0</v>
      </c>
      <c r="J106" s="99">
        <v>36.194499999999998</v>
      </c>
      <c r="K106" s="99">
        <v>4.9927999999999999</v>
      </c>
      <c r="L106" s="165">
        <f>SUM(BabycareRaw[[#This Row],[2022]:[YTD 24]])</f>
        <v>1.6843000000000001</v>
      </c>
    </row>
    <row r="107" spans="1:12" ht="15" customHeight="1" x14ac:dyDescent="0.2">
      <c r="A107" s="34" t="s">
        <v>100</v>
      </c>
      <c r="B107" s="32" t="s">
        <v>8</v>
      </c>
      <c r="C107" s="32" t="s">
        <v>9</v>
      </c>
      <c r="D107" s="33" t="s">
        <v>30</v>
      </c>
      <c r="E107" s="70" t="s">
        <v>42</v>
      </c>
      <c r="F107" s="97">
        <v>3.1665000000000001</v>
      </c>
      <c r="G107" s="98">
        <v>0.6875</v>
      </c>
      <c r="H107" s="99">
        <v>0.27989999999999998</v>
      </c>
      <c r="I107" s="100">
        <v>65.203199999999995</v>
      </c>
      <c r="J107" s="99">
        <v>14.1759</v>
      </c>
      <c r="K107" s="99">
        <v>5.1737000000000002</v>
      </c>
      <c r="L107" s="165">
        <f>SUM(BabycareRaw[[#This Row],[2022]:[YTD 24]])</f>
        <v>4.1338999999999997</v>
      </c>
    </row>
    <row r="108" spans="1:12" ht="15" customHeight="1" x14ac:dyDescent="0.2">
      <c r="A108" s="27" t="s">
        <v>724</v>
      </c>
      <c r="B108" s="28" t="s">
        <v>5</v>
      </c>
      <c r="C108" s="28"/>
      <c r="D108" s="29"/>
      <c r="E108" s="68"/>
      <c r="F108" s="101">
        <v>0</v>
      </c>
      <c r="G108" s="102">
        <v>0</v>
      </c>
      <c r="H108" s="103">
        <v>5.57E-2</v>
      </c>
      <c r="I108" s="104">
        <v>0</v>
      </c>
      <c r="J108" s="103">
        <v>0</v>
      </c>
      <c r="K108" s="103">
        <v>1.7425999999999999</v>
      </c>
      <c r="L108" s="169">
        <f>SUM(BabycareRaw[[#This Row],[2022]:[YTD 24]])</f>
        <v>5.57E-2</v>
      </c>
    </row>
    <row r="109" spans="1:12" ht="14.25" customHeight="1" x14ac:dyDescent="0.2">
      <c r="A109" s="30" t="s">
        <v>843</v>
      </c>
      <c r="B109" s="31" t="s">
        <v>6</v>
      </c>
      <c r="C109" s="32"/>
      <c r="D109" s="33"/>
      <c r="E109" s="70"/>
      <c r="F109" s="97">
        <v>0</v>
      </c>
      <c r="G109" s="98">
        <v>0</v>
      </c>
      <c r="H109" s="99">
        <v>5.57E-2</v>
      </c>
      <c r="I109" s="100">
        <v>0</v>
      </c>
      <c r="J109" s="99">
        <v>0</v>
      </c>
      <c r="K109" s="99">
        <v>1.7425999999999999</v>
      </c>
      <c r="L109" s="165">
        <f>SUM(BabycareRaw[[#This Row],[2022]:[YTD 24]])</f>
        <v>5.57E-2</v>
      </c>
    </row>
    <row r="110" spans="1:12" ht="15" customHeight="1" x14ac:dyDescent="0.2">
      <c r="A110" s="34" t="s">
        <v>101</v>
      </c>
      <c r="B110" s="32" t="s">
        <v>8</v>
      </c>
      <c r="C110" s="32" t="s">
        <v>9</v>
      </c>
      <c r="D110" s="33" t="s">
        <v>20</v>
      </c>
      <c r="E110" s="70" t="s">
        <v>42</v>
      </c>
      <c r="F110" s="97">
        <v>0</v>
      </c>
      <c r="G110" s="98">
        <v>0</v>
      </c>
      <c r="H110" s="99">
        <v>5.57E-2</v>
      </c>
      <c r="I110" s="100">
        <v>0</v>
      </c>
      <c r="J110" s="99">
        <v>0</v>
      </c>
      <c r="K110" s="99">
        <v>1.7425999999999999</v>
      </c>
      <c r="L110" s="165">
        <f>SUM(BabycareRaw[[#This Row],[2022]:[YTD 24]])</f>
        <v>5.57E-2</v>
      </c>
    </row>
    <row r="111" spans="1:12" ht="15" customHeight="1" x14ac:dyDescent="0.2">
      <c r="A111" s="27" t="s">
        <v>725</v>
      </c>
      <c r="B111" s="28" t="s">
        <v>5</v>
      </c>
      <c r="C111" s="28"/>
      <c r="D111" s="29"/>
      <c r="E111" s="68"/>
      <c r="F111" s="101">
        <v>471.6447</v>
      </c>
      <c r="G111" s="102">
        <v>448.00150000000002</v>
      </c>
      <c r="H111" s="103">
        <v>276.14030000000002</v>
      </c>
      <c r="I111" s="104">
        <v>13724.156499999999</v>
      </c>
      <c r="J111" s="103">
        <v>13181.351199999999</v>
      </c>
      <c r="K111" s="103">
        <v>8823.5241000000005</v>
      </c>
      <c r="L111" s="169">
        <f>SUM(BabycareRaw[[#This Row],[2022]:[YTD 24]])</f>
        <v>1195.7865000000002</v>
      </c>
    </row>
    <row r="112" spans="1:12" ht="14.25" customHeight="1" x14ac:dyDescent="0.2">
      <c r="A112" s="30" t="s">
        <v>844</v>
      </c>
      <c r="B112" s="31" t="s">
        <v>6</v>
      </c>
      <c r="C112" s="32"/>
      <c r="D112" s="33"/>
      <c r="E112" s="70"/>
      <c r="F112" s="97">
        <v>471.6447</v>
      </c>
      <c r="G112" s="98">
        <v>448.00150000000002</v>
      </c>
      <c r="H112" s="99">
        <v>276.14030000000002</v>
      </c>
      <c r="I112" s="100">
        <v>13724.156499999999</v>
      </c>
      <c r="J112" s="99">
        <v>13181.351199999999</v>
      </c>
      <c r="K112" s="99">
        <v>8823.5241000000005</v>
      </c>
      <c r="L112" s="165">
        <f>SUM(BabycareRaw[[#This Row],[2022]:[YTD 24]])</f>
        <v>1195.7865000000002</v>
      </c>
    </row>
    <row r="113" spans="1:12" ht="15" customHeight="1" x14ac:dyDescent="0.2">
      <c r="A113" s="34" t="s">
        <v>104</v>
      </c>
      <c r="B113" s="32" t="s">
        <v>8</v>
      </c>
      <c r="C113" s="32" t="s">
        <v>9</v>
      </c>
      <c r="D113" s="33" t="s">
        <v>20</v>
      </c>
      <c r="E113" s="70" t="s">
        <v>105</v>
      </c>
      <c r="F113" s="97">
        <v>209.29769999999999</v>
      </c>
      <c r="G113" s="98">
        <v>236.50559999999999</v>
      </c>
      <c r="H113" s="99">
        <v>198.2927</v>
      </c>
      <c r="I113" s="100">
        <v>7336.5478999999996</v>
      </c>
      <c r="J113" s="99">
        <v>8103.1085000000003</v>
      </c>
      <c r="K113" s="99">
        <v>7048.5825999999997</v>
      </c>
      <c r="L113" s="165">
        <f>SUM(BabycareRaw[[#This Row],[2022]:[YTD 24]])</f>
        <v>644.096</v>
      </c>
    </row>
    <row r="114" spans="1:12" ht="15" customHeight="1" x14ac:dyDescent="0.2">
      <c r="A114" s="34" t="s">
        <v>106</v>
      </c>
      <c r="B114" s="32" t="s">
        <v>8</v>
      </c>
      <c r="C114" s="32" t="s">
        <v>9</v>
      </c>
      <c r="D114" s="33" t="s">
        <v>20</v>
      </c>
      <c r="E114" s="70" t="s">
        <v>105</v>
      </c>
      <c r="F114" s="97">
        <v>2.7799999999999998E-2</v>
      </c>
      <c r="G114" s="98">
        <v>4.5999999999999999E-3</v>
      </c>
      <c r="H114" s="99">
        <v>0</v>
      </c>
      <c r="I114" s="100">
        <v>1.2</v>
      </c>
      <c r="J114" s="99">
        <v>0.2</v>
      </c>
      <c r="K114" s="99">
        <v>0</v>
      </c>
      <c r="L114" s="165">
        <f>SUM(BabycareRaw[[#This Row],[2022]:[YTD 24]])</f>
        <v>3.2399999999999998E-2</v>
      </c>
    </row>
    <row r="115" spans="1:12" ht="15" customHeight="1" x14ac:dyDescent="0.2">
      <c r="A115" s="34" t="s">
        <v>107</v>
      </c>
      <c r="B115" s="32" t="s">
        <v>8</v>
      </c>
      <c r="C115" s="32" t="s">
        <v>9</v>
      </c>
      <c r="D115" s="33" t="s">
        <v>20</v>
      </c>
      <c r="E115" s="70" t="s">
        <v>11</v>
      </c>
      <c r="F115" s="97">
        <v>27.777100000000001</v>
      </c>
      <c r="G115" s="98">
        <v>19.717700000000001</v>
      </c>
      <c r="H115" s="99">
        <v>14.4848</v>
      </c>
      <c r="I115" s="100">
        <v>429.91730000000001</v>
      </c>
      <c r="J115" s="99">
        <v>309.96710000000002</v>
      </c>
      <c r="K115" s="99">
        <v>229.3313</v>
      </c>
      <c r="L115" s="165">
        <f>SUM(BabycareRaw[[#This Row],[2022]:[YTD 24]])</f>
        <v>61.979599999999998</v>
      </c>
    </row>
    <row r="116" spans="1:12" ht="15" customHeight="1" x14ac:dyDescent="0.2">
      <c r="A116" s="34" t="s">
        <v>108</v>
      </c>
      <c r="B116" s="32" t="s">
        <v>8</v>
      </c>
      <c r="C116" s="32" t="s">
        <v>9</v>
      </c>
      <c r="D116" s="33" t="s">
        <v>64</v>
      </c>
      <c r="E116" s="70" t="s">
        <v>11</v>
      </c>
      <c r="F116" s="97">
        <v>40.515599999999999</v>
      </c>
      <c r="G116" s="98">
        <v>34.999099999999999</v>
      </c>
      <c r="H116" s="99">
        <v>5.7746000000000004</v>
      </c>
      <c r="I116" s="100">
        <v>630.63189999999997</v>
      </c>
      <c r="J116" s="99">
        <v>558.36739999999998</v>
      </c>
      <c r="K116" s="99">
        <v>90.998999999999995</v>
      </c>
      <c r="L116" s="165">
        <f>SUM(BabycareRaw[[#This Row],[2022]:[YTD 24]])</f>
        <v>81.289300000000011</v>
      </c>
    </row>
    <row r="117" spans="1:12" ht="15" customHeight="1" x14ac:dyDescent="0.2">
      <c r="A117" s="34" t="s">
        <v>109</v>
      </c>
      <c r="B117" s="32" t="s">
        <v>8</v>
      </c>
      <c r="C117" s="32" t="s">
        <v>9</v>
      </c>
      <c r="D117" s="33" t="s">
        <v>20</v>
      </c>
      <c r="E117" s="70" t="s">
        <v>88</v>
      </c>
      <c r="F117" s="97">
        <v>61.397500000000001</v>
      </c>
      <c r="G117" s="98">
        <v>45.295999999999999</v>
      </c>
      <c r="H117" s="99">
        <v>19.337599999999998</v>
      </c>
      <c r="I117" s="100">
        <v>1027.2618</v>
      </c>
      <c r="J117" s="99">
        <v>758.06629999999996</v>
      </c>
      <c r="K117" s="99">
        <v>328.18349999999998</v>
      </c>
      <c r="L117" s="165">
        <f>SUM(BabycareRaw[[#This Row],[2022]:[YTD 24]])</f>
        <v>126.0311</v>
      </c>
    </row>
    <row r="118" spans="1:12" ht="15" customHeight="1" x14ac:dyDescent="0.2">
      <c r="A118" s="34" t="s">
        <v>110</v>
      </c>
      <c r="B118" s="32" t="s">
        <v>8</v>
      </c>
      <c r="C118" s="32" t="s">
        <v>9</v>
      </c>
      <c r="D118" s="33" t="s">
        <v>20</v>
      </c>
      <c r="E118" s="70" t="s">
        <v>88</v>
      </c>
      <c r="F118" s="97">
        <v>1.03E-2</v>
      </c>
      <c r="G118" s="98">
        <v>1.6999999999999999E-3</v>
      </c>
      <c r="H118" s="99">
        <v>0</v>
      </c>
      <c r="I118" s="100">
        <v>0.21429999999999999</v>
      </c>
      <c r="J118" s="99">
        <v>3.5700000000000003E-2</v>
      </c>
      <c r="K118" s="99">
        <v>0</v>
      </c>
      <c r="L118" s="165">
        <f>SUM(BabycareRaw[[#This Row],[2022]:[YTD 24]])</f>
        <v>1.2E-2</v>
      </c>
    </row>
    <row r="119" spans="1:12" ht="15" customHeight="1" x14ac:dyDescent="0.2">
      <c r="A119" s="34" t="s">
        <v>111</v>
      </c>
      <c r="B119" s="32" t="s">
        <v>8</v>
      </c>
      <c r="C119" s="32" t="s">
        <v>9</v>
      </c>
      <c r="D119" s="33" t="s">
        <v>69</v>
      </c>
      <c r="E119" s="70" t="s">
        <v>102</v>
      </c>
      <c r="F119" s="97">
        <v>0</v>
      </c>
      <c r="G119" s="98">
        <v>0</v>
      </c>
      <c r="H119" s="99">
        <v>8.3928999999999991</v>
      </c>
      <c r="I119" s="100">
        <v>0</v>
      </c>
      <c r="J119" s="99">
        <v>0</v>
      </c>
      <c r="K119" s="99">
        <v>185.37119999999999</v>
      </c>
      <c r="L119" s="165">
        <f>SUM(BabycareRaw[[#This Row],[2022]:[YTD 24]])</f>
        <v>8.3928999999999991</v>
      </c>
    </row>
    <row r="120" spans="1:12" ht="15" customHeight="1" x14ac:dyDescent="0.2">
      <c r="A120" s="34" t="s">
        <v>112</v>
      </c>
      <c r="B120" s="32" t="s">
        <v>8</v>
      </c>
      <c r="C120" s="32" t="s">
        <v>9</v>
      </c>
      <c r="D120" s="33" t="s">
        <v>69</v>
      </c>
      <c r="E120" s="70" t="s">
        <v>37</v>
      </c>
      <c r="F120" s="97">
        <v>11.2281</v>
      </c>
      <c r="G120" s="98">
        <v>7.5716999999999999</v>
      </c>
      <c r="H120" s="99">
        <v>1.9255</v>
      </c>
      <c r="I120" s="100">
        <v>325.11810000000003</v>
      </c>
      <c r="J120" s="99">
        <v>236.1233</v>
      </c>
      <c r="K120" s="99">
        <v>61.869799999999998</v>
      </c>
      <c r="L120" s="165">
        <f>SUM(BabycareRaw[[#This Row],[2022]:[YTD 24]])</f>
        <v>20.725299999999997</v>
      </c>
    </row>
    <row r="121" spans="1:12" ht="15" customHeight="1" x14ac:dyDescent="0.2">
      <c r="A121" s="34" t="s">
        <v>113</v>
      </c>
      <c r="B121" s="32" t="s">
        <v>8</v>
      </c>
      <c r="C121" s="32" t="s">
        <v>9</v>
      </c>
      <c r="D121" s="33" t="s">
        <v>69</v>
      </c>
      <c r="E121" s="70" t="s">
        <v>42</v>
      </c>
      <c r="F121" s="97">
        <v>56.268599999999999</v>
      </c>
      <c r="G121" s="98">
        <v>22.377800000000001</v>
      </c>
      <c r="H121" s="99">
        <v>12.435499999999999</v>
      </c>
      <c r="I121" s="100">
        <v>1799.2518</v>
      </c>
      <c r="J121" s="99">
        <v>721.99059999999997</v>
      </c>
      <c r="K121" s="99">
        <v>385.45190000000002</v>
      </c>
      <c r="L121" s="165">
        <f>SUM(BabycareRaw[[#This Row],[2022]:[YTD 24]])</f>
        <v>91.081900000000005</v>
      </c>
    </row>
    <row r="122" spans="1:12" ht="15" customHeight="1" x14ac:dyDescent="0.2">
      <c r="A122" s="34" t="s">
        <v>114</v>
      </c>
      <c r="B122" s="32" t="s">
        <v>8</v>
      </c>
      <c r="C122" s="32" t="s">
        <v>9</v>
      </c>
      <c r="D122" s="33" t="s">
        <v>10</v>
      </c>
      <c r="E122" s="70" t="s">
        <v>42</v>
      </c>
      <c r="F122" s="97">
        <v>0.64159999999999995</v>
      </c>
      <c r="G122" s="98">
        <v>0.34470000000000001</v>
      </c>
      <c r="H122" s="99">
        <v>0</v>
      </c>
      <c r="I122" s="100">
        <v>14.463900000000001</v>
      </c>
      <c r="J122" s="99">
        <v>7.3648999999999996</v>
      </c>
      <c r="K122" s="99">
        <v>0</v>
      </c>
      <c r="L122" s="165">
        <f>SUM(BabycareRaw[[#This Row],[2022]:[YTD 24]])</f>
        <v>0.98629999999999995</v>
      </c>
    </row>
    <row r="123" spans="1:12" ht="15" customHeight="1" x14ac:dyDescent="0.2">
      <c r="A123" s="34" t="s">
        <v>115</v>
      </c>
      <c r="B123" s="32" t="s">
        <v>8</v>
      </c>
      <c r="C123" s="32" t="s">
        <v>9</v>
      </c>
      <c r="D123" s="33" t="s">
        <v>64</v>
      </c>
      <c r="E123" s="70" t="s">
        <v>42</v>
      </c>
      <c r="F123" s="97">
        <v>64.480099999999993</v>
      </c>
      <c r="G123" s="98">
        <v>81.182500000000005</v>
      </c>
      <c r="H123" s="99">
        <v>15.496600000000001</v>
      </c>
      <c r="I123" s="100">
        <v>2159.5493999999999</v>
      </c>
      <c r="J123" s="99">
        <v>2486.1275000000001</v>
      </c>
      <c r="K123" s="99">
        <v>493.73469999999998</v>
      </c>
      <c r="L123" s="165">
        <f>SUM(BabycareRaw[[#This Row],[2022]:[YTD 24]])</f>
        <v>161.1592</v>
      </c>
    </row>
    <row r="124" spans="1:12" ht="15" customHeight="1" x14ac:dyDescent="0.2">
      <c r="A124" s="27" t="s">
        <v>726</v>
      </c>
      <c r="B124" s="28" t="s">
        <v>5</v>
      </c>
      <c r="C124" s="28"/>
      <c r="D124" s="29"/>
      <c r="E124" s="68"/>
      <c r="F124" s="101">
        <v>0.22359999999999999</v>
      </c>
      <c r="G124" s="102">
        <v>1.0136000000000001</v>
      </c>
      <c r="H124" s="103">
        <v>1.0572999999999999</v>
      </c>
      <c r="I124" s="104">
        <v>12.2155</v>
      </c>
      <c r="J124" s="103">
        <v>49.151600000000002</v>
      </c>
      <c r="K124" s="103">
        <v>44.717399999999998</v>
      </c>
      <c r="L124" s="169">
        <f>SUM(BabycareRaw[[#This Row],[2022]:[YTD 24]])</f>
        <v>2.2945000000000002</v>
      </c>
    </row>
    <row r="125" spans="1:12" ht="14.25" customHeight="1" x14ac:dyDescent="0.2">
      <c r="A125" s="30" t="s">
        <v>845</v>
      </c>
      <c r="B125" s="31" t="s">
        <v>6</v>
      </c>
      <c r="C125" s="32"/>
      <c r="D125" s="33"/>
      <c r="E125" s="70"/>
      <c r="F125" s="97">
        <v>0.22359999999999999</v>
      </c>
      <c r="G125" s="98">
        <v>1.0136000000000001</v>
      </c>
      <c r="H125" s="99">
        <v>1.0572999999999999</v>
      </c>
      <c r="I125" s="100">
        <v>12.2155</v>
      </c>
      <c r="J125" s="99">
        <v>49.151600000000002</v>
      </c>
      <c r="K125" s="99">
        <v>44.717399999999998</v>
      </c>
      <c r="L125" s="165">
        <f>SUM(BabycareRaw[[#This Row],[2022]:[YTD 24]])</f>
        <v>2.2945000000000002</v>
      </c>
    </row>
    <row r="126" spans="1:12" ht="15" customHeight="1" x14ac:dyDescent="0.2">
      <c r="A126" s="34" t="s">
        <v>116</v>
      </c>
      <c r="B126" s="32" t="s">
        <v>8</v>
      </c>
      <c r="C126" s="32" t="s">
        <v>9</v>
      </c>
      <c r="D126" s="33" t="s">
        <v>20</v>
      </c>
      <c r="E126" s="70" t="s">
        <v>21</v>
      </c>
      <c r="F126" s="97">
        <v>0</v>
      </c>
      <c r="G126" s="98">
        <v>0</v>
      </c>
      <c r="H126" s="99">
        <v>0.24490000000000001</v>
      </c>
      <c r="I126" s="100">
        <v>0</v>
      </c>
      <c r="J126" s="99">
        <v>0</v>
      </c>
      <c r="K126" s="99">
        <v>9.7979000000000003</v>
      </c>
      <c r="L126" s="165">
        <f>SUM(BabycareRaw[[#This Row],[2022]:[YTD 24]])</f>
        <v>0.24490000000000001</v>
      </c>
    </row>
    <row r="127" spans="1:12" ht="15" customHeight="1" x14ac:dyDescent="0.2">
      <c r="A127" s="34" t="s">
        <v>117</v>
      </c>
      <c r="B127" s="32" t="s">
        <v>8</v>
      </c>
      <c r="C127" s="32" t="s">
        <v>9</v>
      </c>
      <c r="D127" s="33" t="s">
        <v>20</v>
      </c>
      <c r="E127" s="70" t="s">
        <v>21</v>
      </c>
      <c r="F127" s="97">
        <v>0.22359999999999999</v>
      </c>
      <c r="G127" s="98">
        <v>1.0136000000000001</v>
      </c>
      <c r="H127" s="99">
        <v>0.81230000000000002</v>
      </c>
      <c r="I127" s="100">
        <v>12.2155</v>
      </c>
      <c r="J127" s="99">
        <v>49.151600000000002</v>
      </c>
      <c r="K127" s="99">
        <v>34.919499999999999</v>
      </c>
      <c r="L127" s="165">
        <f>SUM(BabycareRaw[[#This Row],[2022]:[YTD 24]])</f>
        <v>2.0495000000000001</v>
      </c>
    </row>
    <row r="128" spans="1:12" ht="15" customHeight="1" x14ac:dyDescent="0.2">
      <c r="A128" s="27" t="s">
        <v>727</v>
      </c>
      <c r="B128" s="28" t="s">
        <v>5</v>
      </c>
      <c r="C128" s="28"/>
      <c r="D128" s="29"/>
      <c r="E128" s="68"/>
      <c r="F128" s="101">
        <v>113.30880000000001</v>
      </c>
      <c r="G128" s="102">
        <v>81.313699999999997</v>
      </c>
      <c r="H128" s="103">
        <v>48.297400000000003</v>
      </c>
      <c r="I128" s="104">
        <v>1483.433</v>
      </c>
      <c r="J128" s="103">
        <v>1045.7734</v>
      </c>
      <c r="K128" s="103">
        <v>598.3963</v>
      </c>
      <c r="L128" s="169">
        <f>SUM(BabycareRaw[[#This Row],[2022]:[YTD 24]])</f>
        <v>242.91990000000001</v>
      </c>
    </row>
    <row r="129" spans="1:12" ht="14.25" customHeight="1" x14ac:dyDescent="0.2">
      <c r="A129" s="30" t="s">
        <v>833</v>
      </c>
      <c r="B129" s="31" t="s">
        <v>6</v>
      </c>
      <c r="C129" s="32"/>
      <c r="D129" s="33"/>
      <c r="E129" s="70"/>
      <c r="F129" s="97">
        <v>113.30880000000001</v>
      </c>
      <c r="G129" s="98">
        <v>81.313699999999997</v>
      </c>
      <c r="H129" s="99">
        <v>48.297400000000003</v>
      </c>
      <c r="I129" s="100">
        <v>1483.433</v>
      </c>
      <c r="J129" s="99">
        <v>1045.7734</v>
      </c>
      <c r="K129" s="99">
        <v>598.3963</v>
      </c>
      <c r="L129" s="165">
        <f>SUM(BabycareRaw[[#This Row],[2022]:[YTD 24]])</f>
        <v>242.91990000000001</v>
      </c>
    </row>
    <row r="130" spans="1:12" ht="15" customHeight="1" x14ac:dyDescent="0.2">
      <c r="A130" s="34" t="s">
        <v>120</v>
      </c>
      <c r="B130" s="32" t="s">
        <v>8</v>
      </c>
      <c r="C130" s="32" t="s">
        <v>9</v>
      </c>
      <c r="D130" s="33" t="s">
        <v>10</v>
      </c>
      <c r="E130" s="70" t="s">
        <v>11</v>
      </c>
      <c r="F130" s="97">
        <v>15.0191</v>
      </c>
      <c r="G130" s="98">
        <v>17.616800000000001</v>
      </c>
      <c r="H130" s="99">
        <v>13.700200000000001</v>
      </c>
      <c r="I130" s="100">
        <v>121.4559</v>
      </c>
      <c r="J130" s="99">
        <v>162.24</v>
      </c>
      <c r="K130" s="99">
        <v>126.0534</v>
      </c>
      <c r="L130" s="165">
        <f>SUM(BabycareRaw[[#This Row],[2022]:[YTD 24]])</f>
        <v>46.336100000000002</v>
      </c>
    </row>
    <row r="131" spans="1:12" ht="15" customHeight="1" x14ac:dyDescent="0.2">
      <c r="A131" s="34" t="s">
        <v>121</v>
      </c>
      <c r="B131" s="32" t="s">
        <v>8</v>
      </c>
      <c r="C131" s="32" t="s">
        <v>9</v>
      </c>
      <c r="D131" s="33" t="s">
        <v>10</v>
      </c>
      <c r="E131" s="70" t="s">
        <v>99</v>
      </c>
      <c r="F131" s="97">
        <v>19.776399999999999</v>
      </c>
      <c r="G131" s="98">
        <v>13.798299999999999</v>
      </c>
      <c r="H131" s="99">
        <v>7.5656999999999996</v>
      </c>
      <c r="I131" s="100">
        <v>281.97280000000001</v>
      </c>
      <c r="J131" s="99">
        <v>222.7071</v>
      </c>
      <c r="K131" s="99">
        <v>118.9547</v>
      </c>
      <c r="L131" s="165">
        <f>SUM(BabycareRaw[[#This Row],[2022]:[YTD 24]])</f>
        <v>41.1404</v>
      </c>
    </row>
    <row r="132" spans="1:12" ht="15" customHeight="1" x14ac:dyDescent="0.2">
      <c r="A132" s="34" t="s">
        <v>122</v>
      </c>
      <c r="B132" s="32" t="s">
        <v>8</v>
      </c>
      <c r="C132" s="32" t="s">
        <v>9</v>
      </c>
      <c r="D132" s="33" t="s">
        <v>10</v>
      </c>
      <c r="E132" s="70" t="s">
        <v>123</v>
      </c>
      <c r="F132" s="97">
        <v>41.314100000000003</v>
      </c>
      <c r="G132" s="98">
        <v>32.422600000000003</v>
      </c>
      <c r="H132" s="99">
        <v>18.6829</v>
      </c>
      <c r="I132" s="100">
        <v>549.64080000000001</v>
      </c>
      <c r="J132" s="99">
        <v>416.84789999999998</v>
      </c>
      <c r="K132" s="99">
        <v>241.38910000000001</v>
      </c>
      <c r="L132" s="165">
        <f>SUM(BabycareRaw[[#This Row],[2022]:[YTD 24]])</f>
        <v>92.419600000000017</v>
      </c>
    </row>
    <row r="133" spans="1:12" ht="15" customHeight="1" x14ac:dyDescent="0.2">
      <c r="A133" s="34" t="s">
        <v>124</v>
      </c>
      <c r="B133" s="32" t="s">
        <v>8</v>
      </c>
      <c r="C133" s="32" t="s">
        <v>9</v>
      </c>
      <c r="D133" s="33" t="s">
        <v>30</v>
      </c>
      <c r="E133" s="70" t="s">
        <v>123</v>
      </c>
      <c r="F133" s="97">
        <v>10.5054</v>
      </c>
      <c r="G133" s="98">
        <v>0.496</v>
      </c>
      <c r="H133" s="99">
        <v>0</v>
      </c>
      <c r="I133" s="100">
        <v>168.06010000000001</v>
      </c>
      <c r="J133" s="99">
        <v>9.3780000000000001</v>
      </c>
      <c r="K133" s="99">
        <v>0</v>
      </c>
      <c r="L133" s="165">
        <f>SUM(BabycareRaw[[#This Row],[2022]:[YTD 24]])</f>
        <v>11.0014</v>
      </c>
    </row>
    <row r="134" spans="1:12" ht="15" customHeight="1" x14ac:dyDescent="0.2">
      <c r="A134" s="34" t="s">
        <v>125</v>
      </c>
      <c r="B134" s="32" t="s">
        <v>8</v>
      </c>
      <c r="C134" s="32" t="s">
        <v>9</v>
      </c>
      <c r="D134" s="33" t="s">
        <v>10</v>
      </c>
      <c r="E134" s="70" t="s">
        <v>123</v>
      </c>
      <c r="F134" s="97">
        <v>26.694099999999999</v>
      </c>
      <c r="G134" s="98">
        <v>16.9801</v>
      </c>
      <c r="H134" s="99">
        <v>8.3484999999999996</v>
      </c>
      <c r="I134" s="100">
        <v>362.30340000000001</v>
      </c>
      <c r="J134" s="99">
        <v>234.6001</v>
      </c>
      <c r="K134" s="99">
        <v>111.9991</v>
      </c>
      <c r="L134" s="165">
        <f>SUM(BabycareRaw[[#This Row],[2022]:[YTD 24]])</f>
        <v>52.0227</v>
      </c>
    </row>
    <row r="135" spans="1:12" ht="15" customHeight="1" x14ac:dyDescent="0.2">
      <c r="A135" s="27" t="s">
        <v>728</v>
      </c>
      <c r="B135" s="28" t="s">
        <v>5</v>
      </c>
      <c r="C135" s="28"/>
      <c r="D135" s="29"/>
      <c r="E135" s="68"/>
      <c r="F135" s="101">
        <v>0.52039999999999997</v>
      </c>
      <c r="G135" s="102">
        <v>1.6072</v>
      </c>
      <c r="H135" s="103">
        <v>0.16420000000000001</v>
      </c>
      <c r="I135" s="104">
        <v>10.5198</v>
      </c>
      <c r="J135" s="103">
        <v>34.4998</v>
      </c>
      <c r="K135" s="103">
        <v>3.1461000000000001</v>
      </c>
      <c r="L135" s="169">
        <f>SUM(BabycareRaw[[#This Row],[2022]:[YTD 24]])</f>
        <v>2.2918000000000003</v>
      </c>
    </row>
    <row r="136" spans="1:12" ht="14.25" customHeight="1" x14ac:dyDescent="0.2">
      <c r="A136" s="30" t="s">
        <v>126</v>
      </c>
      <c r="B136" s="31" t="s">
        <v>6</v>
      </c>
      <c r="C136" s="32"/>
      <c r="D136" s="33"/>
      <c r="E136" s="70"/>
      <c r="F136" s="97">
        <v>0.52039999999999997</v>
      </c>
      <c r="G136" s="98">
        <v>1.6072</v>
      </c>
      <c r="H136" s="99">
        <v>0.16420000000000001</v>
      </c>
      <c r="I136" s="100">
        <v>10.5198</v>
      </c>
      <c r="J136" s="99">
        <v>34.4998</v>
      </c>
      <c r="K136" s="99">
        <v>3.1461000000000001</v>
      </c>
      <c r="L136" s="165">
        <f>SUM(BabycareRaw[[#This Row],[2022]:[YTD 24]])</f>
        <v>2.2918000000000003</v>
      </c>
    </row>
    <row r="137" spans="1:12" ht="15" customHeight="1" x14ac:dyDescent="0.2">
      <c r="A137" s="34" t="s">
        <v>127</v>
      </c>
      <c r="B137" s="32" t="s">
        <v>8</v>
      </c>
      <c r="C137" s="32" t="s">
        <v>9</v>
      </c>
      <c r="D137" s="33" t="s">
        <v>20</v>
      </c>
      <c r="E137" s="70" t="s">
        <v>99</v>
      </c>
      <c r="F137" s="97">
        <v>0.52039999999999997</v>
      </c>
      <c r="G137" s="98">
        <v>1.6072</v>
      </c>
      <c r="H137" s="99">
        <v>0.16420000000000001</v>
      </c>
      <c r="I137" s="100">
        <v>10.5198</v>
      </c>
      <c r="J137" s="99">
        <v>34.4998</v>
      </c>
      <c r="K137" s="99">
        <v>3.1461000000000001</v>
      </c>
      <c r="L137" s="165">
        <f>SUM(BabycareRaw[[#This Row],[2022]:[YTD 24]])</f>
        <v>2.2918000000000003</v>
      </c>
    </row>
    <row r="138" spans="1:12" ht="15" customHeight="1" x14ac:dyDescent="0.2">
      <c r="A138" s="27" t="s">
        <v>729</v>
      </c>
      <c r="B138" s="28" t="s">
        <v>5</v>
      </c>
      <c r="C138" s="28"/>
      <c r="D138" s="29"/>
      <c r="E138" s="68"/>
      <c r="F138" s="101">
        <v>0</v>
      </c>
      <c r="G138" s="102">
        <v>0</v>
      </c>
      <c r="H138" s="103">
        <v>0</v>
      </c>
      <c r="I138" s="104">
        <v>0</v>
      </c>
      <c r="J138" s="103">
        <v>0</v>
      </c>
      <c r="K138" s="103">
        <v>0</v>
      </c>
      <c r="L138" s="169">
        <f>SUM(BabycareRaw[[#This Row],[2022]:[YTD 24]])</f>
        <v>0</v>
      </c>
    </row>
    <row r="139" spans="1:12" ht="14.25" customHeight="1" x14ac:dyDescent="0.2">
      <c r="A139" s="30" t="s">
        <v>846</v>
      </c>
      <c r="B139" s="31" t="s">
        <v>6</v>
      </c>
      <c r="C139" s="32"/>
      <c r="D139" s="33"/>
      <c r="E139" s="70"/>
      <c r="F139" s="97">
        <v>0</v>
      </c>
      <c r="G139" s="98">
        <v>0</v>
      </c>
      <c r="H139" s="99">
        <v>0</v>
      </c>
      <c r="I139" s="100">
        <v>0</v>
      </c>
      <c r="J139" s="99">
        <v>0</v>
      </c>
      <c r="K139" s="99">
        <v>0</v>
      </c>
      <c r="L139" s="165">
        <f>SUM(BabycareRaw[[#This Row],[2022]:[YTD 24]])</f>
        <v>0</v>
      </c>
    </row>
    <row r="140" spans="1:12" ht="15" customHeight="1" x14ac:dyDescent="0.2">
      <c r="A140" s="34" t="s">
        <v>128</v>
      </c>
      <c r="B140" s="32" t="s">
        <v>8</v>
      </c>
      <c r="C140" s="32" t="s">
        <v>9</v>
      </c>
      <c r="D140" s="33" t="s">
        <v>20</v>
      </c>
      <c r="E140" s="70" t="s">
        <v>24</v>
      </c>
      <c r="F140" s="97">
        <v>0</v>
      </c>
      <c r="G140" s="98">
        <v>0</v>
      </c>
      <c r="H140" s="99">
        <v>0</v>
      </c>
      <c r="I140" s="100">
        <v>0</v>
      </c>
      <c r="J140" s="99">
        <v>0</v>
      </c>
      <c r="K140" s="99">
        <v>0</v>
      </c>
      <c r="L140" s="165">
        <f>SUM(BabycareRaw[[#This Row],[2022]:[YTD 24]])</f>
        <v>0</v>
      </c>
    </row>
    <row r="141" spans="1:12" ht="15" customHeight="1" x14ac:dyDescent="0.2">
      <c r="A141" s="27" t="s">
        <v>730</v>
      </c>
      <c r="B141" s="28" t="s">
        <v>5</v>
      </c>
      <c r="C141" s="28"/>
      <c r="D141" s="29"/>
      <c r="E141" s="68"/>
      <c r="F141" s="101">
        <v>0</v>
      </c>
      <c r="G141" s="102">
        <v>3.7900000000000003E-2</v>
      </c>
      <c r="H141" s="103">
        <v>6.93E-2</v>
      </c>
      <c r="I141" s="104">
        <v>0</v>
      </c>
      <c r="J141" s="103">
        <v>2.3294000000000001</v>
      </c>
      <c r="K141" s="103">
        <v>4.2670000000000003</v>
      </c>
      <c r="L141" s="169">
        <f>SUM(BabycareRaw[[#This Row],[2022]:[YTD 24]])</f>
        <v>0.1072</v>
      </c>
    </row>
    <row r="142" spans="1:12" ht="14.25" customHeight="1" x14ac:dyDescent="0.2">
      <c r="A142" s="30" t="s">
        <v>847</v>
      </c>
      <c r="B142" s="31" t="s">
        <v>6</v>
      </c>
      <c r="C142" s="32"/>
      <c r="D142" s="33"/>
      <c r="E142" s="70"/>
      <c r="F142" s="97">
        <v>0</v>
      </c>
      <c r="G142" s="98">
        <v>3.7900000000000003E-2</v>
      </c>
      <c r="H142" s="99">
        <v>6.93E-2</v>
      </c>
      <c r="I142" s="100">
        <v>0</v>
      </c>
      <c r="J142" s="99">
        <v>2.3294000000000001</v>
      </c>
      <c r="K142" s="99">
        <v>4.2670000000000003</v>
      </c>
      <c r="L142" s="165">
        <f>SUM(BabycareRaw[[#This Row],[2022]:[YTD 24]])</f>
        <v>0.1072</v>
      </c>
    </row>
    <row r="143" spans="1:12" ht="15" customHeight="1" x14ac:dyDescent="0.2">
      <c r="A143" s="34" t="s">
        <v>129</v>
      </c>
      <c r="B143" s="32" t="s">
        <v>8</v>
      </c>
      <c r="C143" s="32" t="s">
        <v>9</v>
      </c>
      <c r="D143" s="33" t="s">
        <v>20</v>
      </c>
      <c r="E143" s="70" t="s">
        <v>42</v>
      </c>
      <c r="F143" s="97">
        <v>0</v>
      </c>
      <c r="G143" s="98">
        <v>3.7900000000000003E-2</v>
      </c>
      <c r="H143" s="99">
        <v>6.93E-2</v>
      </c>
      <c r="I143" s="100">
        <v>0</v>
      </c>
      <c r="J143" s="99">
        <v>2.3294000000000001</v>
      </c>
      <c r="K143" s="99">
        <v>4.2670000000000003</v>
      </c>
      <c r="L143" s="165">
        <f>SUM(BabycareRaw[[#This Row],[2022]:[YTD 24]])</f>
        <v>0.1072</v>
      </c>
    </row>
    <row r="144" spans="1:12" ht="15" customHeight="1" x14ac:dyDescent="0.2">
      <c r="A144" s="27" t="s">
        <v>731</v>
      </c>
      <c r="B144" s="28" t="s">
        <v>5</v>
      </c>
      <c r="C144" s="28"/>
      <c r="D144" s="29"/>
      <c r="E144" s="68"/>
      <c r="F144" s="101">
        <v>36.0259</v>
      </c>
      <c r="G144" s="102">
        <v>55.229399999999998</v>
      </c>
      <c r="H144" s="103">
        <v>85.139799999999994</v>
      </c>
      <c r="I144" s="104">
        <v>1024.5518</v>
      </c>
      <c r="J144" s="103">
        <v>1623.7085999999999</v>
      </c>
      <c r="K144" s="103">
        <v>2439.0855000000001</v>
      </c>
      <c r="L144" s="169">
        <f>SUM(BabycareRaw[[#This Row],[2022]:[YTD 24]])</f>
        <v>176.39510000000001</v>
      </c>
    </row>
    <row r="145" spans="1:12" ht="14.25" customHeight="1" x14ac:dyDescent="0.2">
      <c r="A145" s="30" t="s">
        <v>848</v>
      </c>
      <c r="B145" s="31" t="s">
        <v>6</v>
      </c>
      <c r="C145" s="32"/>
      <c r="D145" s="33"/>
      <c r="E145" s="70"/>
      <c r="F145" s="97">
        <v>36.0259</v>
      </c>
      <c r="G145" s="98">
        <v>55.229399999999998</v>
      </c>
      <c r="H145" s="99">
        <v>85.139799999999994</v>
      </c>
      <c r="I145" s="100">
        <v>1024.5518</v>
      </c>
      <c r="J145" s="99">
        <v>1623.7085999999999</v>
      </c>
      <c r="K145" s="99">
        <v>2439.0855000000001</v>
      </c>
      <c r="L145" s="165">
        <f>SUM(BabycareRaw[[#This Row],[2022]:[YTD 24]])</f>
        <v>176.39510000000001</v>
      </c>
    </row>
    <row r="146" spans="1:12" ht="15" customHeight="1" x14ac:dyDescent="0.2">
      <c r="A146" s="34" t="s">
        <v>849</v>
      </c>
      <c r="B146" s="32" t="s">
        <v>8</v>
      </c>
      <c r="C146" s="32" t="s">
        <v>9</v>
      </c>
      <c r="D146" s="33" t="s">
        <v>20</v>
      </c>
      <c r="E146" s="70" t="s">
        <v>88</v>
      </c>
      <c r="F146" s="97">
        <v>0</v>
      </c>
      <c r="G146" s="98">
        <v>8.6E-3</v>
      </c>
      <c r="H146" s="99">
        <v>13.3878</v>
      </c>
      <c r="I146" s="100">
        <v>0</v>
      </c>
      <c r="J146" s="99">
        <v>0.19639999999999999</v>
      </c>
      <c r="K146" s="99">
        <v>341.02409999999998</v>
      </c>
      <c r="L146" s="165">
        <f>SUM(BabycareRaw[[#This Row],[2022]:[YTD 24]])</f>
        <v>13.3964</v>
      </c>
    </row>
    <row r="147" spans="1:12" ht="15" customHeight="1" x14ac:dyDescent="0.2">
      <c r="A147" s="34" t="s">
        <v>850</v>
      </c>
      <c r="B147" s="32" t="s">
        <v>8</v>
      </c>
      <c r="C147" s="32" t="s">
        <v>9</v>
      </c>
      <c r="D147" s="33" t="s">
        <v>20</v>
      </c>
      <c r="E147" s="70" t="s">
        <v>88</v>
      </c>
      <c r="F147" s="97">
        <v>0</v>
      </c>
      <c r="G147" s="98">
        <v>4.8898999999999999</v>
      </c>
      <c r="H147" s="99">
        <v>10.664400000000001</v>
      </c>
      <c r="I147" s="100">
        <v>0</v>
      </c>
      <c r="J147" s="99">
        <v>145.9169</v>
      </c>
      <c r="K147" s="99">
        <v>284.60649999999998</v>
      </c>
      <c r="L147" s="165">
        <f>SUM(BabycareRaw[[#This Row],[2022]:[YTD 24]])</f>
        <v>15.554300000000001</v>
      </c>
    </row>
    <row r="148" spans="1:12" ht="15" customHeight="1" x14ac:dyDescent="0.2">
      <c r="A148" s="34" t="s">
        <v>851</v>
      </c>
      <c r="B148" s="32" t="s">
        <v>8</v>
      </c>
      <c r="C148" s="32" t="s">
        <v>9</v>
      </c>
      <c r="D148" s="33" t="s">
        <v>20</v>
      </c>
      <c r="E148" s="70" t="s">
        <v>88</v>
      </c>
      <c r="F148" s="97">
        <v>0</v>
      </c>
      <c r="G148" s="98">
        <v>5.8544999999999998</v>
      </c>
      <c r="H148" s="99">
        <v>9.0564</v>
      </c>
      <c r="I148" s="100">
        <v>0</v>
      </c>
      <c r="J148" s="99">
        <v>166.38579999999999</v>
      </c>
      <c r="K148" s="99">
        <v>238.54349999999999</v>
      </c>
      <c r="L148" s="165">
        <f>SUM(BabycareRaw[[#This Row],[2022]:[YTD 24]])</f>
        <v>14.9109</v>
      </c>
    </row>
    <row r="149" spans="1:12" ht="15" customHeight="1" x14ac:dyDescent="0.2">
      <c r="A149" s="34" t="s">
        <v>852</v>
      </c>
      <c r="B149" s="32" t="s">
        <v>8</v>
      </c>
      <c r="C149" s="32" t="s">
        <v>9</v>
      </c>
      <c r="D149" s="33" t="s">
        <v>20</v>
      </c>
      <c r="E149" s="70" t="s">
        <v>119</v>
      </c>
      <c r="F149" s="97">
        <v>0</v>
      </c>
      <c r="G149" s="98">
        <v>0</v>
      </c>
      <c r="H149" s="99">
        <v>0.9879</v>
      </c>
      <c r="I149" s="100">
        <v>0</v>
      </c>
      <c r="J149" s="99">
        <v>0</v>
      </c>
      <c r="K149" s="99">
        <v>34.929000000000002</v>
      </c>
      <c r="L149" s="165">
        <f>SUM(BabycareRaw[[#This Row],[2022]:[YTD 24]])</f>
        <v>0.9879</v>
      </c>
    </row>
    <row r="150" spans="1:12" ht="15" customHeight="1" x14ac:dyDescent="0.2">
      <c r="A150" s="34" t="s">
        <v>853</v>
      </c>
      <c r="B150" s="32" t="s">
        <v>8</v>
      </c>
      <c r="C150" s="32" t="s">
        <v>9</v>
      </c>
      <c r="D150" s="33" t="s">
        <v>20</v>
      </c>
      <c r="E150" s="70" t="s">
        <v>17</v>
      </c>
      <c r="F150" s="97">
        <v>15.267200000000001</v>
      </c>
      <c r="G150" s="98">
        <v>16.318300000000001</v>
      </c>
      <c r="H150" s="99">
        <v>16.784099999999999</v>
      </c>
      <c r="I150" s="100">
        <v>431.15870000000001</v>
      </c>
      <c r="J150" s="99">
        <v>473.67329999999998</v>
      </c>
      <c r="K150" s="99">
        <v>505.80540000000002</v>
      </c>
      <c r="L150" s="165">
        <f>SUM(BabycareRaw[[#This Row],[2022]:[YTD 24]])</f>
        <v>48.369600000000005</v>
      </c>
    </row>
    <row r="151" spans="1:12" ht="15" customHeight="1" x14ac:dyDescent="0.2">
      <c r="A151" s="34" t="s">
        <v>854</v>
      </c>
      <c r="B151" s="32" t="s">
        <v>8</v>
      </c>
      <c r="C151" s="32" t="s">
        <v>9</v>
      </c>
      <c r="D151" s="33" t="s">
        <v>20</v>
      </c>
      <c r="E151" s="70" t="s">
        <v>17</v>
      </c>
      <c r="F151" s="97">
        <v>9.5295000000000005</v>
      </c>
      <c r="G151" s="98">
        <v>13.395300000000001</v>
      </c>
      <c r="H151" s="99">
        <v>18.126999999999999</v>
      </c>
      <c r="I151" s="100">
        <v>274.45499999999998</v>
      </c>
      <c r="J151" s="99">
        <v>396.72109999999998</v>
      </c>
      <c r="K151" s="99">
        <v>559.59109999999998</v>
      </c>
      <c r="L151" s="165">
        <f>SUM(BabycareRaw[[#This Row],[2022]:[YTD 24]])</f>
        <v>41.0518</v>
      </c>
    </row>
    <row r="152" spans="1:12" ht="15" customHeight="1" x14ac:dyDescent="0.2">
      <c r="A152" s="34" t="s">
        <v>855</v>
      </c>
      <c r="B152" s="32" t="s">
        <v>8</v>
      </c>
      <c r="C152" s="32" t="s">
        <v>9</v>
      </c>
      <c r="D152" s="33" t="s">
        <v>20</v>
      </c>
      <c r="E152" s="70" t="s">
        <v>17</v>
      </c>
      <c r="F152" s="97">
        <v>11.2293</v>
      </c>
      <c r="G152" s="98">
        <v>14.7631</v>
      </c>
      <c r="H152" s="99">
        <v>16.131900000000002</v>
      </c>
      <c r="I152" s="100">
        <v>318.93810000000002</v>
      </c>
      <c r="J152" s="99">
        <v>440.8152</v>
      </c>
      <c r="K152" s="99">
        <v>474.58569999999997</v>
      </c>
      <c r="L152" s="165">
        <f>SUM(BabycareRaw[[#This Row],[2022]:[YTD 24]])</f>
        <v>42.124300000000005</v>
      </c>
    </row>
    <row r="153" spans="1:12" ht="15" customHeight="1" x14ac:dyDescent="0.2">
      <c r="A153" s="27" t="s">
        <v>732</v>
      </c>
      <c r="B153" s="28" t="s">
        <v>5</v>
      </c>
      <c r="C153" s="28"/>
      <c r="D153" s="29"/>
      <c r="E153" s="68"/>
      <c r="F153" s="101">
        <v>1.03E-2</v>
      </c>
      <c r="G153" s="102">
        <v>0</v>
      </c>
      <c r="H153" s="103">
        <v>0</v>
      </c>
      <c r="I153" s="104">
        <v>0.3876</v>
      </c>
      <c r="J153" s="103">
        <v>0</v>
      </c>
      <c r="K153" s="103">
        <v>0</v>
      </c>
      <c r="L153" s="169">
        <f>SUM(BabycareRaw[[#This Row],[2022]:[YTD 24]])</f>
        <v>1.03E-2</v>
      </c>
    </row>
    <row r="154" spans="1:12" ht="14.25" customHeight="1" x14ac:dyDescent="0.2">
      <c r="A154" s="30" t="s">
        <v>856</v>
      </c>
      <c r="B154" s="31" t="s">
        <v>6</v>
      </c>
      <c r="C154" s="32"/>
      <c r="D154" s="33"/>
      <c r="E154" s="70"/>
      <c r="F154" s="97">
        <v>1.03E-2</v>
      </c>
      <c r="G154" s="98">
        <v>0</v>
      </c>
      <c r="H154" s="99">
        <v>0</v>
      </c>
      <c r="I154" s="100">
        <v>0.3876</v>
      </c>
      <c r="J154" s="99">
        <v>0</v>
      </c>
      <c r="K154" s="99">
        <v>0</v>
      </c>
      <c r="L154" s="165">
        <f>SUM(BabycareRaw[[#This Row],[2022]:[YTD 24]])</f>
        <v>1.03E-2</v>
      </c>
    </row>
    <row r="155" spans="1:12" ht="15" customHeight="1" x14ac:dyDescent="0.2">
      <c r="A155" s="34" t="s">
        <v>819</v>
      </c>
      <c r="B155" s="32" t="s">
        <v>8</v>
      </c>
      <c r="C155" s="32" t="s">
        <v>9</v>
      </c>
      <c r="D155" s="33" t="s">
        <v>10</v>
      </c>
      <c r="E155" s="70" t="s">
        <v>99</v>
      </c>
      <c r="F155" s="97">
        <v>1.03E-2</v>
      </c>
      <c r="G155" s="98">
        <v>0</v>
      </c>
      <c r="H155" s="99">
        <v>0</v>
      </c>
      <c r="I155" s="100">
        <v>0.3876</v>
      </c>
      <c r="J155" s="99">
        <v>0</v>
      </c>
      <c r="K155" s="99">
        <v>0</v>
      </c>
      <c r="L155" s="165">
        <f>SUM(BabycareRaw[[#This Row],[2022]:[YTD 24]])</f>
        <v>1.03E-2</v>
      </c>
    </row>
    <row r="156" spans="1:12" ht="15" customHeight="1" x14ac:dyDescent="0.2">
      <c r="A156" s="27" t="s">
        <v>733</v>
      </c>
      <c r="B156" s="28" t="s">
        <v>5</v>
      </c>
      <c r="C156" s="28"/>
      <c r="D156" s="29"/>
      <c r="E156" s="68"/>
      <c r="F156" s="101">
        <v>0</v>
      </c>
      <c r="G156" s="102">
        <v>1.8077000000000001</v>
      </c>
      <c r="H156" s="103">
        <v>54.250700000000002</v>
      </c>
      <c r="I156" s="104">
        <v>0</v>
      </c>
      <c r="J156" s="103">
        <v>127.6024</v>
      </c>
      <c r="K156" s="103">
        <v>2956.24</v>
      </c>
      <c r="L156" s="169">
        <f>SUM(BabycareRaw[[#This Row],[2022]:[YTD 24]])</f>
        <v>56.058399999999999</v>
      </c>
    </row>
    <row r="157" spans="1:12" ht="14.25" customHeight="1" x14ac:dyDescent="0.2">
      <c r="A157" s="30" t="s">
        <v>857</v>
      </c>
      <c r="B157" s="31" t="s">
        <v>6</v>
      </c>
      <c r="C157" s="32"/>
      <c r="D157" s="33"/>
      <c r="E157" s="70"/>
      <c r="F157" s="97">
        <v>0</v>
      </c>
      <c r="G157" s="98">
        <v>1.8077000000000001</v>
      </c>
      <c r="H157" s="99">
        <v>54.250700000000002</v>
      </c>
      <c r="I157" s="100">
        <v>0</v>
      </c>
      <c r="J157" s="99">
        <v>127.6024</v>
      </c>
      <c r="K157" s="99">
        <v>2956.24</v>
      </c>
      <c r="L157" s="165">
        <f>SUM(BabycareRaw[[#This Row],[2022]:[YTD 24]])</f>
        <v>56.058399999999999</v>
      </c>
    </row>
    <row r="158" spans="1:12" ht="15" customHeight="1" x14ac:dyDescent="0.2">
      <c r="A158" s="34" t="s">
        <v>130</v>
      </c>
      <c r="B158" s="32" t="s">
        <v>8</v>
      </c>
      <c r="C158" s="32" t="s">
        <v>9</v>
      </c>
      <c r="D158" s="33" t="s">
        <v>10</v>
      </c>
      <c r="E158" s="70" t="s">
        <v>24</v>
      </c>
      <c r="F158" s="97">
        <v>0</v>
      </c>
      <c r="G158" s="98">
        <v>1.8077000000000001</v>
      </c>
      <c r="H158" s="99">
        <v>54.250700000000002</v>
      </c>
      <c r="I158" s="100">
        <v>0</v>
      </c>
      <c r="J158" s="99">
        <v>127.6024</v>
      </c>
      <c r="K158" s="99">
        <v>2956.24</v>
      </c>
      <c r="L158" s="165">
        <f>SUM(BabycareRaw[[#This Row],[2022]:[YTD 24]])</f>
        <v>56.058399999999999</v>
      </c>
    </row>
    <row r="159" spans="1:12" ht="15" customHeight="1" x14ac:dyDescent="0.2">
      <c r="A159" s="27" t="s">
        <v>734</v>
      </c>
      <c r="B159" s="28" t="s">
        <v>5</v>
      </c>
      <c r="C159" s="28"/>
      <c r="D159" s="29"/>
      <c r="E159" s="68"/>
      <c r="F159" s="101">
        <v>0</v>
      </c>
      <c r="G159" s="102">
        <v>0.1202</v>
      </c>
      <c r="H159" s="103">
        <v>0</v>
      </c>
      <c r="I159" s="104">
        <v>0</v>
      </c>
      <c r="J159" s="103">
        <v>2.4085999999999999</v>
      </c>
      <c r="K159" s="103">
        <v>0</v>
      </c>
      <c r="L159" s="169">
        <f>SUM(BabycareRaw[[#This Row],[2022]:[YTD 24]])</f>
        <v>0.1202</v>
      </c>
    </row>
    <row r="160" spans="1:12" ht="14.25" customHeight="1" x14ac:dyDescent="0.2">
      <c r="A160" s="30" t="s">
        <v>131</v>
      </c>
      <c r="B160" s="31" t="s">
        <v>6</v>
      </c>
      <c r="C160" s="32"/>
      <c r="D160" s="33"/>
      <c r="E160" s="70"/>
      <c r="F160" s="97">
        <v>0</v>
      </c>
      <c r="G160" s="98">
        <v>0.1202</v>
      </c>
      <c r="H160" s="99">
        <v>0</v>
      </c>
      <c r="I160" s="100">
        <v>0</v>
      </c>
      <c r="J160" s="99">
        <v>2.4085999999999999</v>
      </c>
      <c r="K160" s="99">
        <v>0</v>
      </c>
      <c r="L160" s="165">
        <f>SUM(BabycareRaw[[#This Row],[2022]:[YTD 24]])</f>
        <v>0.1202</v>
      </c>
    </row>
    <row r="161" spans="1:12" ht="15" customHeight="1" x14ac:dyDescent="0.2">
      <c r="A161" s="34" t="s">
        <v>132</v>
      </c>
      <c r="B161" s="32" t="s">
        <v>8</v>
      </c>
      <c r="C161" s="32" t="s">
        <v>9</v>
      </c>
      <c r="D161" s="33" t="s">
        <v>10</v>
      </c>
      <c r="E161" s="70" t="s">
        <v>11</v>
      </c>
      <c r="F161" s="97">
        <v>0</v>
      </c>
      <c r="G161" s="98">
        <v>0.1202</v>
      </c>
      <c r="H161" s="99">
        <v>0</v>
      </c>
      <c r="I161" s="100">
        <v>0</v>
      </c>
      <c r="J161" s="99">
        <v>2.4085999999999999</v>
      </c>
      <c r="K161" s="99">
        <v>0</v>
      </c>
      <c r="L161" s="165">
        <f>SUM(BabycareRaw[[#This Row],[2022]:[YTD 24]])</f>
        <v>0.1202</v>
      </c>
    </row>
    <row r="162" spans="1:12" ht="15" customHeight="1" x14ac:dyDescent="0.2">
      <c r="A162" s="27" t="s">
        <v>735</v>
      </c>
      <c r="B162" s="28" t="s">
        <v>5</v>
      </c>
      <c r="C162" s="28"/>
      <c r="D162" s="29"/>
      <c r="E162" s="68"/>
      <c r="F162" s="101">
        <v>212.42590000000001</v>
      </c>
      <c r="G162" s="102">
        <v>118.93340000000001</v>
      </c>
      <c r="H162" s="103">
        <v>32.276800000000001</v>
      </c>
      <c r="I162" s="104">
        <v>11963.103999999999</v>
      </c>
      <c r="J162" s="103">
        <v>6284.8913000000002</v>
      </c>
      <c r="K162" s="103">
        <v>1340.7376999999999</v>
      </c>
      <c r="L162" s="169">
        <f>SUM(BabycareRaw[[#This Row],[2022]:[YTD 24]])</f>
        <v>363.6361</v>
      </c>
    </row>
    <row r="163" spans="1:12" ht="14.25" customHeight="1" x14ac:dyDescent="0.2">
      <c r="A163" s="30" t="s">
        <v>858</v>
      </c>
      <c r="B163" s="31" t="s">
        <v>6</v>
      </c>
      <c r="C163" s="32"/>
      <c r="D163" s="33"/>
      <c r="E163" s="70"/>
      <c r="F163" s="97">
        <v>57.485300000000002</v>
      </c>
      <c r="G163" s="98">
        <v>39.476199999999999</v>
      </c>
      <c r="H163" s="99">
        <v>6.7363999999999997</v>
      </c>
      <c r="I163" s="100">
        <v>3117.2665999999999</v>
      </c>
      <c r="J163" s="99">
        <v>2098.0985000000001</v>
      </c>
      <c r="K163" s="99">
        <v>314.59030000000001</v>
      </c>
      <c r="L163" s="165">
        <f>SUM(BabycareRaw[[#This Row],[2022]:[YTD 24]])</f>
        <v>103.6979</v>
      </c>
    </row>
    <row r="164" spans="1:12" ht="15" customHeight="1" x14ac:dyDescent="0.2">
      <c r="A164" s="34" t="s">
        <v>133</v>
      </c>
      <c r="B164" s="32" t="s">
        <v>8</v>
      </c>
      <c r="C164" s="32" t="s">
        <v>9</v>
      </c>
      <c r="D164" s="33" t="s">
        <v>20</v>
      </c>
      <c r="E164" s="70" t="s">
        <v>24</v>
      </c>
      <c r="F164" s="97">
        <v>28.356999999999999</v>
      </c>
      <c r="G164" s="98">
        <v>20.580200000000001</v>
      </c>
      <c r="H164" s="99">
        <v>0.78890000000000005</v>
      </c>
      <c r="I164" s="100">
        <v>1646.7402</v>
      </c>
      <c r="J164" s="99">
        <v>1088.8000999999999</v>
      </c>
      <c r="K164" s="99">
        <v>38.968699999999998</v>
      </c>
      <c r="L164" s="165">
        <f>SUM(BabycareRaw[[#This Row],[2022]:[YTD 24]])</f>
        <v>49.726100000000002</v>
      </c>
    </row>
    <row r="165" spans="1:12" ht="15" customHeight="1" x14ac:dyDescent="0.2">
      <c r="A165" s="34" t="s">
        <v>134</v>
      </c>
      <c r="B165" s="32" t="s">
        <v>8</v>
      </c>
      <c r="C165" s="32" t="s">
        <v>9</v>
      </c>
      <c r="D165" s="33" t="s">
        <v>30</v>
      </c>
      <c r="E165" s="70" t="s">
        <v>24</v>
      </c>
      <c r="F165" s="97">
        <v>12.003299999999999</v>
      </c>
      <c r="G165" s="98">
        <v>12.0252</v>
      </c>
      <c r="H165" s="99">
        <v>1.8045</v>
      </c>
      <c r="I165" s="100">
        <v>643.41989999999998</v>
      </c>
      <c r="J165" s="99">
        <v>689.18370000000004</v>
      </c>
      <c r="K165" s="99">
        <v>98.837400000000002</v>
      </c>
      <c r="L165" s="165">
        <f>SUM(BabycareRaw[[#This Row],[2022]:[YTD 24]])</f>
        <v>25.833000000000002</v>
      </c>
    </row>
    <row r="166" spans="1:12" ht="15" customHeight="1" x14ac:dyDescent="0.2">
      <c r="A166" s="34" t="s">
        <v>135</v>
      </c>
      <c r="B166" s="32" t="s">
        <v>8</v>
      </c>
      <c r="C166" s="32" t="s">
        <v>9</v>
      </c>
      <c r="D166" s="33" t="s">
        <v>30</v>
      </c>
      <c r="E166" s="70" t="s">
        <v>24</v>
      </c>
      <c r="F166" s="97">
        <v>0.11600000000000001</v>
      </c>
      <c r="G166" s="98">
        <v>0</v>
      </c>
      <c r="H166" s="99">
        <v>0</v>
      </c>
      <c r="I166" s="100">
        <v>6.96</v>
      </c>
      <c r="J166" s="99">
        <v>0</v>
      </c>
      <c r="K166" s="99">
        <v>0</v>
      </c>
      <c r="L166" s="165">
        <f>SUM(BabycareRaw[[#This Row],[2022]:[YTD 24]])</f>
        <v>0.11600000000000001</v>
      </c>
    </row>
    <row r="167" spans="1:12" ht="15" customHeight="1" x14ac:dyDescent="0.2">
      <c r="A167" s="34" t="s">
        <v>136</v>
      </c>
      <c r="B167" s="32" t="s">
        <v>8</v>
      </c>
      <c r="C167" s="32" t="s">
        <v>9</v>
      </c>
      <c r="D167" s="33" t="s">
        <v>20</v>
      </c>
      <c r="E167" s="70" t="s">
        <v>99</v>
      </c>
      <c r="F167" s="97">
        <v>4.6429999999999998</v>
      </c>
      <c r="G167" s="98">
        <v>2.3708</v>
      </c>
      <c r="H167" s="99">
        <v>3.8805999999999998</v>
      </c>
      <c r="I167" s="100">
        <v>208.76240000000001</v>
      </c>
      <c r="J167" s="99">
        <v>99.124899999999997</v>
      </c>
      <c r="K167" s="99">
        <v>163.75460000000001</v>
      </c>
      <c r="L167" s="165">
        <f>SUM(BabycareRaw[[#This Row],[2022]:[YTD 24]])</f>
        <v>10.894399999999999</v>
      </c>
    </row>
    <row r="168" spans="1:12" ht="15" customHeight="1" x14ac:dyDescent="0.2">
      <c r="A168" s="34" t="s">
        <v>137</v>
      </c>
      <c r="B168" s="32" t="s">
        <v>8</v>
      </c>
      <c r="C168" s="32" t="s">
        <v>9</v>
      </c>
      <c r="D168" s="33" t="s">
        <v>30</v>
      </c>
      <c r="E168" s="70" t="s">
        <v>42</v>
      </c>
      <c r="F168" s="97">
        <v>8.5853000000000002</v>
      </c>
      <c r="G168" s="98">
        <v>4.2140000000000004</v>
      </c>
      <c r="H168" s="99">
        <v>0.26250000000000001</v>
      </c>
      <c r="I168" s="100">
        <v>402.53930000000003</v>
      </c>
      <c r="J168" s="99">
        <v>207.43709999999999</v>
      </c>
      <c r="K168" s="99">
        <v>13.0296</v>
      </c>
      <c r="L168" s="165">
        <f>SUM(BabycareRaw[[#This Row],[2022]:[YTD 24]])</f>
        <v>13.0618</v>
      </c>
    </row>
    <row r="169" spans="1:12" ht="15" customHeight="1" x14ac:dyDescent="0.2">
      <c r="A169" s="34" t="s">
        <v>138</v>
      </c>
      <c r="B169" s="32" t="s">
        <v>8</v>
      </c>
      <c r="C169" s="32" t="s">
        <v>9</v>
      </c>
      <c r="D169" s="33" t="s">
        <v>20</v>
      </c>
      <c r="E169" s="70" t="s">
        <v>42</v>
      </c>
      <c r="F169" s="97">
        <v>0.83140000000000003</v>
      </c>
      <c r="G169" s="98">
        <v>1.5299999999999999E-2</v>
      </c>
      <c r="H169" s="99">
        <v>0</v>
      </c>
      <c r="I169" s="100">
        <v>39.196399999999997</v>
      </c>
      <c r="J169" s="99">
        <v>0.64800000000000002</v>
      </c>
      <c r="K169" s="99">
        <v>0</v>
      </c>
      <c r="L169" s="165">
        <f>SUM(BabycareRaw[[#This Row],[2022]:[YTD 24]])</f>
        <v>0.84670000000000001</v>
      </c>
    </row>
    <row r="170" spans="1:12" ht="15" customHeight="1" x14ac:dyDescent="0.2">
      <c r="A170" s="34" t="s">
        <v>139</v>
      </c>
      <c r="B170" s="32" t="s">
        <v>8</v>
      </c>
      <c r="C170" s="32" t="s">
        <v>9</v>
      </c>
      <c r="D170" s="33" t="s">
        <v>20</v>
      </c>
      <c r="E170" s="70" t="s">
        <v>68</v>
      </c>
      <c r="F170" s="97">
        <v>2.9493999999999998</v>
      </c>
      <c r="G170" s="98">
        <v>0.27079999999999999</v>
      </c>
      <c r="H170" s="99">
        <v>0</v>
      </c>
      <c r="I170" s="100">
        <v>169.64840000000001</v>
      </c>
      <c r="J170" s="99">
        <v>12.904400000000001</v>
      </c>
      <c r="K170" s="99">
        <v>0</v>
      </c>
      <c r="L170" s="165">
        <f>SUM(BabycareRaw[[#This Row],[2022]:[YTD 24]])</f>
        <v>3.2201999999999997</v>
      </c>
    </row>
    <row r="171" spans="1:12" ht="15" customHeight="1" x14ac:dyDescent="0.2">
      <c r="A171" s="30" t="s">
        <v>859</v>
      </c>
      <c r="B171" s="31" t="s">
        <v>6</v>
      </c>
      <c r="C171" s="32"/>
      <c r="D171" s="33"/>
      <c r="E171" s="70"/>
      <c r="F171" s="97">
        <v>4.0544000000000002</v>
      </c>
      <c r="G171" s="98">
        <v>0</v>
      </c>
      <c r="H171" s="99">
        <v>0</v>
      </c>
      <c r="I171" s="100">
        <v>233.119</v>
      </c>
      <c r="J171" s="99">
        <v>0</v>
      </c>
      <c r="K171" s="99">
        <v>0</v>
      </c>
      <c r="L171" s="165">
        <f>SUM(BabycareRaw[[#This Row],[2022]:[YTD 24]])</f>
        <v>4.0544000000000002</v>
      </c>
    </row>
    <row r="172" spans="1:12" ht="15" customHeight="1" x14ac:dyDescent="0.2">
      <c r="A172" s="34" t="s">
        <v>140</v>
      </c>
      <c r="B172" s="32" t="s">
        <v>8</v>
      </c>
      <c r="C172" s="32" t="s">
        <v>9</v>
      </c>
      <c r="D172" s="33" t="s">
        <v>69</v>
      </c>
      <c r="E172" s="70" t="s">
        <v>21</v>
      </c>
      <c r="F172" s="97">
        <v>4.0140000000000002</v>
      </c>
      <c r="G172" s="98">
        <v>0</v>
      </c>
      <c r="H172" s="99">
        <v>0</v>
      </c>
      <c r="I172" s="100">
        <v>230.286</v>
      </c>
      <c r="J172" s="99">
        <v>0</v>
      </c>
      <c r="K172" s="99">
        <v>0</v>
      </c>
      <c r="L172" s="165">
        <f>SUM(BabycareRaw[[#This Row],[2022]:[YTD 24]])</f>
        <v>4.0140000000000002</v>
      </c>
    </row>
    <row r="173" spans="1:12" ht="15" customHeight="1" x14ac:dyDescent="0.2">
      <c r="A173" s="34" t="s">
        <v>141</v>
      </c>
      <c r="B173" s="32" t="s">
        <v>8</v>
      </c>
      <c r="C173" s="32" t="s">
        <v>9</v>
      </c>
      <c r="D173" s="33" t="s">
        <v>10</v>
      </c>
      <c r="E173" s="70" t="s">
        <v>123</v>
      </c>
      <c r="F173" s="97">
        <v>4.0500000000000001E-2</v>
      </c>
      <c r="G173" s="98">
        <v>0</v>
      </c>
      <c r="H173" s="99">
        <v>0</v>
      </c>
      <c r="I173" s="100">
        <v>2.8330000000000002</v>
      </c>
      <c r="J173" s="99">
        <v>0</v>
      </c>
      <c r="K173" s="99">
        <v>0</v>
      </c>
      <c r="L173" s="165">
        <f>SUM(BabycareRaw[[#This Row],[2022]:[YTD 24]])</f>
        <v>4.0500000000000001E-2</v>
      </c>
    </row>
    <row r="174" spans="1:12" ht="15" customHeight="1" x14ac:dyDescent="0.2">
      <c r="A174" s="30" t="s">
        <v>860</v>
      </c>
      <c r="B174" s="31" t="s">
        <v>6</v>
      </c>
      <c r="C174" s="32"/>
      <c r="D174" s="33"/>
      <c r="E174" s="70"/>
      <c r="F174" s="97">
        <v>1.6357999999999999</v>
      </c>
      <c r="G174" s="98">
        <v>0</v>
      </c>
      <c r="H174" s="99">
        <v>0</v>
      </c>
      <c r="I174" s="100">
        <v>89.7791</v>
      </c>
      <c r="J174" s="99">
        <v>0</v>
      </c>
      <c r="K174" s="99">
        <v>0</v>
      </c>
      <c r="L174" s="165">
        <f>SUM(BabycareRaw[[#This Row],[2022]:[YTD 24]])</f>
        <v>1.6357999999999999</v>
      </c>
    </row>
    <row r="175" spans="1:12" ht="15" customHeight="1" x14ac:dyDescent="0.2">
      <c r="A175" s="34" t="s">
        <v>142</v>
      </c>
      <c r="B175" s="32" t="s">
        <v>8</v>
      </c>
      <c r="C175" s="32" t="s">
        <v>9</v>
      </c>
      <c r="D175" s="33" t="s">
        <v>30</v>
      </c>
      <c r="E175" s="70" t="s">
        <v>24</v>
      </c>
      <c r="F175" s="97">
        <v>0.76770000000000005</v>
      </c>
      <c r="G175" s="98">
        <v>0</v>
      </c>
      <c r="H175" s="99">
        <v>0</v>
      </c>
      <c r="I175" s="100">
        <v>46.441400000000002</v>
      </c>
      <c r="J175" s="99">
        <v>0</v>
      </c>
      <c r="K175" s="99">
        <v>0</v>
      </c>
      <c r="L175" s="165">
        <f>SUM(BabycareRaw[[#This Row],[2022]:[YTD 24]])</f>
        <v>0.76770000000000005</v>
      </c>
    </row>
    <row r="176" spans="1:12" ht="15" customHeight="1" x14ac:dyDescent="0.2">
      <c r="A176" s="34" t="s">
        <v>143</v>
      </c>
      <c r="B176" s="32" t="s">
        <v>8</v>
      </c>
      <c r="C176" s="32" t="s">
        <v>9</v>
      </c>
      <c r="D176" s="33" t="s">
        <v>20</v>
      </c>
      <c r="E176" s="70" t="s">
        <v>68</v>
      </c>
      <c r="F176" s="97">
        <v>0.86809999999999998</v>
      </c>
      <c r="G176" s="98">
        <v>0</v>
      </c>
      <c r="H176" s="99">
        <v>0</v>
      </c>
      <c r="I176" s="100">
        <v>43.337600000000002</v>
      </c>
      <c r="J176" s="99">
        <v>0</v>
      </c>
      <c r="K176" s="99">
        <v>0</v>
      </c>
      <c r="L176" s="165">
        <f>SUM(BabycareRaw[[#This Row],[2022]:[YTD 24]])</f>
        <v>0.86809999999999998</v>
      </c>
    </row>
    <row r="177" spans="1:12" ht="15" customHeight="1" x14ac:dyDescent="0.2">
      <c r="A177" s="30" t="s">
        <v>861</v>
      </c>
      <c r="B177" s="31" t="s">
        <v>6</v>
      </c>
      <c r="C177" s="32"/>
      <c r="D177" s="33"/>
      <c r="E177" s="70"/>
      <c r="F177" s="97">
        <v>9.5548999999999999</v>
      </c>
      <c r="G177" s="98">
        <v>16.797000000000001</v>
      </c>
      <c r="H177" s="99">
        <v>14.8012</v>
      </c>
      <c r="I177" s="100">
        <v>338.9522</v>
      </c>
      <c r="J177" s="99">
        <v>643.8528</v>
      </c>
      <c r="K177" s="99">
        <v>454.05590000000001</v>
      </c>
      <c r="L177" s="165">
        <f>SUM(BabycareRaw[[#This Row],[2022]:[YTD 24]])</f>
        <v>41.153100000000002</v>
      </c>
    </row>
    <row r="178" spans="1:12" ht="15" customHeight="1" x14ac:dyDescent="0.2">
      <c r="A178" s="34" t="s">
        <v>144</v>
      </c>
      <c r="B178" s="32" t="s">
        <v>8</v>
      </c>
      <c r="C178" s="32" t="s">
        <v>9</v>
      </c>
      <c r="D178" s="33" t="s">
        <v>20</v>
      </c>
      <c r="E178" s="70" t="s">
        <v>26</v>
      </c>
      <c r="F178" s="97">
        <v>9.5548999999999999</v>
      </c>
      <c r="G178" s="98">
        <v>16.797000000000001</v>
      </c>
      <c r="H178" s="99">
        <v>14.8012</v>
      </c>
      <c r="I178" s="100">
        <v>338.9522</v>
      </c>
      <c r="J178" s="99">
        <v>643.8528</v>
      </c>
      <c r="K178" s="99">
        <v>454.05590000000001</v>
      </c>
      <c r="L178" s="165">
        <f>SUM(BabycareRaw[[#This Row],[2022]:[YTD 24]])</f>
        <v>41.153100000000002</v>
      </c>
    </row>
    <row r="179" spans="1:12" ht="15" customHeight="1" x14ac:dyDescent="0.2">
      <c r="A179" s="30" t="s">
        <v>862</v>
      </c>
      <c r="B179" s="31" t="s">
        <v>6</v>
      </c>
      <c r="C179" s="32"/>
      <c r="D179" s="33"/>
      <c r="E179" s="70"/>
      <c r="F179" s="97">
        <v>80.961600000000004</v>
      </c>
      <c r="G179" s="98">
        <v>26.590599999999998</v>
      </c>
      <c r="H179" s="99">
        <v>4.7952000000000004</v>
      </c>
      <c r="I179" s="100">
        <v>4767.0126</v>
      </c>
      <c r="J179" s="99">
        <v>1476.0722000000001</v>
      </c>
      <c r="K179" s="99">
        <v>260.76119999999997</v>
      </c>
      <c r="L179" s="165">
        <f>SUM(BabycareRaw[[#This Row],[2022]:[YTD 24]])</f>
        <v>112.34739999999999</v>
      </c>
    </row>
    <row r="180" spans="1:12" ht="15" customHeight="1" x14ac:dyDescent="0.2">
      <c r="A180" s="34" t="s">
        <v>145</v>
      </c>
      <c r="B180" s="32" t="s">
        <v>8</v>
      </c>
      <c r="C180" s="32" t="s">
        <v>9</v>
      </c>
      <c r="D180" s="33" t="s">
        <v>20</v>
      </c>
      <c r="E180" s="70" t="s">
        <v>24</v>
      </c>
      <c r="F180" s="97">
        <v>21.0763</v>
      </c>
      <c r="G180" s="98">
        <v>7.9172000000000002</v>
      </c>
      <c r="H180" s="99">
        <v>0.35720000000000002</v>
      </c>
      <c r="I180" s="100">
        <v>1178.5386000000001</v>
      </c>
      <c r="J180" s="99">
        <v>421.82799999999997</v>
      </c>
      <c r="K180" s="99">
        <v>19.481100000000001</v>
      </c>
      <c r="L180" s="165">
        <f>SUM(BabycareRaw[[#This Row],[2022]:[YTD 24]])</f>
        <v>29.3507</v>
      </c>
    </row>
    <row r="181" spans="1:12" ht="15" customHeight="1" x14ac:dyDescent="0.2">
      <c r="A181" s="34" t="s">
        <v>146</v>
      </c>
      <c r="B181" s="32" t="s">
        <v>8</v>
      </c>
      <c r="C181" s="32" t="s">
        <v>9</v>
      </c>
      <c r="D181" s="33" t="s">
        <v>30</v>
      </c>
      <c r="E181" s="70" t="s">
        <v>24</v>
      </c>
      <c r="F181" s="97">
        <v>59.8855</v>
      </c>
      <c r="G181" s="98">
        <v>18.673500000000001</v>
      </c>
      <c r="H181" s="99">
        <v>4.4382000000000001</v>
      </c>
      <c r="I181" s="100">
        <v>3588.4739</v>
      </c>
      <c r="J181" s="99">
        <v>1054.2443000000001</v>
      </c>
      <c r="K181" s="99">
        <v>241.28020000000001</v>
      </c>
      <c r="L181" s="165">
        <f>SUM(BabycareRaw[[#This Row],[2022]:[YTD 24]])</f>
        <v>82.997199999999992</v>
      </c>
    </row>
    <row r="182" spans="1:12" ht="15" customHeight="1" x14ac:dyDescent="0.2">
      <c r="A182" s="30" t="s">
        <v>863</v>
      </c>
      <c r="B182" s="31" t="s">
        <v>6</v>
      </c>
      <c r="C182" s="32"/>
      <c r="D182" s="33"/>
      <c r="E182" s="70"/>
      <c r="F182" s="97">
        <v>37.596899999999998</v>
      </c>
      <c r="G182" s="98">
        <v>28.031099999999999</v>
      </c>
      <c r="H182" s="99">
        <v>1.2394000000000001</v>
      </c>
      <c r="I182" s="100">
        <v>2231.0284000000001</v>
      </c>
      <c r="J182" s="99">
        <v>1606.1090999999999</v>
      </c>
      <c r="K182" s="99">
        <v>64.665899999999993</v>
      </c>
      <c r="L182" s="165">
        <f>SUM(BabycareRaw[[#This Row],[2022]:[YTD 24]])</f>
        <v>66.867400000000004</v>
      </c>
    </row>
    <row r="183" spans="1:12" ht="15" customHeight="1" x14ac:dyDescent="0.2">
      <c r="A183" s="34" t="s">
        <v>147</v>
      </c>
      <c r="B183" s="32" t="s">
        <v>8</v>
      </c>
      <c r="C183" s="32" t="s">
        <v>9</v>
      </c>
      <c r="D183" s="33" t="s">
        <v>20</v>
      </c>
      <c r="E183" s="70" t="s">
        <v>24</v>
      </c>
      <c r="F183" s="97">
        <v>37.596899999999998</v>
      </c>
      <c r="G183" s="98">
        <v>28.031099999999999</v>
      </c>
      <c r="H183" s="99">
        <v>1.2394000000000001</v>
      </c>
      <c r="I183" s="100">
        <v>2231.0284000000001</v>
      </c>
      <c r="J183" s="99">
        <v>1606.1090999999999</v>
      </c>
      <c r="K183" s="99">
        <v>64.665899999999993</v>
      </c>
      <c r="L183" s="165">
        <f>SUM(BabycareRaw[[#This Row],[2022]:[YTD 24]])</f>
        <v>66.867400000000004</v>
      </c>
    </row>
    <row r="184" spans="1:12" ht="15" customHeight="1" x14ac:dyDescent="0.2">
      <c r="A184" s="30" t="s">
        <v>864</v>
      </c>
      <c r="B184" s="31" t="s">
        <v>6</v>
      </c>
      <c r="C184" s="32"/>
      <c r="D184" s="33"/>
      <c r="E184" s="70"/>
      <c r="F184" s="97">
        <v>21.1371</v>
      </c>
      <c r="G184" s="98">
        <v>8.0383999999999993</v>
      </c>
      <c r="H184" s="99">
        <v>4.7045000000000003</v>
      </c>
      <c r="I184" s="100">
        <v>1185.9459999999999</v>
      </c>
      <c r="J184" s="99">
        <v>460.75880000000001</v>
      </c>
      <c r="K184" s="99">
        <v>246.6643</v>
      </c>
      <c r="L184" s="165">
        <f>SUM(BabycareRaw[[#This Row],[2022]:[YTD 24]])</f>
        <v>33.880000000000003</v>
      </c>
    </row>
    <row r="185" spans="1:12" ht="15" customHeight="1" x14ac:dyDescent="0.2">
      <c r="A185" s="34" t="s">
        <v>148</v>
      </c>
      <c r="B185" s="32" t="s">
        <v>8</v>
      </c>
      <c r="C185" s="32" t="s">
        <v>9</v>
      </c>
      <c r="D185" s="33" t="s">
        <v>20</v>
      </c>
      <c r="E185" s="70" t="s">
        <v>42</v>
      </c>
      <c r="F185" s="97">
        <v>4.1798000000000002</v>
      </c>
      <c r="G185" s="98">
        <v>0</v>
      </c>
      <c r="H185" s="99">
        <v>0</v>
      </c>
      <c r="I185" s="100">
        <v>212.80930000000001</v>
      </c>
      <c r="J185" s="99">
        <v>0</v>
      </c>
      <c r="K185" s="99">
        <v>0</v>
      </c>
      <c r="L185" s="165">
        <f>SUM(BabycareRaw[[#This Row],[2022]:[YTD 24]])</f>
        <v>4.1798000000000002</v>
      </c>
    </row>
    <row r="186" spans="1:12" ht="15" customHeight="1" x14ac:dyDescent="0.2">
      <c r="A186" s="34" t="s">
        <v>149</v>
      </c>
      <c r="B186" s="32" t="s">
        <v>8</v>
      </c>
      <c r="C186" s="32" t="s">
        <v>9</v>
      </c>
      <c r="D186" s="33" t="s">
        <v>20</v>
      </c>
      <c r="E186" s="70" t="s">
        <v>42</v>
      </c>
      <c r="F186" s="97">
        <v>16.9573</v>
      </c>
      <c r="G186" s="98">
        <v>8.0383999999999993</v>
      </c>
      <c r="H186" s="99">
        <v>4.7045000000000003</v>
      </c>
      <c r="I186" s="100">
        <v>973.13670000000002</v>
      </c>
      <c r="J186" s="99">
        <v>460.75880000000001</v>
      </c>
      <c r="K186" s="99">
        <v>246.6643</v>
      </c>
      <c r="L186" s="165">
        <f>SUM(BabycareRaw[[#This Row],[2022]:[YTD 24]])</f>
        <v>29.700199999999999</v>
      </c>
    </row>
    <row r="187" spans="1:12" ht="15" customHeight="1" x14ac:dyDescent="0.2">
      <c r="A187" s="27" t="s">
        <v>736</v>
      </c>
      <c r="B187" s="28" t="s">
        <v>5</v>
      </c>
      <c r="C187" s="28"/>
      <c r="D187" s="29"/>
      <c r="E187" s="68"/>
      <c r="F187" s="101">
        <v>0</v>
      </c>
      <c r="G187" s="102">
        <v>0</v>
      </c>
      <c r="H187" s="103">
        <v>0</v>
      </c>
      <c r="I187" s="104">
        <v>0</v>
      </c>
      <c r="J187" s="103">
        <v>0</v>
      </c>
      <c r="K187" s="103">
        <v>0</v>
      </c>
      <c r="L187" s="169">
        <f>SUM(BabycareRaw[[#This Row],[2022]:[YTD 24]])</f>
        <v>0</v>
      </c>
    </row>
    <row r="188" spans="1:12" ht="14.25" customHeight="1" x14ac:dyDescent="0.2">
      <c r="A188" s="30" t="s">
        <v>865</v>
      </c>
      <c r="B188" s="31" t="s">
        <v>6</v>
      </c>
      <c r="C188" s="32"/>
      <c r="D188" s="33"/>
      <c r="E188" s="70"/>
      <c r="F188" s="97">
        <v>0</v>
      </c>
      <c r="G188" s="98">
        <v>0</v>
      </c>
      <c r="H188" s="99">
        <v>0</v>
      </c>
      <c r="I188" s="100">
        <v>0</v>
      </c>
      <c r="J188" s="99">
        <v>0</v>
      </c>
      <c r="K188" s="99">
        <v>0</v>
      </c>
      <c r="L188" s="165">
        <f>SUM(BabycareRaw[[#This Row],[2022]:[YTD 24]])</f>
        <v>0</v>
      </c>
    </row>
    <row r="189" spans="1:12" ht="15" customHeight="1" x14ac:dyDescent="0.2">
      <c r="A189" s="34" t="s">
        <v>150</v>
      </c>
      <c r="B189" s="32" t="s">
        <v>8</v>
      </c>
      <c r="C189" s="32" t="s">
        <v>9</v>
      </c>
      <c r="D189" s="33" t="s">
        <v>20</v>
      </c>
      <c r="E189" s="70" t="s">
        <v>42</v>
      </c>
      <c r="F189" s="97">
        <v>0</v>
      </c>
      <c r="G189" s="98">
        <v>0</v>
      </c>
      <c r="H189" s="99">
        <v>0</v>
      </c>
      <c r="I189" s="100">
        <v>0</v>
      </c>
      <c r="J189" s="99">
        <v>0</v>
      </c>
      <c r="K189" s="99">
        <v>0</v>
      </c>
      <c r="L189" s="165">
        <f>SUM(BabycareRaw[[#This Row],[2022]:[YTD 24]])</f>
        <v>0</v>
      </c>
    </row>
    <row r="190" spans="1:12" ht="15" customHeight="1" x14ac:dyDescent="0.2">
      <c r="A190" s="27" t="s">
        <v>737</v>
      </c>
      <c r="B190" s="28" t="s">
        <v>5</v>
      </c>
      <c r="C190" s="28"/>
      <c r="D190" s="29"/>
      <c r="E190" s="68"/>
      <c r="F190" s="101">
        <v>8.9794</v>
      </c>
      <c r="G190" s="102">
        <v>0</v>
      </c>
      <c r="H190" s="103">
        <v>0</v>
      </c>
      <c r="I190" s="104">
        <v>618.46879999999999</v>
      </c>
      <c r="J190" s="103">
        <v>0</v>
      </c>
      <c r="K190" s="103">
        <v>0</v>
      </c>
      <c r="L190" s="169">
        <f>SUM(BabycareRaw[[#This Row],[2022]:[YTD 24]])</f>
        <v>8.9794</v>
      </c>
    </row>
    <row r="191" spans="1:12" ht="14.25" customHeight="1" x14ac:dyDescent="0.2">
      <c r="A191" s="30" t="s">
        <v>151</v>
      </c>
      <c r="B191" s="31" t="s">
        <v>6</v>
      </c>
      <c r="C191" s="32"/>
      <c r="D191" s="33"/>
      <c r="E191" s="70"/>
      <c r="F191" s="97">
        <v>8.9794</v>
      </c>
      <c r="G191" s="98">
        <v>0</v>
      </c>
      <c r="H191" s="99">
        <v>0</v>
      </c>
      <c r="I191" s="100">
        <v>618.46879999999999</v>
      </c>
      <c r="J191" s="99">
        <v>0</v>
      </c>
      <c r="K191" s="99">
        <v>0</v>
      </c>
      <c r="L191" s="165">
        <f>SUM(BabycareRaw[[#This Row],[2022]:[YTD 24]])</f>
        <v>8.9794</v>
      </c>
    </row>
    <row r="192" spans="1:12" ht="15" customHeight="1" x14ac:dyDescent="0.2">
      <c r="A192" s="34" t="s">
        <v>152</v>
      </c>
      <c r="B192" s="32" t="s">
        <v>8</v>
      </c>
      <c r="C192" s="32" t="s">
        <v>9</v>
      </c>
      <c r="D192" s="33" t="s">
        <v>30</v>
      </c>
      <c r="E192" s="70" t="s">
        <v>24</v>
      </c>
      <c r="F192" s="97">
        <v>8.9794</v>
      </c>
      <c r="G192" s="98">
        <v>0</v>
      </c>
      <c r="H192" s="99">
        <v>0</v>
      </c>
      <c r="I192" s="100">
        <v>618.46879999999999</v>
      </c>
      <c r="J192" s="99">
        <v>0</v>
      </c>
      <c r="K192" s="99">
        <v>0</v>
      </c>
      <c r="L192" s="165">
        <f>SUM(BabycareRaw[[#This Row],[2022]:[YTD 24]])</f>
        <v>8.9794</v>
      </c>
    </row>
    <row r="193" spans="1:12" ht="15" customHeight="1" x14ac:dyDescent="0.2">
      <c r="A193" s="34" t="s">
        <v>153</v>
      </c>
      <c r="B193" s="32" t="s">
        <v>8</v>
      </c>
      <c r="C193" s="32" t="s">
        <v>9</v>
      </c>
      <c r="D193" s="33" t="s">
        <v>30</v>
      </c>
      <c r="E193" s="70" t="s">
        <v>17</v>
      </c>
      <c r="F193" s="97">
        <v>0</v>
      </c>
      <c r="G193" s="98">
        <v>0</v>
      </c>
      <c r="H193" s="99">
        <v>0</v>
      </c>
      <c r="I193" s="100">
        <v>0</v>
      </c>
      <c r="J193" s="99">
        <v>0</v>
      </c>
      <c r="K193" s="99">
        <v>0</v>
      </c>
      <c r="L193" s="165">
        <f>SUM(BabycareRaw[[#This Row],[2022]:[YTD 24]])</f>
        <v>0</v>
      </c>
    </row>
    <row r="194" spans="1:12" ht="15" customHeight="1" x14ac:dyDescent="0.2">
      <c r="A194" s="27" t="s">
        <v>738</v>
      </c>
      <c r="B194" s="28" t="s">
        <v>5</v>
      </c>
      <c r="C194" s="28"/>
      <c r="D194" s="29"/>
      <c r="E194" s="68"/>
      <c r="F194" s="101">
        <v>28.101500000000001</v>
      </c>
      <c r="G194" s="102">
        <v>242.1942</v>
      </c>
      <c r="H194" s="103">
        <v>67.606399999999994</v>
      </c>
      <c r="I194" s="104">
        <v>1283.3091999999999</v>
      </c>
      <c r="J194" s="103">
        <v>13602.248900000001</v>
      </c>
      <c r="K194" s="103">
        <v>3938.0097000000001</v>
      </c>
      <c r="L194" s="169">
        <f>SUM(BabycareRaw[[#This Row],[2022]:[YTD 24]])</f>
        <v>337.90210000000002</v>
      </c>
    </row>
    <row r="195" spans="1:12" ht="14.25" customHeight="1" x14ac:dyDescent="0.2">
      <c r="A195" s="30" t="s">
        <v>866</v>
      </c>
      <c r="B195" s="31" t="s">
        <v>6</v>
      </c>
      <c r="C195" s="32"/>
      <c r="D195" s="33"/>
      <c r="E195" s="70"/>
      <c r="F195" s="97">
        <v>0</v>
      </c>
      <c r="G195" s="98">
        <v>9.4999999999999998E-3</v>
      </c>
      <c r="H195" s="99">
        <v>0</v>
      </c>
      <c r="I195" s="100">
        <v>0</v>
      </c>
      <c r="J195" s="99">
        <v>0.51649999999999996</v>
      </c>
      <c r="K195" s="99">
        <v>0</v>
      </c>
      <c r="L195" s="165">
        <f>SUM(BabycareRaw[[#This Row],[2022]:[YTD 24]])</f>
        <v>9.4999999999999998E-3</v>
      </c>
    </row>
    <row r="196" spans="1:12" ht="15" customHeight="1" x14ac:dyDescent="0.2">
      <c r="A196" s="34" t="s">
        <v>154</v>
      </c>
      <c r="B196" s="32" t="s">
        <v>8</v>
      </c>
      <c r="C196" s="32" t="s">
        <v>9</v>
      </c>
      <c r="D196" s="33" t="s">
        <v>20</v>
      </c>
      <c r="E196" s="70" t="s">
        <v>24</v>
      </c>
      <c r="F196" s="97">
        <v>0</v>
      </c>
      <c r="G196" s="98">
        <v>9.4999999999999998E-3</v>
      </c>
      <c r="H196" s="99">
        <v>0</v>
      </c>
      <c r="I196" s="100">
        <v>0</v>
      </c>
      <c r="J196" s="99">
        <v>0.51649999999999996</v>
      </c>
      <c r="K196" s="99">
        <v>0</v>
      </c>
      <c r="L196" s="165">
        <f>SUM(BabycareRaw[[#This Row],[2022]:[YTD 24]])</f>
        <v>9.4999999999999998E-3</v>
      </c>
    </row>
    <row r="197" spans="1:12" ht="15" customHeight="1" x14ac:dyDescent="0.2">
      <c r="A197" s="30" t="s">
        <v>867</v>
      </c>
      <c r="B197" s="31" t="s">
        <v>6</v>
      </c>
      <c r="C197" s="32"/>
      <c r="D197" s="33"/>
      <c r="E197" s="70"/>
      <c r="F197" s="97">
        <v>27.842099999999999</v>
      </c>
      <c r="G197" s="98">
        <v>189.22739999999999</v>
      </c>
      <c r="H197" s="99">
        <v>44.134900000000002</v>
      </c>
      <c r="I197" s="100">
        <v>1267.7428</v>
      </c>
      <c r="J197" s="99">
        <v>11056.5895</v>
      </c>
      <c r="K197" s="99">
        <v>2900.9742999999999</v>
      </c>
      <c r="L197" s="165">
        <f>SUM(BabycareRaw[[#This Row],[2022]:[YTD 24]])</f>
        <v>261.20439999999996</v>
      </c>
    </row>
    <row r="198" spans="1:12" ht="15" customHeight="1" x14ac:dyDescent="0.2">
      <c r="A198" s="34" t="s">
        <v>155</v>
      </c>
      <c r="B198" s="32" t="s">
        <v>8</v>
      </c>
      <c r="C198" s="32" t="s">
        <v>9</v>
      </c>
      <c r="D198" s="33" t="s">
        <v>64</v>
      </c>
      <c r="E198" s="70" t="s">
        <v>156</v>
      </c>
      <c r="F198" s="97">
        <v>0.34189999999999998</v>
      </c>
      <c r="G198" s="98">
        <v>0</v>
      </c>
      <c r="H198" s="99">
        <v>0</v>
      </c>
      <c r="I198" s="100">
        <v>17.095199999999998</v>
      </c>
      <c r="J198" s="99">
        <v>0</v>
      </c>
      <c r="K198" s="99">
        <v>0</v>
      </c>
      <c r="L198" s="165">
        <f>SUM(BabycareRaw[[#This Row],[2022]:[YTD 24]])</f>
        <v>0.34189999999999998</v>
      </c>
    </row>
    <row r="199" spans="1:12" ht="15" customHeight="1" x14ac:dyDescent="0.2">
      <c r="A199" s="34" t="s">
        <v>157</v>
      </c>
      <c r="B199" s="32" t="s">
        <v>8</v>
      </c>
      <c r="C199" s="32" t="s">
        <v>9</v>
      </c>
      <c r="D199" s="33" t="s">
        <v>30</v>
      </c>
      <c r="E199" s="70" t="s">
        <v>24</v>
      </c>
      <c r="F199" s="97">
        <v>0</v>
      </c>
      <c r="G199" s="98">
        <v>36.513300000000001</v>
      </c>
      <c r="H199" s="99">
        <v>9.9184000000000001</v>
      </c>
      <c r="I199" s="100">
        <v>0</v>
      </c>
      <c r="J199" s="99">
        <v>2225.7903999999999</v>
      </c>
      <c r="K199" s="99">
        <v>665.84569999999997</v>
      </c>
      <c r="L199" s="165">
        <f>SUM(BabycareRaw[[#This Row],[2022]:[YTD 24]])</f>
        <v>46.431699999999999</v>
      </c>
    </row>
    <row r="200" spans="1:12" ht="15" customHeight="1" x14ac:dyDescent="0.2">
      <c r="A200" s="34" t="s">
        <v>158</v>
      </c>
      <c r="B200" s="32" t="s">
        <v>8</v>
      </c>
      <c r="C200" s="32" t="s">
        <v>9</v>
      </c>
      <c r="D200" s="33" t="s">
        <v>30</v>
      </c>
      <c r="E200" s="70" t="s">
        <v>24</v>
      </c>
      <c r="F200" s="97">
        <v>0</v>
      </c>
      <c r="G200" s="98">
        <v>28.314</v>
      </c>
      <c r="H200" s="99">
        <v>9.1574000000000009</v>
      </c>
      <c r="I200" s="100">
        <v>0</v>
      </c>
      <c r="J200" s="99">
        <v>1712.6693</v>
      </c>
      <c r="K200" s="99">
        <v>592.38390000000004</v>
      </c>
      <c r="L200" s="165">
        <f>SUM(BabycareRaw[[#This Row],[2022]:[YTD 24]])</f>
        <v>37.471400000000003</v>
      </c>
    </row>
    <row r="201" spans="1:12" ht="15" customHeight="1" x14ac:dyDescent="0.2">
      <c r="A201" s="34" t="s">
        <v>159</v>
      </c>
      <c r="B201" s="32" t="s">
        <v>8</v>
      </c>
      <c r="C201" s="32" t="s">
        <v>9</v>
      </c>
      <c r="D201" s="33" t="s">
        <v>30</v>
      </c>
      <c r="E201" s="70" t="s">
        <v>24</v>
      </c>
      <c r="F201" s="97">
        <v>0</v>
      </c>
      <c r="G201" s="98">
        <v>24.999500000000001</v>
      </c>
      <c r="H201" s="99">
        <v>5.0659999999999998</v>
      </c>
      <c r="I201" s="100">
        <v>0</v>
      </c>
      <c r="J201" s="99">
        <v>1534.4268</v>
      </c>
      <c r="K201" s="99">
        <v>349.95659999999998</v>
      </c>
      <c r="L201" s="165">
        <f>SUM(BabycareRaw[[#This Row],[2022]:[YTD 24]])</f>
        <v>30.0655</v>
      </c>
    </row>
    <row r="202" spans="1:12" ht="15" customHeight="1" x14ac:dyDescent="0.2">
      <c r="A202" s="34" t="s">
        <v>160</v>
      </c>
      <c r="B202" s="32" t="s">
        <v>8</v>
      </c>
      <c r="C202" s="32" t="s">
        <v>9</v>
      </c>
      <c r="D202" s="33" t="s">
        <v>20</v>
      </c>
      <c r="E202" s="70" t="s">
        <v>24</v>
      </c>
      <c r="F202" s="97">
        <v>25.1</v>
      </c>
      <c r="G202" s="98">
        <v>61.22</v>
      </c>
      <c r="H202" s="99">
        <v>8.9021000000000008</v>
      </c>
      <c r="I202" s="100">
        <v>1136.2986000000001</v>
      </c>
      <c r="J202" s="99">
        <v>3402.5661</v>
      </c>
      <c r="K202" s="99">
        <v>613.3809</v>
      </c>
      <c r="L202" s="165">
        <f>SUM(BabycareRaw[[#This Row],[2022]:[YTD 24]])</f>
        <v>95.222099999999998</v>
      </c>
    </row>
    <row r="203" spans="1:12" ht="15" customHeight="1" x14ac:dyDescent="0.2">
      <c r="A203" s="34" t="s">
        <v>161</v>
      </c>
      <c r="B203" s="32" t="s">
        <v>8</v>
      </c>
      <c r="C203" s="32" t="s">
        <v>9</v>
      </c>
      <c r="D203" s="33" t="s">
        <v>30</v>
      </c>
      <c r="E203" s="70" t="s">
        <v>24</v>
      </c>
      <c r="F203" s="97">
        <v>0</v>
      </c>
      <c r="G203" s="98">
        <v>18.822399999999998</v>
      </c>
      <c r="H203" s="99">
        <v>7.1738</v>
      </c>
      <c r="I203" s="100">
        <v>0</v>
      </c>
      <c r="J203" s="99">
        <v>1176.8929000000001</v>
      </c>
      <c r="K203" s="99">
        <v>487.85019999999997</v>
      </c>
      <c r="L203" s="165">
        <f>SUM(BabycareRaw[[#This Row],[2022]:[YTD 24]])</f>
        <v>25.996199999999998</v>
      </c>
    </row>
    <row r="204" spans="1:12" ht="15" customHeight="1" x14ac:dyDescent="0.2">
      <c r="A204" s="34" t="s">
        <v>162</v>
      </c>
      <c r="B204" s="32" t="s">
        <v>8</v>
      </c>
      <c r="C204" s="32" t="s">
        <v>9</v>
      </c>
      <c r="D204" s="33" t="s">
        <v>20</v>
      </c>
      <c r="E204" s="70" t="s">
        <v>26</v>
      </c>
      <c r="F204" s="97">
        <v>1.24</v>
      </c>
      <c r="G204" s="98">
        <v>2.9891000000000001</v>
      </c>
      <c r="H204" s="99">
        <v>0.81240000000000001</v>
      </c>
      <c r="I204" s="100">
        <v>69.486800000000002</v>
      </c>
      <c r="J204" s="99">
        <v>154.24979999999999</v>
      </c>
      <c r="K204" s="99">
        <v>41.637500000000003</v>
      </c>
      <c r="L204" s="165">
        <f>SUM(BabycareRaw[[#This Row],[2022]:[YTD 24]])</f>
        <v>5.0415000000000001</v>
      </c>
    </row>
    <row r="205" spans="1:12" ht="15" customHeight="1" x14ac:dyDescent="0.2">
      <c r="A205" s="34" t="s">
        <v>163</v>
      </c>
      <c r="B205" s="32" t="s">
        <v>8</v>
      </c>
      <c r="C205" s="32" t="s">
        <v>9</v>
      </c>
      <c r="D205" s="33" t="s">
        <v>20</v>
      </c>
      <c r="E205" s="70" t="s">
        <v>103</v>
      </c>
      <c r="F205" s="97">
        <v>1.1599999999999999</v>
      </c>
      <c r="G205" s="98">
        <v>1.8923000000000001</v>
      </c>
      <c r="H205" s="99">
        <v>0</v>
      </c>
      <c r="I205" s="100">
        <v>44.862200000000001</v>
      </c>
      <c r="J205" s="99">
        <v>87.694800000000001</v>
      </c>
      <c r="K205" s="99">
        <v>0</v>
      </c>
      <c r="L205" s="165">
        <f>SUM(BabycareRaw[[#This Row],[2022]:[YTD 24]])</f>
        <v>3.0522999999999998</v>
      </c>
    </row>
    <row r="206" spans="1:12" ht="15" customHeight="1" x14ac:dyDescent="0.2">
      <c r="A206" s="34" t="s">
        <v>820</v>
      </c>
      <c r="B206" s="32" t="s">
        <v>8</v>
      </c>
      <c r="C206" s="32" t="s">
        <v>9</v>
      </c>
      <c r="D206" s="33" t="s">
        <v>10</v>
      </c>
      <c r="E206" s="70" t="s">
        <v>68</v>
      </c>
      <c r="F206" s="97">
        <v>0</v>
      </c>
      <c r="G206" s="98">
        <v>14.477</v>
      </c>
      <c r="H206" s="99">
        <v>3.1046999999999998</v>
      </c>
      <c r="I206" s="100">
        <v>0</v>
      </c>
      <c r="J206" s="99">
        <v>762.29949999999997</v>
      </c>
      <c r="K206" s="99">
        <v>149.91970000000001</v>
      </c>
      <c r="L206" s="165">
        <f>SUM(BabycareRaw[[#This Row],[2022]:[YTD 24]])</f>
        <v>17.581700000000001</v>
      </c>
    </row>
    <row r="207" spans="1:12" ht="15" customHeight="1" x14ac:dyDescent="0.2">
      <c r="A207" s="30" t="s">
        <v>164</v>
      </c>
      <c r="B207" s="31" t="s">
        <v>6</v>
      </c>
      <c r="C207" s="32"/>
      <c r="D207" s="33"/>
      <c r="E207" s="70"/>
      <c r="F207" s="97">
        <v>0.25940000000000002</v>
      </c>
      <c r="G207" s="98">
        <v>52.957299999999996</v>
      </c>
      <c r="H207" s="99">
        <v>23.471399999999999</v>
      </c>
      <c r="I207" s="100">
        <v>15.5664</v>
      </c>
      <c r="J207" s="99">
        <v>2545.1428999999998</v>
      </c>
      <c r="K207" s="99">
        <v>1037.0354</v>
      </c>
      <c r="L207" s="165">
        <f>SUM(BabycareRaw[[#This Row],[2022]:[YTD 24]])</f>
        <v>76.688099999999991</v>
      </c>
    </row>
    <row r="208" spans="1:12" ht="15" customHeight="1" x14ac:dyDescent="0.2">
      <c r="A208" s="34" t="s">
        <v>165</v>
      </c>
      <c r="B208" s="32" t="s">
        <v>8</v>
      </c>
      <c r="C208" s="32" t="s">
        <v>9</v>
      </c>
      <c r="D208" s="33" t="s">
        <v>30</v>
      </c>
      <c r="E208" s="70" t="s">
        <v>24</v>
      </c>
      <c r="F208" s="97">
        <v>0.25940000000000002</v>
      </c>
      <c r="G208" s="98">
        <v>47.287300000000002</v>
      </c>
      <c r="H208" s="99">
        <v>13.3363</v>
      </c>
      <c r="I208" s="100">
        <v>15.5664</v>
      </c>
      <c r="J208" s="99">
        <v>2338.1842000000001</v>
      </c>
      <c r="K208" s="99">
        <v>671.9117</v>
      </c>
      <c r="L208" s="165">
        <f>SUM(BabycareRaw[[#This Row],[2022]:[YTD 24]])</f>
        <v>60.883000000000003</v>
      </c>
    </row>
    <row r="209" spans="1:12" ht="15" customHeight="1" x14ac:dyDescent="0.2">
      <c r="A209" s="34" t="s">
        <v>166</v>
      </c>
      <c r="B209" s="32" t="s">
        <v>8</v>
      </c>
      <c r="C209" s="32" t="s">
        <v>9</v>
      </c>
      <c r="D209" s="33" t="s">
        <v>30</v>
      </c>
      <c r="E209" s="70" t="s">
        <v>26</v>
      </c>
      <c r="F209" s="97">
        <v>0</v>
      </c>
      <c r="G209" s="98">
        <v>5.6702000000000004</v>
      </c>
      <c r="H209" s="99">
        <v>10.135199999999999</v>
      </c>
      <c r="I209" s="100">
        <v>0</v>
      </c>
      <c r="J209" s="99">
        <v>206.95869999999999</v>
      </c>
      <c r="K209" s="99">
        <v>365.12360000000001</v>
      </c>
      <c r="L209" s="165">
        <f>SUM(BabycareRaw[[#This Row],[2022]:[YTD 24]])</f>
        <v>15.805399999999999</v>
      </c>
    </row>
    <row r="210" spans="1:12" ht="15" customHeight="1" x14ac:dyDescent="0.2">
      <c r="A210" s="27" t="s">
        <v>739</v>
      </c>
      <c r="B210" s="28" t="s">
        <v>5</v>
      </c>
      <c r="C210" s="28"/>
      <c r="D210" s="29"/>
      <c r="E210" s="68"/>
      <c r="F210" s="101">
        <v>0</v>
      </c>
      <c r="G210" s="102">
        <v>170.6652</v>
      </c>
      <c r="H210" s="103">
        <v>101.533</v>
      </c>
      <c r="I210" s="104">
        <v>0</v>
      </c>
      <c r="J210" s="103">
        <v>10947.355799999999</v>
      </c>
      <c r="K210" s="103">
        <v>5713.8589000000002</v>
      </c>
      <c r="L210" s="169">
        <f>SUM(BabycareRaw[[#This Row],[2022]:[YTD 24]])</f>
        <v>272.19819999999999</v>
      </c>
    </row>
    <row r="211" spans="1:12" ht="14.25" customHeight="1" x14ac:dyDescent="0.2">
      <c r="A211" s="30" t="s">
        <v>868</v>
      </c>
      <c r="B211" s="31" t="s">
        <v>6</v>
      </c>
      <c r="C211" s="32"/>
      <c r="D211" s="33"/>
      <c r="E211" s="70"/>
      <c r="F211" s="97">
        <v>0</v>
      </c>
      <c r="G211" s="98">
        <v>170.6652</v>
      </c>
      <c r="H211" s="99">
        <v>101.533</v>
      </c>
      <c r="I211" s="100">
        <v>0</v>
      </c>
      <c r="J211" s="99">
        <v>10947.355799999999</v>
      </c>
      <c r="K211" s="99">
        <v>5713.8589000000002</v>
      </c>
      <c r="L211" s="165">
        <f>SUM(BabycareRaw[[#This Row],[2022]:[YTD 24]])</f>
        <v>272.19819999999999</v>
      </c>
    </row>
    <row r="212" spans="1:12" ht="15" customHeight="1" x14ac:dyDescent="0.2">
      <c r="A212" s="34" t="s">
        <v>167</v>
      </c>
      <c r="B212" s="32" t="s">
        <v>8</v>
      </c>
      <c r="C212" s="32" t="s">
        <v>9</v>
      </c>
      <c r="D212" s="33" t="s">
        <v>64</v>
      </c>
      <c r="E212" s="70" t="s">
        <v>24</v>
      </c>
      <c r="F212" s="97">
        <v>0</v>
      </c>
      <c r="G212" s="98">
        <v>82.250100000000003</v>
      </c>
      <c r="H212" s="99">
        <v>55.842500000000001</v>
      </c>
      <c r="I212" s="100">
        <v>0</v>
      </c>
      <c r="J212" s="99">
        <v>5284.8972000000003</v>
      </c>
      <c r="K212" s="99">
        <v>3137.2123999999999</v>
      </c>
      <c r="L212" s="165">
        <f>SUM(BabycareRaw[[#This Row],[2022]:[YTD 24]])</f>
        <v>138.0926</v>
      </c>
    </row>
    <row r="213" spans="1:12" ht="15" customHeight="1" x14ac:dyDescent="0.2">
      <c r="A213" s="34" t="s">
        <v>168</v>
      </c>
      <c r="B213" s="32" t="s">
        <v>8</v>
      </c>
      <c r="C213" s="32" t="s">
        <v>9</v>
      </c>
      <c r="D213" s="33" t="s">
        <v>64</v>
      </c>
      <c r="E213" s="70" t="s">
        <v>24</v>
      </c>
      <c r="F213" s="97">
        <v>0</v>
      </c>
      <c r="G213" s="98">
        <v>88.414900000000003</v>
      </c>
      <c r="H213" s="99">
        <v>45.6905</v>
      </c>
      <c r="I213" s="100">
        <v>0</v>
      </c>
      <c r="J213" s="99">
        <v>5662.4585999999999</v>
      </c>
      <c r="K213" s="99">
        <v>2576.6464000000001</v>
      </c>
      <c r="L213" s="165">
        <f>SUM(BabycareRaw[[#This Row],[2022]:[YTD 24]])</f>
        <v>134.1054</v>
      </c>
    </row>
    <row r="214" spans="1:12" ht="15" customHeight="1" x14ac:dyDescent="0.2">
      <c r="A214" s="27" t="s">
        <v>740</v>
      </c>
      <c r="B214" s="28" t="s">
        <v>5</v>
      </c>
      <c r="C214" s="28"/>
      <c r="D214" s="29"/>
      <c r="E214" s="68"/>
      <c r="F214" s="101">
        <v>0.24010000000000001</v>
      </c>
      <c r="G214" s="102">
        <v>0</v>
      </c>
      <c r="H214" s="103">
        <v>0</v>
      </c>
      <c r="I214" s="104">
        <v>10.8056</v>
      </c>
      <c r="J214" s="103">
        <v>0</v>
      </c>
      <c r="K214" s="103">
        <v>0</v>
      </c>
      <c r="L214" s="169">
        <f>SUM(BabycareRaw[[#This Row],[2022]:[YTD 24]])</f>
        <v>0.24010000000000001</v>
      </c>
    </row>
    <row r="215" spans="1:12" ht="14.25" customHeight="1" x14ac:dyDescent="0.2">
      <c r="A215" s="30" t="s">
        <v>869</v>
      </c>
      <c r="B215" s="31" t="s">
        <v>6</v>
      </c>
      <c r="C215" s="32"/>
      <c r="D215" s="33"/>
      <c r="E215" s="70"/>
      <c r="F215" s="97">
        <v>0.24010000000000001</v>
      </c>
      <c r="G215" s="98">
        <v>0</v>
      </c>
      <c r="H215" s="99">
        <v>0</v>
      </c>
      <c r="I215" s="100">
        <v>10.8056</v>
      </c>
      <c r="J215" s="99">
        <v>0</v>
      </c>
      <c r="K215" s="99">
        <v>0</v>
      </c>
      <c r="L215" s="165">
        <f>SUM(BabycareRaw[[#This Row],[2022]:[YTD 24]])</f>
        <v>0.24010000000000001</v>
      </c>
    </row>
    <row r="216" spans="1:12" ht="15" customHeight="1" x14ac:dyDescent="0.2">
      <c r="A216" s="34" t="s">
        <v>169</v>
      </c>
      <c r="B216" s="32" t="s">
        <v>8</v>
      </c>
      <c r="C216" s="32" t="s">
        <v>9</v>
      </c>
      <c r="D216" s="33" t="s">
        <v>20</v>
      </c>
      <c r="E216" s="70" t="s">
        <v>42</v>
      </c>
      <c r="F216" s="97">
        <v>0.24010000000000001</v>
      </c>
      <c r="G216" s="98">
        <v>0</v>
      </c>
      <c r="H216" s="99">
        <v>0</v>
      </c>
      <c r="I216" s="100">
        <v>10.8056</v>
      </c>
      <c r="J216" s="99">
        <v>0</v>
      </c>
      <c r="K216" s="99">
        <v>0</v>
      </c>
      <c r="L216" s="165">
        <f>SUM(BabycareRaw[[#This Row],[2022]:[YTD 24]])</f>
        <v>0.24010000000000001</v>
      </c>
    </row>
    <row r="217" spans="1:12" ht="15" customHeight="1" x14ac:dyDescent="0.2">
      <c r="A217" s="27" t="s">
        <v>741</v>
      </c>
      <c r="B217" s="28" t="s">
        <v>5</v>
      </c>
      <c r="C217" s="28"/>
      <c r="D217" s="29"/>
      <c r="E217" s="68"/>
      <c r="F217" s="101">
        <v>8.6900999999999993</v>
      </c>
      <c r="G217" s="102">
        <v>1.1979</v>
      </c>
      <c r="H217" s="103">
        <v>0.1404</v>
      </c>
      <c r="I217" s="104">
        <v>161.07130000000001</v>
      </c>
      <c r="J217" s="103">
        <v>29.083500000000001</v>
      </c>
      <c r="K217" s="103">
        <v>1.4401999999999999</v>
      </c>
      <c r="L217" s="169">
        <f>SUM(BabycareRaw[[#This Row],[2022]:[YTD 24]])</f>
        <v>10.0284</v>
      </c>
    </row>
    <row r="218" spans="1:12" ht="14.25" customHeight="1" x14ac:dyDescent="0.2">
      <c r="A218" s="30" t="s">
        <v>170</v>
      </c>
      <c r="B218" s="31" t="s">
        <v>6</v>
      </c>
      <c r="C218" s="32"/>
      <c r="D218" s="33"/>
      <c r="E218" s="70"/>
      <c r="F218" s="97">
        <v>8.6900999999999993</v>
      </c>
      <c r="G218" s="98">
        <v>1.1979</v>
      </c>
      <c r="H218" s="99">
        <v>0.1404</v>
      </c>
      <c r="I218" s="100">
        <v>161.07130000000001</v>
      </c>
      <c r="J218" s="99">
        <v>29.083500000000001</v>
      </c>
      <c r="K218" s="99">
        <v>1.4401999999999999</v>
      </c>
      <c r="L218" s="165">
        <f>SUM(BabycareRaw[[#This Row],[2022]:[YTD 24]])</f>
        <v>10.0284</v>
      </c>
    </row>
    <row r="219" spans="1:12" ht="15" customHeight="1" x14ac:dyDescent="0.2">
      <c r="A219" s="34" t="s">
        <v>171</v>
      </c>
      <c r="B219" s="32" t="s">
        <v>8</v>
      </c>
      <c r="C219" s="32" t="s">
        <v>9</v>
      </c>
      <c r="D219" s="33" t="s">
        <v>30</v>
      </c>
      <c r="E219" s="70" t="s">
        <v>11</v>
      </c>
      <c r="F219" s="97">
        <v>8.8999999999999999E-3</v>
      </c>
      <c r="G219" s="98">
        <v>1.9E-3</v>
      </c>
      <c r="H219" s="99">
        <v>0</v>
      </c>
      <c r="I219" s="100">
        <v>0.1</v>
      </c>
      <c r="J219" s="99">
        <v>0.02</v>
      </c>
      <c r="K219" s="99">
        <v>0</v>
      </c>
      <c r="L219" s="165">
        <f>SUM(BabycareRaw[[#This Row],[2022]:[YTD 24]])</f>
        <v>1.0800000000000001E-2</v>
      </c>
    </row>
    <row r="220" spans="1:12" ht="15" customHeight="1" x14ac:dyDescent="0.2">
      <c r="A220" s="34" t="s">
        <v>172</v>
      </c>
      <c r="B220" s="32" t="s">
        <v>8</v>
      </c>
      <c r="C220" s="32" t="s">
        <v>9</v>
      </c>
      <c r="D220" s="33" t="s">
        <v>30</v>
      </c>
      <c r="E220" s="70" t="s">
        <v>11</v>
      </c>
      <c r="F220" s="97">
        <v>3.6436000000000002</v>
      </c>
      <c r="G220" s="98">
        <v>0.20610000000000001</v>
      </c>
      <c r="H220" s="99">
        <v>0.1404</v>
      </c>
      <c r="I220" s="100">
        <v>40.526699999999998</v>
      </c>
      <c r="J220" s="99">
        <v>2.1286999999999998</v>
      </c>
      <c r="K220" s="99">
        <v>1.4401999999999999</v>
      </c>
      <c r="L220" s="165">
        <f>SUM(BabycareRaw[[#This Row],[2022]:[YTD 24]])</f>
        <v>3.9901000000000004</v>
      </c>
    </row>
    <row r="221" spans="1:12" ht="15" customHeight="1" x14ac:dyDescent="0.2">
      <c r="A221" s="34" t="s">
        <v>173</v>
      </c>
      <c r="B221" s="32" t="s">
        <v>8</v>
      </c>
      <c r="C221" s="32" t="s">
        <v>9</v>
      </c>
      <c r="D221" s="33" t="s">
        <v>30</v>
      </c>
      <c r="E221" s="70" t="s">
        <v>37</v>
      </c>
      <c r="F221" s="97">
        <v>4.9200000000000001E-2</v>
      </c>
      <c r="G221" s="98">
        <v>1.14E-2</v>
      </c>
      <c r="H221" s="99">
        <v>0</v>
      </c>
      <c r="I221" s="100">
        <v>3.4851000000000001</v>
      </c>
      <c r="J221" s="99">
        <v>0.25600000000000001</v>
      </c>
      <c r="K221" s="99">
        <v>0</v>
      </c>
      <c r="L221" s="165">
        <f>SUM(BabycareRaw[[#This Row],[2022]:[YTD 24]])</f>
        <v>6.0600000000000001E-2</v>
      </c>
    </row>
    <row r="222" spans="1:12" ht="15" customHeight="1" x14ac:dyDescent="0.2">
      <c r="A222" s="34" t="s">
        <v>174</v>
      </c>
      <c r="B222" s="32" t="s">
        <v>8</v>
      </c>
      <c r="C222" s="32" t="s">
        <v>9</v>
      </c>
      <c r="D222" s="33" t="s">
        <v>30</v>
      </c>
      <c r="E222" s="70" t="s">
        <v>37</v>
      </c>
      <c r="F222" s="97">
        <v>4.9882</v>
      </c>
      <c r="G222" s="98">
        <v>0.97860000000000003</v>
      </c>
      <c r="H222" s="99">
        <v>0</v>
      </c>
      <c r="I222" s="100">
        <v>116.9594</v>
      </c>
      <c r="J222" s="99">
        <v>26.678799999999999</v>
      </c>
      <c r="K222" s="99">
        <v>0</v>
      </c>
      <c r="L222" s="165">
        <f>SUM(BabycareRaw[[#This Row],[2022]:[YTD 24]])</f>
        <v>5.9668000000000001</v>
      </c>
    </row>
    <row r="223" spans="1:12" ht="15" customHeight="1" x14ac:dyDescent="0.2">
      <c r="A223" s="27" t="s">
        <v>742</v>
      </c>
      <c r="B223" s="28" t="s">
        <v>5</v>
      </c>
      <c r="C223" s="28"/>
      <c r="D223" s="29"/>
      <c r="E223" s="68"/>
      <c r="F223" s="101">
        <v>15.6523</v>
      </c>
      <c r="G223" s="102">
        <v>38.264400000000002</v>
      </c>
      <c r="H223" s="103">
        <v>12.5626</v>
      </c>
      <c r="I223" s="104">
        <v>709.8646</v>
      </c>
      <c r="J223" s="103">
        <v>1422.4413</v>
      </c>
      <c r="K223" s="103">
        <v>440.17869999999999</v>
      </c>
      <c r="L223" s="169">
        <f>SUM(BabycareRaw[[#This Row],[2022]:[YTD 24]])</f>
        <v>66.479300000000009</v>
      </c>
    </row>
    <row r="224" spans="1:12" ht="14.25" customHeight="1" x14ac:dyDescent="0.2">
      <c r="A224" s="30" t="s">
        <v>870</v>
      </c>
      <c r="B224" s="31" t="s">
        <v>6</v>
      </c>
      <c r="C224" s="32"/>
      <c r="D224" s="33"/>
      <c r="E224" s="70"/>
      <c r="F224" s="97">
        <v>15.6523</v>
      </c>
      <c r="G224" s="98">
        <v>38.264400000000002</v>
      </c>
      <c r="H224" s="99">
        <v>12.5626</v>
      </c>
      <c r="I224" s="100">
        <v>709.8646</v>
      </c>
      <c r="J224" s="99">
        <v>1422.4413</v>
      </c>
      <c r="K224" s="99">
        <v>440.17869999999999</v>
      </c>
      <c r="L224" s="165">
        <f>SUM(BabycareRaw[[#This Row],[2022]:[YTD 24]])</f>
        <v>66.479300000000009</v>
      </c>
    </row>
    <row r="225" spans="1:12" ht="15" customHeight="1" x14ac:dyDescent="0.2">
      <c r="A225" s="34" t="s">
        <v>175</v>
      </c>
      <c r="B225" s="32" t="s">
        <v>8</v>
      </c>
      <c r="C225" s="32" t="s">
        <v>9</v>
      </c>
      <c r="D225" s="33" t="s">
        <v>30</v>
      </c>
      <c r="E225" s="70" t="s">
        <v>15</v>
      </c>
      <c r="F225" s="97">
        <v>0</v>
      </c>
      <c r="G225" s="98">
        <v>0</v>
      </c>
      <c r="H225" s="99">
        <v>0.16420000000000001</v>
      </c>
      <c r="I225" s="100">
        <v>0</v>
      </c>
      <c r="J225" s="99">
        <v>0</v>
      </c>
      <c r="K225" s="99">
        <v>5.0327000000000002</v>
      </c>
      <c r="L225" s="165">
        <f>SUM(BabycareRaw[[#This Row],[2022]:[YTD 24]])</f>
        <v>0.16420000000000001</v>
      </c>
    </row>
    <row r="226" spans="1:12" ht="15" customHeight="1" x14ac:dyDescent="0.2">
      <c r="A226" s="34" t="s">
        <v>176</v>
      </c>
      <c r="B226" s="32" t="s">
        <v>8</v>
      </c>
      <c r="C226" s="32" t="s">
        <v>9</v>
      </c>
      <c r="D226" s="33" t="s">
        <v>30</v>
      </c>
      <c r="E226" s="70" t="s">
        <v>34</v>
      </c>
      <c r="F226" s="97">
        <v>2.3513000000000002</v>
      </c>
      <c r="G226" s="98">
        <v>13.7189</v>
      </c>
      <c r="H226" s="99">
        <v>5.1338999999999997</v>
      </c>
      <c r="I226" s="100">
        <v>93.938999999999993</v>
      </c>
      <c r="J226" s="99">
        <v>476.75330000000002</v>
      </c>
      <c r="K226" s="99">
        <v>161.36660000000001</v>
      </c>
      <c r="L226" s="165">
        <f>SUM(BabycareRaw[[#This Row],[2022]:[YTD 24]])</f>
        <v>21.2041</v>
      </c>
    </row>
    <row r="227" spans="1:12" ht="15" customHeight="1" x14ac:dyDescent="0.2">
      <c r="A227" s="34" t="s">
        <v>177</v>
      </c>
      <c r="B227" s="32" t="s">
        <v>8</v>
      </c>
      <c r="C227" s="32" t="s">
        <v>9</v>
      </c>
      <c r="D227" s="33" t="s">
        <v>30</v>
      </c>
      <c r="E227" s="70" t="s">
        <v>99</v>
      </c>
      <c r="F227" s="97">
        <v>7.0484</v>
      </c>
      <c r="G227" s="98">
        <v>24.545400000000001</v>
      </c>
      <c r="H227" s="99">
        <v>7.2644000000000002</v>
      </c>
      <c r="I227" s="100">
        <v>315.70249999999999</v>
      </c>
      <c r="J227" s="99">
        <v>945.68759999999997</v>
      </c>
      <c r="K227" s="99">
        <v>273.77960000000002</v>
      </c>
      <c r="L227" s="165">
        <f>SUM(BabycareRaw[[#This Row],[2022]:[YTD 24]])</f>
        <v>38.858200000000004</v>
      </c>
    </row>
    <row r="228" spans="1:12" ht="15" customHeight="1" x14ac:dyDescent="0.2">
      <c r="A228" s="34" t="s">
        <v>178</v>
      </c>
      <c r="B228" s="32" t="s">
        <v>8</v>
      </c>
      <c r="C228" s="32" t="s">
        <v>9</v>
      </c>
      <c r="D228" s="33" t="s">
        <v>30</v>
      </c>
      <c r="E228" s="70" t="s">
        <v>99</v>
      </c>
      <c r="F228" s="97">
        <v>6.2529000000000003</v>
      </c>
      <c r="G228" s="98">
        <v>0</v>
      </c>
      <c r="H228" s="99">
        <v>0</v>
      </c>
      <c r="I228" s="100">
        <v>300.22300000000001</v>
      </c>
      <c r="J228" s="99">
        <v>0</v>
      </c>
      <c r="K228" s="99">
        <v>0</v>
      </c>
      <c r="L228" s="165">
        <f>SUM(BabycareRaw[[#This Row],[2022]:[YTD 24]])</f>
        <v>6.2529000000000003</v>
      </c>
    </row>
    <row r="229" spans="1:12" ht="15" customHeight="1" x14ac:dyDescent="0.2">
      <c r="A229" s="27" t="s">
        <v>743</v>
      </c>
      <c r="B229" s="28" t="s">
        <v>5</v>
      </c>
      <c r="C229" s="28"/>
      <c r="D229" s="29"/>
      <c r="E229" s="68"/>
      <c r="F229" s="101">
        <v>9.2643000000000004</v>
      </c>
      <c r="G229" s="102">
        <v>0.1729</v>
      </c>
      <c r="H229" s="103">
        <v>3.0000000000000001E-3</v>
      </c>
      <c r="I229" s="104">
        <v>358.95979999999997</v>
      </c>
      <c r="J229" s="103">
        <v>4.9572000000000003</v>
      </c>
      <c r="K229" s="103">
        <v>7.1999999999999995E-2</v>
      </c>
      <c r="L229" s="169">
        <f>SUM(BabycareRaw[[#This Row],[2022]:[YTD 24]])</f>
        <v>9.4402000000000008</v>
      </c>
    </row>
    <row r="230" spans="1:12" ht="14.25" customHeight="1" x14ac:dyDescent="0.2">
      <c r="A230" s="30" t="s">
        <v>179</v>
      </c>
      <c r="B230" s="31" t="s">
        <v>6</v>
      </c>
      <c r="C230" s="32"/>
      <c r="D230" s="33"/>
      <c r="E230" s="70"/>
      <c r="F230" s="97">
        <v>9.2643000000000004</v>
      </c>
      <c r="G230" s="98">
        <v>0.1729</v>
      </c>
      <c r="H230" s="99">
        <v>3.0000000000000001E-3</v>
      </c>
      <c r="I230" s="100">
        <v>358.95979999999997</v>
      </c>
      <c r="J230" s="99">
        <v>4.9572000000000003</v>
      </c>
      <c r="K230" s="99">
        <v>7.1999999999999995E-2</v>
      </c>
      <c r="L230" s="165">
        <f>SUM(BabycareRaw[[#This Row],[2022]:[YTD 24]])</f>
        <v>9.4402000000000008</v>
      </c>
    </row>
    <row r="231" spans="1:12" ht="15" customHeight="1" x14ac:dyDescent="0.2">
      <c r="A231" s="34" t="s">
        <v>180</v>
      </c>
      <c r="B231" s="32" t="s">
        <v>8</v>
      </c>
      <c r="C231" s="32" t="s">
        <v>9</v>
      </c>
      <c r="D231" s="33" t="s">
        <v>20</v>
      </c>
      <c r="E231" s="70" t="s">
        <v>42</v>
      </c>
      <c r="F231" s="97">
        <v>1.6668000000000001</v>
      </c>
      <c r="G231" s="98">
        <v>3.7600000000000001E-2</v>
      </c>
      <c r="H231" s="99">
        <v>0</v>
      </c>
      <c r="I231" s="100">
        <v>75.837299999999999</v>
      </c>
      <c r="J231" s="99">
        <v>1.6555</v>
      </c>
      <c r="K231" s="99">
        <v>0</v>
      </c>
      <c r="L231" s="165">
        <f>SUM(BabycareRaw[[#This Row],[2022]:[YTD 24]])</f>
        <v>1.7044000000000001</v>
      </c>
    </row>
    <row r="232" spans="1:12" ht="15" customHeight="1" x14ac:dyDescent="0.2">
      <c r="A232" s="34" t="s">
        <v>181</v>
      </c>
      <c r="B232" s="32" t="s">
        <v>8</v>
      </c>
      <c r="C232" s="32" t="s">
        <v>9</v>
      </c>
      <c r="D232" s="33" t="s">
        <v>20</v>
      </c>
      <c r="E232" s="70" t="s">
        <v>42</v>
      </c>
      <c r="F232" s="97">
        <v>7.5975000000000001</v>
      </c>
      <c r="G232" s="98">
        <v>0.1353</v>
      </c>
      <c r="H232" s="99">
        <v>3.0000000000000001E-3</v>
      </c>
      <c r="I232" s="100">
        <v>283.12259999999998</v>
      </c>
      <c r="J232" s="99">
        <v>3.3016999999999999</v>
      </c>
      <c r="K232" s="99">
        <v>7.1999999999999995E-2</v>
      </c>
      <c r="L232" s="165">
        <f>SUM(BabycareRaw[[#This Row],[2022]:[YTD 24]])</f>
        <v>7.7358000000000002</v>
      </c>
    </row>
    <row r="233" spans="1:12" ht="15" customHeight="1" x14ac:dyDescent="0.2">
      <c r="A233" s="27" t="s">
        <v>744</v>
      </c>
      <c r="B233" s="28" t="s">
        <v>5</v>
      </c>
      <c r="C233" s="28"/>
      <c r="D233" s="29"/>
      <c r="E233" s="68"/>
      <c r="F233" s="101">
        <v>1012.9229</v>
      </c>
      <c r="G233" s="102">
        <v>822.98099999999999</v>
      </c>
      <c r="H233" s="103">
        <v>367.98759999999999</v>
      </c>
      <c r="I233" s="104">
        <v>57405.585500000001</v>
      </c>
      <c r="J233" s="103">
        <v>44546.773000000001</v>
      </c>
      <c r="K233" s="103">
        <v>18766.233499999998</v>
      </c>
      <c r="L233" s="169">
        <f>SUM(BabycareRaw[[#This Row],[2022]:[YTD 24]])</f>
        <v>2203.8915000000002</v>
      </c>
    </row>
    <row r="234" spans="1:12" ht="14.25" customHeight="1" x14ac:dyDescent="0.2">
      <c r="A234" s="30" t="s">
        <v>182</v>
      </c>
      <c r="B234" s="31" t="s">
        <v>6</v>
      </c>
      <c r="C234" s="32"/>
      <c r="D234" s="33"/>
      <c r="E234" s="70"/>
      <c r="F234" s="97">
        <v>2.5741999999999998</v>
      </c>
      <c r="G234" s="98">
        <v>0.58250000000000002</v>
      </c>
      <c r="H234" s="99">
        <v>9.0300000000000005E-2</v>
      </c>
      <c r="I234" s="100">
        <v>138.52269999999999</v>
      </c>
      <c r="J234" s="99">
        <v>28.354600000000001</v>
      </c>
      <c r="K234" s="99">
        <v>3.9451999999999998</v>
      </c>
      <c r="L234" s="165">
        <f>SUM(BabycareRaw[[#This Row],[2022]:[YTD 24]])</f>
        <v>3.2469999999999999</v>
      </c>
    </row>
    <row r="235" spans="1:12" ht="15" customHeight="1" x14ac:dyDescent="0.2">
      <c r="A235" s="34" t="s">
        <v>183</v>
      </c>
      <c r="B235" s="32" t="s">
        <v>8</v>
      </c>
      <c r="C235" s="32" t="s">
        <v>9</v>
      </c>
      <c r="D235" s="33" t="s">
        <v>30</v>
      </c>
      <c r="E235" s="70" t="s">
        <v>42</v>
      </c>
      <c r="F235" s="97">
        <v>2.5741999999999998</v>
      </c>
      <c r="G235" s="98">
        <v>0.57930000000000004</v>
      </c>
      <c r="H235" s="99">
        <v>9.0300000000000005E-2</v>
      </c>
      <c r="I235" s="100">
        <v>138.52269999999999</v>
      </c>
      <c r="J235" s="99">
        <v>28.2058</v>
      </c>
      <c r="K235" s="99">
        <v>3.9451999999999998</v>
      </c>
      <c r="L235" s="165">
        <f>SUM(BabycareRaw[[#This Row],[2022]:[YTD 24]])</f>
        <v>3.2437999999999998</v>
      </c>
    </row>
    <row r="236" spans="1:12" ht="15" customHeight="1" x14ac:dyDescent="0.2">
      <c r="A236" s="34" t="s">
        <v>184</v>
      </c>
      <c r="B236" s="32" t="s">
        <v>8</v>
      </c>
      <c r="C236" s="32" t="s">
        <v>9</v>
      </c>
      <c r="D236" s="33" t="s">
        <v>10</v>
      </c>
      <c r="E236" s="70" t="s">
        <v>42</v>
      </c>
      <c r="F236" s="97">
        <v>0</v>
      </c>
      <c r="G236" s="98">
        <v>3.2000000000000002E-3</v>
      </c>
      <c r="H236" s="99">
        <v>0</v>
      </c>
      <c r="I236" s="100">
        <v>0</v>
      </c>
      <c r="J236" s="99">
        <v>0.14879999999999999</v>
      </c>
      <c r="K236" s="99">
        <v>0</v>
      </c>
      <c r="L236" s="165">
        <f>SUM(BabycareRaw[[#This Row],[2022]:[YTD 24]])</f>
        <v>3.2000000000000002E-3</v>
      </c>
    </row>
    <row r="237" spans="1:12" ht="15" customHeight="1" x14ac:dyDescent="0.2">
      <c r="A237" s="30" t="s">
        <v>185</v>
      </c>
      <c r="B237" s="31" t="s">
        <v>6</v>
      </c>
      <c r="C237" s="32"/>
      <c r="D237" s="33"/>
      <c r="E237" s="70"/>
      <c r="F237" s="97">
        <v>30.201799999999999</v>
      </c>
      <c r="G237" s="98">
        <v>8.3574999999999999</v>
      </c>
      <c r="H237" s="99">
        <v>2.2814000000000001</v>
      </c>
      <c r="I237" s="100">
        <v>1834.3515</v>
      </c>
      <c r="J237" s="99">
        <v>456.8947</v>
      </c>
      <c r="K237" s="99">
        <v>133.4556</v>
      </c>
      <c r="L237" s="165">
        <f>SUM(BabycareRaw[[#This Row],[2022]:[YTD 24]])</f>
        <v>40.840699999999998</v>
      </c>
    </row>
    <row r="238" spans="1:12" ht="15" customHeight="1" x14ac:dyDescent="0.2">
      <c r="A238" s="34" t="s">
        <v>186</v>
      </c>
      <c r="B238" s="32" t="s">
        <v>8</v>
      </c>
      <c r="C238" s="32" t="s">
        <v>9</v>
      </c>
      <c r="D238" s="33" t="s">
        <v>20</v>
      </c>
      <c r="E238" s="70" t="s">
        <v>24</v>
      </c>
      <c r="F238" s="97">
        <v>29.782299999999999</v>
      </c>
      <c r="G238" s="98">
        <v>8.0821000000000005</v>
      </c>
      <c r="H238" s="99">
        <v>2.2058</v>
      </c>
      <c r="I238" s="100">
        <v>1812.3146999999999</v>
      </c>
      <c r="J238" s="99">
        <v>442.9864</v>
      </c>
      <c r="K238" s="99">
        <v>129.73259999999999</v>
      </c>
      <c r="L238" s="165">
        <f>SUM(BabycareRaw[[#This Row],[2022]:[YTD 24]])</f>
        <v>40.0702</v>
      </c>
    </row>
    <row r="239" spans="1:12" ht="15" customHeight="1" x14ac:dyDescent="0.2">
      <c r="A239" s="34" t="s">
        <v>187</v>
      </c>
      <c r="B239" s="32" t="s">
        <v>8</v>
      </c>
      <c r="C239" s="32" t="s">
        <v>9</v>
      </c>
      <c r="D239" s="33" t="s">
        <v>10</v>
      </c>
      <c r="E239" s="70" t="s">
        <v>37</v>
      </c>
      <c r="F239" s="97">
        <v>0.4194</v>
      </c>
      <c r="G239" s="98">
        <v>0.27539999999999998</v>
      </c>
      <c r="H239" s="99">
        <v>7.5600000000000001E-2</v>
      </c>
      <c r="I239" s="100">
        <v>22.036999999999999</v>
      </c>
      <c r="J239" s="99">
        <v>13.908200000000001</v>
      </c>
      <c r="K239" s="99">
        <v>3.7229000000000001</v>
      </c>
      <c r="L239" s="165">
        <f>SUM(BabycareRaw[[#This Row],[2022]:[YTD 24]])</f>
        <v>0.77039999999999997</v>
      </c>
    </row>
    <row r="240" spans="1:12" ht="15" customHeight="1" x14ac:dyDescent="0.2">
      <c r="A240" s="34" t="s">
        <v>188</v>
      </c>
      <c r="B240" s="32" t="s">
        <v>8</v>
      </c>
      <c r="C240" s="32" t="s">
        <v>9</v>
      </c>
      <c r="D240" s="33" t="s">
        <v>10</v>
      </c>
      <c r="E240" s="70" t="s">
        <v>37</v>
      </c>
      <c r="F240" s="97">
        <v>0</v>
      </c>
      <c r="G240" s="98">
        <v>0</v>
      </c>
      <c r="H240" s="99">
        <v>0</v>
      </c>
      <c r="I240" s="100">
        <v>0</v>
      </c>
      <c r="J240" s="99">
        <v>0</v>
      </c>
      <c r="K240" s="99">
        <v>0</v>
      </c>
      <c r="L240" s="165">
        <f>SUM(BabycareRaw[[#This Row],[2022]:[YTD 24]])</f>
        <v>0</v>
      </c>
    </row>
    <row r="241" spans="1:12" ht="15" customHeight="1" x14ac:dyDescent="0.2">
      <c r="A241" s="30" t="s">
        <v>189</v>
      </c>
      <c r="B241" s="31" t="s">
        <v>6</v>
      </c>
      <c r="C241" s="32"/>
      <c r="D241" s="33"/>
      <c r="E241" s="70"/>
      <c r="F241" s="97">
        <v>447.58159999999998</v>
      </c>
      <c r="G241" s="98">
        <v>351.95119999999997</v>
      </c>
      <c r="H241" s="99">
        <v>140.74770000000001</v>
      </c>
      <c r="I241" s="100">
        <v>23420.140299999999</v>
      </c>
      <c r="J241" s="99">
        <v>17186.2664</v>
      </c>
      <c r="K241" s="99">
        <v>6668.4120999999996</v>
      </c>
      <c r="L241" s="165">
        <f>SUM(BabycareRaw[[#This Row],[2022]:[YTD 24]])</f>
        <v>940.28049999999996</v>
      </c>
    </row>
    <row r="242" spans="1:12" ht="15" customHeight="1" x14ac:dyDescent="0.2">
      <c r="A242" s="34" t="s">
        <v>190</v>
      </c>
      <c r="B242" s="32" t="s">
        <v>8</v>
      </c>
      <c r="C242" s="32" t="s">
        <v>9</v>
      </c>
      <c r="D242" s="33" t="s">
        <v>20</v>
      </c>
      <c r="E242" s="70" t="s">
        <v>21</v>
      </c>
      <c r="F242" s="97">
        <v>0</v>
      </c>
      <c r="G242" s="98">
        <v>0</v>
      </c>
      <c r="H242" s="99">
        <v>0</v>
      </c>
      <c r="I242" s="100">
        <v>0</v>
      </c>
      <c r="J242" s="99">
        <v>0</v>
      </c>
      <c r="K242" s="99">
        <v>0</v>
      </c>
      <c r="L242" s="165">
        <f>SUM(BabycareRaw[[#This Row],[2022]:[YTD 24]])</f>
        <v>0</v>
      </c>
    </row>
    <row r="243" spans="1:12" ht="15" customHeight="1" x14ac:dyDescent="0.2">
      <c r="A243" s="34" t="s">
        <v>191</v>
      </c>
      <c r="B243" s="32" t="s">
        <v>8</v>
      </c>
      <c r="C243" s="32" t="s">
        <v>9</v>
      </c>
      <c r="D243" s="33" t="s">
        <v>20</v>
      </c>
      <c r="E243" s="70" t="s">
        <v>24</v>
      </c>
      <c r="F243" s="97">
        <v>393.93759999999997</v>
      </c>
      <c r="G243" s="98">
        <v>316.5532</v>
      </c>
      <c r="H243" s="99">
        <v>120.4361</v>
      </c>
      <c r="I243" s="100">
        <v>20334.628400000001</v>
      </c>
      <c r="J243" s="99">
        <v>15456.115599999999</v>
      </c>
      <c r="K243" s="99">
        <v>5660.8364000000001</v>
      </c>
      <c r="L243" s="165">
        <f>SUM(BabycareRaw[[#This Row],[2022]:[YTD 24]])</f>
        <v>830.92690000000005</v>
      </c>
    </row>
    <row r="244" spans="1:12" ht="15" customHeight="1" x14ac:dyDescent="0.2">
      <c r="A244" s="34" t="s">
        <v>192</v>
      </c>
      <c r="B244" s="32" t="s">
        <v>8</v>
      </c>
      <c r="C244" s="32" t="s">
        <v>9</v>
      </c>
      <c r="D244" s="33" t="s">
        <v>20</v>
      </c>
      <c r="E244" s="70" t="s">
        <v>42</v>
      </c>
      <c r="F244" s="97">
        <v>11.008699999999999</v>
      </c>
      <c r="G244" s="98">
        <v>0</v>
      </c>
      <c r="H244" s="99">
        <v>0</v>
      </c>
      <c r="I244" s="100">
        <v>653.37990000000002</v>
      </c>
      <c r="J244" s="99">
        <v>0</v>
      </c>
      <c r="K244" s="99">
        <v>0</v>
      </c>
      <c r="L244" s="165">
        <f>SUM(BabycareRaw[[#This Row],[2022]:[YTD 24]])</f>
        <v>11.008699999999999</v>
      </c>
    </row>
    <row r="245" spans="1:12" ht="15" customHeight="1" x14ac:dyDescent="0.2">
      <c r="A245" s="34" t="s">
        <v>193</v>
      </c>
      <c r="B245" s="32" t="s">
        <v>8</v>
      </c>
      <c r="C245" s="32" t="s">
        <v>9</v>
      </c>
      <c r="D245" s="33" t="s">
        <v>20</v>
      </c>
      <c r="E245" s="70" t="s">
        <v>42</v>
      </c>
      <c r="F245" s="97">
        <v>6.3380999999999998</v>
      </c>
      <c r="G245" s="98">
        <v>2.2010000000000001</v>
      </c>
      <c r="H245" s="99">
        <v>4.9340999999999999</v>
      </c>
      <c r="I245" s="100">
        <v>360.70839999999998</v>
      </c>
      <c r="J245" s="99">
        <v>122.7465</v>
      </c>
      <c r="K245" s="99">
        <v>260.16239999999999</v>
      </c>
      <c r="L245" s="165">
        <f>SUM(BabycareRaw[[#This Row],[2022]:[YTD 24]])</f>
        <v>13.473199999999999</v>
      </c>
    </row>
    <row r="246" spans="1:12" ht="15" customHeight="1" x14ac:dyDescent="0.2">
      <c r="A246" s="34" t="s">
        <v>194</v>
      </c>
      <c r="B246" s="32" t="s">
        <v>8</v>
      </c>
      <c r="C246" s="32" t="s">
        <v>9</v>
      </c>
      <c r="D246" s="33" t="s">
        <v>20</v>
      </c>
      <c r="E246" s="70" t="s">
        <v>42</v>
      </c>
      <c r="F246" s="97">
        <v>17.2865</v>
      </c>
      <c r="G246" s="98">
        <v>3.1953</v>
      </c>
      <c r="H246" s="99">
        <v>0</v>
      </c>
      <c r="I246" s="100">
        <v>1104.6166000000001</v>
      </c>
      <c r="J246" s="99">
        <v>157.0744</v>
      </c>
      <c r="K246" s="99">
        <v>0</v>
      </c>
      <c r="L246" s="165">
        <f>SUM(BabycareRaw[[#This Row],[2022]:[YTD 24]])</f>
        <v>20.4818</v>
      </c>
    </row>
    <row r="247" spans="1:12" ht="15" customHeight="1" x14ac:dyDescent="0.2">
      <c r="A247" s="34" t="s">
        <v>195</v>
      </c>
      <c r="B247" s="32" t="s">
        <v>8</v>
      </c>
      <c r="C247" s="32" t="s">
        <v>9</v>
      </c>
      <c r="D247" s="33" t="s">
        <v>10</v>
      </c>
      <c r="E247" s="70" t="s">
        <v>42</v>
      </c>
      <c r="F247" s="97">
        <v>8.3360000000000003</v>
      </c>
      <c r="G247" s="98">
        <v>4.1882999999999999</v>
      </c>
      <c r="H247" s="99">
        <v>0.16869999999999999</v>
      </c>
      <c r="I247" s="100">
        <v>355.34039999999999</v>
      </c>
      <c r="J247" s="99">
        <v>181.6489</v>
      </c>
      <c r="K247" s="99">
        <v>7.0335999999999999</v>
      </c>
      <c r="L247" s="165">
        <f>SUM(BabycareRaw[[#This Row],[2022]:[YTD 24]])</f>
        <v>12.693</v>
      </c>
    </row>
    <row r="248" spans="1:12" ht="15" customHeight="1" x14ac:dyDescent="0.2">
      <c r="A248" s="34" t="s">
        <v>196</v>
      </c>
      <c r="B248" s="32" t="s">
        <v>8</v>
      </c>
      <c r="C248" s="32" t="s">
        <v>9</v>
      </c>
      <c r="D248" s="33" t="s">
        <v>30</v>
      </c>
      <c r="E248" s="70" t="s">
        <v>42</v>
      </c>
      <c r="F248" s="97">
        <v>10.51</v>
      </c>
      <c r="G248" s="98">
        <v>23.858699999999999</v>
      </c>
      <c r="H248" s="99">
        <v>12.9741</v>
      </c>
      <c r="I248" s="100">
        <v>602.08569999999997</v>
      </c>
      <c r="J248" s="99">
        <v>1188.0914</v>
      </c>
      <c r="K248" s="99">
        <v>658.29200000000003</v>
      </c>
      <c r="L248" s="165">
        <f>SUM(BabycareRaw[[#This Row],[2022]:[YTD 24]])</f>
        <v>47.342799999999997</v>
      </c>
    </row>
    <row r="249" spans="1:12" ht="15" customHeight="1" x14ac:dyDescent="0.2">
      <c r="A249" s="34" t="s">
        <v>197</v>
      </c>
      <c r="B249" s="32" t="s">
        <v>8</v>
      </c>
      <c r="C249" s="32" t="s">
        <v>9</v>
      </c>
      <c r="D249" s="33" t="s">
        <v>20</v>
      </c>
      <c r="E249" s="70" t="s">
        <v>42</v>
      </c>
      <c r="F249" s="97">
        <v>0.1246</v>
      </c>
      <c r="G249" s="98">
        <v>0</v>
      </c>
      <c r="H249" s="99">
        <v>4.1500000000000002E-2</v>
      </c>
      <c r="I249" s="100">
        <v>7.4763999999999999</v>
      </c>
      <c r="J249" s="99">
        <v>0</v>
      </c>
      <c r="K249" s="99">
        <v>3.0169000000000001</v>
      </c>
      <c r="L249" s="165">
        <f>SUM(BabycareRaw[[#This Row],[2022]:[YTD 24]])</f>
        <v>0.1661</v>
      </c>
    </row>
    <row r="250" spans="1:12" ht="15" customHeight="1" x14ac:dyDescent="0.2">
      <c r="A250" s="34" t="s">
        <v>198</v>
      </c>
      <c r="B250" s="32" t="s">
        <v>8</v>
      </c>
      <c r="C250" s="32" t="s">
        <v>9</v>
      </c>
      <c r="D250" s="33" t="s">
        <v>20</v>
      </c>
      <c r="E250" s="70" t="s">
        <v>68</v>
      </c>
      <c r="F250" s="97">
        <v>0</v>
      </c>
      <c r="G250" s="98">
        <v>1.9545999999999999</v>
      </c>
      <c r="H250" s="99">
        <v>2.1882000000000001</v>
      </c>
      <c r="I250" s="100">
        <v>0</v>
      </c>
      <c r="J250" s="99">
        <v>80.589100000000002</v>
      </c>
      <c r="K250" s="99">
        <v>78.875</v>
      </c>
      <c r="L250" s="165">
        <f>SUM(BabycareRaw[[#This Row],[2022]:[YTD 24]])</f>
        <v>4.1428000000000003</v>
      </c>
    </row>
    <row r="251" spans="1:12" ht="15" customHeight="1" x14ac:dyDescent="0.2">
      <c r="A251" s="34" t="s">
        <v>199</v>
      </c>
      <c r="B251" s="32" t="s">
        <v>8</v>
      </c>
      <c r="C251" s="32" t="s">
        <v>9</v>
      </c>
      <c r="D251" s="33" t="s">
        <v>64</v>
      </c>
      <c r="E251" s="70" t="s">
        <v>68</v>
      </c>
      <c r="F251" s="97">
        <v>4.02E-2</v>
      </c>
      <c r="G251" s="98">
        <v>0</v>
      </c>
      <c r="H251" s="99">
        <v>5.1000000000000004E-3</v>
      </c>
      <c r="I251" s="100">
        <v>1.9040999999999999</v>
      </c>
      <c r="J251" s="99">
        <v>0</v>
      </c>
      <c r="K251" s="99">
        <v>0.1958</v>
      </c>
      <c r="L251" s="165">
        <f>SUM(BabycareRaw[[#This Row],[2022]:[YTD 24]])</f>
        <v>4.53E-2</v>
      </c>
    </row>
    <row r="252" spans="1:12" ht="15" customHeight="1" x14ac:dyDescent="0.2">
      <c r="A252" s="30" t="s">
        <v>200</v>
      </c>
      <c r="B252" s="31" t="s">
        <v>6</v>
      </c>
      <c r="C252" s="32"/>
      <c r="D252" s="33"/>
      <c r="E252" s="70"/>
      <c r="F252" s="97">
        <v>0</v>
      </c>
      <c r="G252" s="98">
        <v>6.88E-2</v>
      </c>
      <c r="H252" s="99">
        <v>1.5603</v>
      </c>
      <c r="I252" s="100">
        <v>0</v>
      </c>
      <c r="J252" s="99">
        <v>2.9011</v>
      </c>
      <c r="K252" s="99">
        <v>56.070300000000003</v>
      </c>
      <c r="L252" s="165">
        <f>SUM(BabycareRaw[[#This Row],[2022]:[YTD 24]])</f>
        <v>1.6291</v>
      </c>
    </row>
    <row r="253" spans="1:12" ht="15" customHeight="1" x14ac:dyDescent="0.2">
      <c r="A253" s="34" t="s">
        <v>201</v>
      </c>
      <c r="B253" s="32" t="s">
        <v>8</v>
      </c>
      <c r="C253" s="32" t="s">
        <v>9</v>
      </c>
      <c r="D253" s="33" t="s">
        <v>20</v>
      </c>
      <c r="E253" s="70" t="s">
        <v>21</v>
      </c>
      <c r="F253" s="97">
        <v>0</v>
      </c>
      <c r="G253" s="98">
        <v>6.88E-2</v>
      </c>
      <c r="H253" s="99">
        <v>1.5603</v>
      </c>
      <c r="I253" s="100">
        <v>0</v>
      </c>
      <c r="J253" s="99">
        <v>2.9011</v>
      </c>
      <c r="K253" s="99">
        <v>56.070300000000003</v>
      </c>
      <c r="L253" s="165">
        <f>SUM(BabycareRaw[[#This Row],[2022]:[YTD 24]])</f>
        <v>1.6291</v>
      </c>
    </row>
    <row r="254" spans="1:12" ht="15" customHeight="1" x14ac:dyDescent="0.2">
      <c r="A254" s="30" t="s">
        <v>202</v>
      </c>
      <c r="B254" s="31" t="s">
        <v>6</v>
      </c>
      <c r="C254" s="32"/>
      <c r="D254" s="33"/>
      <c r="E254" s="70"/>
      <c r="F254" s="97">
        <v>225.05289999999999</v>
      </c>
      <c r="G254" s="98">
        <v>160.9256</v>
      </c>
      <c r="H254" s="99">
        <v>66.089799999999997</v>
      </c>
      <c r="I254" s="100">
        <v>14096.87</v>
      </c>
      <c r="J254" s="99">
        <v>9843.2201000000005</v>
      </c>
      <c r="K254" s="99">
        <v>3643.3836000000001</v>
      </c>
      <c r="L254" s="165">
        <f>SUM(BabycareRaw[[#This Row],[2022]:[YTD 24]])</f>
        <v>452.06830000000002</v>
      </c>
    </row>
    <row r="255" spans="1:12" ht="15" customHeight="1" x14ac:dyDescent="0.2">
      <c r="A255" s="34" t="s">
        <v>203</v>
      </c>
      <c r="B255" s="32" t="s">
        <v>8</v>
      </c>
      <c r="C255" s="32" t="s">
        <v>9</v>
      </c>
      <c r="D255" s="33" t="s">
        <v>20</v>
      </c>
      <c r="E255" s="70" t="s">
        <v>42</v>
      </c>
      <c r="F255" s="97">
        <v>225.05289999999999</v>
      </c>
      <c r="G255" s="98">
        <v>160.9256</v>
      </c>
      <c r="H255" s="99">
        <v>66.089799999999997</v>
      </c>
      <c r="I255" s="100">
        <v>14096.87</v>
      </c>
      <c r="J255" s="99">
        <v>9843.2201000000005</v>
      </c>
      <c r="K255" s="99">
        <v>3643.3836000000001</v>
      </c>
      <c r="L255" s="165">
        <f>SUM(BabycareRaw[[#This Row],[2022]:[YTD 24]])</f>
        <v>452.06830000000002</v>
      </c>
    </row>
    <row r="256" spans="1:12" ht="15" customHeight="1" x14ac:dyDescent="0.2">
      <c r="A256" s="30" t="s">
        <v>204</v>
      </c>
      <c r="B256" s="31" t="s">
        <v>6</v>
      </c>
      <c r="C256" s="32"/>
      <c r="D256" s="33"/>
      <c r="E256" s="70"/>
      <c r="F256" s="97">
        <v>27.677700000000002</v>
      </c>
      <c r="G256" s="98">
        <v>22.1416</v>
      </c>
      <c r="H256" s="99">
        <v>9.0610999999999997</v>
      </c>
      <c r="I256" s="100">
        <v>1974.3932</v>
      </c>
      <c r="J256" s="99">
        <v>1482.2675999999999</v>
      </c>
      <c r="K256" s="99">
        <v>601.1807</v>
      </c>
      <c r="L256" s="165">
        <f>SUM(BabycareRaw[[#This Row],[2022]:[YTD 24]])</f>
        <v>58.880399999999995</v>
      </c>
    </row>
    <row r="257" spans="1:12" ht="15" customHeight="1" x14ac:dyDescent="0.2">
      <c r="A257" s="34" t="s">
        <v>205</v>
      </c>
      <c r="B257" s="32" t="s">
        <v>8</v>
      </c>
      <c r="C257" s="32" t="s">
        <v>9</v>
      </c>
      <c r="D257" s="33" t="s">
        <v>30</v>
      </c>
      <c r="E257" s="70" t="s">
        <v>42</v>
      </c>
      <c r="F257" s="97">
        <v>27.677700000000002</v>
      </c>
      <c r="G257" s="98">
        <v>22.1416</v>
      </c>
      <c r="H257" s="99">
        <v>9.0610999999999997</v>
      </c>
      <c r="I257" s="100">
        <v>1974.3932</v>
      </c>
      <c r="J257" s="99">
        <v>1482.2675999999999</v>
      </c>
      <c r="K257" s="99">
        <v>601.1807</v>
      </c>
      <c r="L257" s="165">
        <f>SUM(BabycareRaw[[#This Row],[2022]:[YTD 24]])</f>
        <v>58.880399999999995</v>
      </c>
    </row>
    <row r="258" spans="1:12" ht="15" customHeight="1" x14ac:dyDescent="0.2">
      <c r="A258" s="30" t="s">
        <v>206</v>
      </c>
      <c r="B258" s="31" t="s">
        <v>6</v>
      </c>
      <c r="C258" s="32"/>
      <c r="D258" s="33"/>
      <c r="E258" s="70"/>
      <c r="F258" s="97">
        <v>0</v>
      </c>
      <c r="G258" s="98">
        <v>0</v>
      </c>
      <c r="H258" s="99">
        <v>0</v>
      </c>
      <c r="I258" s="100">
        <v>0</v>
      </c>
      <c r="J258" s="99">
        <v>0</v>
      </c>
      <c r="K258" s="99">
        <v>0</v>
      </c>
      <c r="L258" s="165">
        <f>SUM(BabycareRaw[[#This Row],[2022]:[YTD 24]])</f>
        <v>0</v>
      </c>
    </row>
    <row r="259" spans="1:12" ht="15" customHeight="1" x14ac:dyDescent="0.2">
      <c r="A259" s="34" t="s">
        <v>821</v>
      </c>
      <c r="B259" s="32" t="s">
        <v>8</v>
      </c>
      <c r="C259" s="32" t="s">
        <v>9</v>
      </c>
      <c r="D259" s="33" t="s">
        <v>30</v>
      </c>
      <c r="E259" s="70" t="s">
        <v>42</v>
      </c>
      <c r="F259" s="97">
        <v>0</v>
      </c>
      <c r="G259" s="98">
        <v>0</v>
      </c>
      <c r="H259" s="99">
        <v>0</v>
      </c>
      <c r="I259" s="100">
        <v>0</v>
      </c>
      <c r="J259" s="99">
        <v>0</v>
      </c>
      <c r="K259" s="99">
        <v>0</v>
      </c>
      <c r="L259" s="165">
        <f>SUM(BabycareRaw[[#This Row],[2022]:[YTD 24]])</f>
        <v>0</v>
      </c>
    </row>
    <row r="260" spans="1:12" ht="15" customHeight="1" x14ac:dyDescent="0.2">
      <c r="A260" s="30" t="s">
        <v>207</v>
      </c>
      <c r="B260" s="31" t="s">
        <v>6</v>
      </c>
      <c r="C260" s="32"/>
      <c r="D260" s="33"/>
      <c r="E260" s="70"/>
      <c r="F260" s="97">
        <v>138.01410000000001</v>
      </c>
      <c r="G260" s="98">
        <v>157.21960000000001</v>
      </c>
      <c r="H260" s="99">
        <v>81.463999999999999</v>
      </c>
      <c r="I260" s="100">
        <v>7869.3761999999997</v>
      </c>
      <c r="J260" s="99">
        <v>8660.3381000000008</v>
      </c>
      <c r="K260" s="99">
        <v>4114.0384000000004</v>
      </c>
      <c r="L260" s="165">
        <f>SUM(BabycareRaw[[#This Row],[2022]:[YTD 24]])</f>
        <v>376.6977</v>
      </c>
    </row>
    <row r="261" spans="1:12" ht="15" customHeight="1" x14ac:dyDescent="0.2">
      <c r="A261" s="34" t="s">
        <v>208</v>
      </c>
      <c r="B261" s="32" t="s">
        <v>8</v>
      </c>
      <c r="C261" s="32" t="s">
        <v>9</v>
      </c>
      <c r="D261" s="33" t="s">
        <v>30</v>
      </c>
      <c r="E261" s="70" t="s">
        <v>24</v>
      </c>
      <c r="F261" s="97">
        <v>41.221899999999998</v>
      </c>
      <c r="G261" s="98">
        <v>44.201300000000003</v>
      </c>
      <c r="H261" s="99">
        <v>20.616900000000001</v>
      </c>
      <c r="I261" s="100">
        <v>1922.9742000000001</v>
      </c>
      <c r="J261" s="99">
        <v>2020.3897999999999</v>
      </c>
      <c r="K261" s="99">
        <v>923.72320000000002</v>
      </c>
      <c r="L261" s="165">
        <f>SUM(BabycareRaw[[#This Row],[2022]:[YTD 24]])</f>
        <v>106.04010000000001</v>
      </c>
    </row>
    <row r="262" spans="1:12" ht="15" customHeight="1" x14ac:dyDescent="0.2">
      <c r="A262" s="34" t="s">
        <v>209</v>
      </c>
      <c r="B262" s="32" t="s">
        <v>8</v>
      </c>
      <c r="C262" s="32" t="s">
        <v>9</v>
      </c>
      <c r="D262" s="33" t="s">
        <v>30</v>
      </c>
      <c r="E262" s="70" t="s">
        <v>24</v>
      </c>
      <c r="F262" s="97">
        <v>41.486600000000003</v>
      </c>
      <c r="G262" s="98">
        <v>73.395700000000005</v>
      </c>
      <c r="H262" s="99">
        <v>40.033299999999997</v>
      </c>
      <c r="I262" s="100">
        <v>2454.0007999999998</v>
      </c>
      <c r="J262" s="99">
        <v>4307.1679999999997</v>
      </c>
      <c r="K262" s="99">
        <v>2180.9749000000002</v>
      </c>
      <c r="L262" s="165">
        <f>SUM(BabycareRaw[[#This Row],[2022]:[YTD 24]])</f>
        <v>154.91560000000001</v>
      </c>
    </row>
    <row r="263" spans="1:12" ht="15" customHeight="1" x14ac:dyDescent="0.2">
      <c r="A263" s="34" t="s">
        <v>210</v>
      </c>
      <c r="B263" s="32" t="s">
        <v>8</v>
      </c>
      <c r="C263" s="32" t="s">
        <v>9</v>
      </c>
      <c r="D263" s="33" t="s">
        <v>30</v>
      </c>
      <c r="E263" s="70" t="s">
        <v>42</v>
      </c>
      <c r="F263" s="97">
        <v>0</v>
      </c>
      <c r="G263" s="98">
        <v>0</v>
      </c>
      <c r="H263" s="99">
        <v>0.36020000000000002</v>
      </c>
      <c r="I263" s="100">
        <v>0</v>
      </c>
      <c r="J263" s="99">
        <v>0</v>
      </c>
      <c r="K263" s="99">
        <v>18.523700000000002</v>
      </c>
      <c r="L263" s="165">
        <f>SUM(BabycareRaw[[#This Row],[2022]:[YTD 24]])</f>
        <v>0.36020000000000002</v>
      </c>
    </row>
    <row r="264" spans="1:12" ht="15" customHeight="1" x14ac:dyDescent="0.2">
      <c r="A264" s="34" t="s">
        <v>211</v>
      </c>
      <c r="B264" s="32" t="s">
        <v>8</v>
      </c>
      <c r="C264" s="32" t="s">
        <v>9</v>
      </c>
      <c r="D264" s="33" t="s">
        <v>10</v>
      </c>
      <c r="E264" s="70" t="s">
        <v>42</v>
      </c>
      <c r="F264" s="97">
        <v>50.296300000000002</v>
      </c>
      <c r="G264" s="98">
        <v>34.107599999999998</v>
      </c>
      <c r="H264" s="99">
        <v>15.9543</v>
      </c>
      <c r="I264" s="100">
        <v>3350.8564000000001</v>
      </c>
      <c r="J264" s="99">
        <v>2178.5326</v>
      </c>
      <c r="K264" s="99">
        <v>866.22</v>
      </c>
      <c r="L264" s="165">
        <f>SUM(BabycareRaw[[#This Row],[2022]:[YTD 24]])</f>
        <v>100.3582</v>
      </c>
    </row>
    <row r="265" spans="1:12" ht="15" customHeight="1" x14ac:dyDescent="0.2">
      <c r="A265" s="34" t="s">
        <v>212</v>
      </c>
      <c r="B265" s="32" t="s">
        <v>8</v>
      </c>
      <c r="C265" s="32" t="s">
        <v>9</v>
      </c>
      <c r="D265" s="33" t="s">
        <v>10</v>
      </c>
      <c r="E265" s="70" t="s">
        <v>42</v>
      </c>
      <c r="F265" s="97">
        <v>5.0095999999999998</v>
      </c>
      <c r="G265" s="98">
        <v>5.5152000000000001</v>
      </c>
      <c r="H265" s="99">
        <v>4.4993999999999996</v>
      </c>
      <c r="I265" s="100">
        <v>141.5444</v>
      </c>
      <c r="J265" s="99">
        <v>154.2473</v>
      </c>
      <c r="K265" s="99">
        <v>124.59650000000001</v>
      </c>
      <c r="L265" s="165">
        <f>SUM(BabycareRaw[[#This Row],[2022]:[YTD 24]])</f>
        <v>15.024199999999999</v>
      </c>
    </row>
    <row r="266" spans="1:12" ht="15" customHeight="1" x14ac:dyDescent="0.2">
      <c r="A266" s="30" t="s">
        <v>213</v>
      </c>
      <c r="B266" s="31" t="s">
        <v>6</v>
      </c>
      <c r="C266" s="32"/>
      <c r="D266" s="33"/>
      <c r="E266" s="70"/>
      <c r="F266" s="97">
        <v>4.6416000000000004</v>
      </c>
      <c r="G266" s="98">
        <v>5.1684999999999999</v>
      </c>
      <c r="H266" s="99">
        <v>0.78010000000000002</v>
      </c>
      <c r="I266" s="100">
        <v>142.55420000000001</v>
      </c>
      <c r="J266" s="99">
        <v>145.93899999999999</v>
      </c>
      <c r="K266" s="99">
        <v>21.435099999999998</v>
      </c>
      <c r="L266" s="165">
        <f>SUM(BabycareRaw[[#This Row],[2022]:[YTD 24]])</f>
        <v>10.590199999999999</v>
      </c>
    </row>
    <row r="267" spans="1:12" ht="15" customHeight="1" x14ac:dyDescent="0.2">
      <c r="A267" s="34" t="s">
        <v>214</v>
      </c>
      <c r="B267" s="32" t="s">
        <v>8</v>
      </c>
      <c r="C267" s="32" t="s">
        <v>9</v>
      </c>
      <c r="D267" s="33" t="s">
        <v>30</v>
      </c>
      <c r="E267" s="70" t="s">
        <v>42</v>
      </c>
      <c r="F267" s="97">
        <v>4.6416000000000004</v>
      </c>
      <c r="G267" s="98">
        <v>5.1684999999999999</v>
      </c>
      <c r="H267" s="99">
        <v>0.78010000000000002</v>
      </c>
      <c r="I267" s="100">
        <v>142.55420000000001</v>
      </c>
      <c r="J267" s="99">
        <v>145.93899999999999</v>
      </c>
      <c r="K267" s="99">
        <v>21.435099999999998</v>
      </c>
      <c r="L267" s="165">
        <f>SUM(BabycareRaw[[#This Row],[2022]:[YTD 24]])</f>
        <v>10.590199999999999</v>
      </c>
    </row>
    <row r="268" spans="1:12" ht="15" customHeight="1" x14ac:dyDescent="0.2">
      <c r="A268" s="30" t="s">
        <v>215</v>
      </c>
      <c r="B268" s="31" t="s">
        <v>6</v>
      </c>
      <c r="C268" s="32"/>
      <c r="D268" s="33"/>
      <c r="E268" s="70"/>
      <c r="F268" s="97">
        <v>137.1788</v>
      </c>
      <c r="G268" s="98">
        <v>116.5658</v>
      </c>
      <c r="H268" s="99">
        <v>65.912899999999993</v>
      </c>
      <c r="I268" s="100">
        <v>7929.3796000000002</v>
      </c>
      <c r="J268" s="99">
        <v>6740.5910999999996</v>
      </c>
      <c r="K268" s="99">
        <v>3524.3125</v>
      </c>
      <c r="L268" s="165">
        <f>SUM(BabycareRaw[[#This Row],[2022]:[YTD 24]])</f>
        <v>319.65749999999997</v>
      </c>
    </row>
    <row r="269" spans="1:12" ht="15" customHeight="1" x14ac:dyDescent="0.2">
      <c r="A269" s="34" t="s">
        <v>216</v>
      </c>
      <c r="B269" s="32" t="s">
        <v>8</v>
      </c>
      <c r="C269" s="32" t="s">
        <v>9</v>
      </c>
      <c r="D269" s="33" t="s">
        <v>30</v>
      </c>
      <c r="E269" s="70" t="s">
        <v>24</v>
      </c>
      <c r="F269" s="97">
        <v>137.1788</v>
      </c>
      <c r="G269" s="98">
        <v>116.5658</v>
      </c>
      <c r="H269" s="99">
        <v>65.912899999999993</v>
      </c>
      <c r="I269" s="100">
        <v>7929.3796000000002</v>
      </c>
      <c r="J269" s="99">
        <v>6740.5910999999996</v>
      </c>
      <c r="K269" s="99">
        <v>3524.3125</v>
      </c>
      <c r="L269" s="165">
        <f>SUM(BabycareRaw[[#This Row],[2022]:[YTD 24]])</f>
        <v>319.65749999999997</v>
      </c>
    </row>
    <row r="270" spans="1:12" ht="15" customHeight="1" x14ac:dyDescent="0.2">
      <c r="A270" s="27" t="s">
        <v>745</v>
      </c>
      <c r="B270" s="28" t="s">
        <v>5</v>
      </c>
      <c r="C270" s="28"/>
      <c r="D270" s="29"/>
      <c r="E270" s="68"/>
      <c r="F270" s="101">
        <v>14.2293</v>
      </c>
      <c r="G270" s="102">
        <v>21.789000000000001</v>
      </c>
      <c r="H270" s="103">
        <v>7.9466000000000001</v>
      </c>
      <c r="I270" s="104">
        <v>761.61429999999996</v>
      </c>
      <c r="J270" s="103">
        <v>1129.7994000000001</v>
      </c>
      <c r="K270" s="103">
        <v>412.24349999999998</v>
      </c>
      <c r="L270" s="169">
        <f>SUM(BabycareRaw[[#This Row],[2022]:[YTD 24]])</f>
        <v>43.9649</v>
      </c>
    </row>
    <row r="271" spans="1:12" ht="14.25" customHeight="1" x14ac:dyDescent="0.2">
      <c r="A271" s="30" t="s">
        <v>217</v>
      </c>
      <c r="B271" s="31" t="s">
        <v>6</v>
      </c>
      <c r="C271" s="32"/>
      <c r="D271" s="33"/>
      <c r="E271" s="70"/>
      <c r="F271" s="97">
        <v>14.2293</v>
      </c>
      <c r="G271" s="98">
        <v>21.789000000000001</v>
      </c>
      <c r="H271" s="99">
        <v>7.9466000000000001</v>
      </c>
      <c r="I271" s="100">
        <v>761.61429999999996</v>
      </c>
      <c r="J271" s="99">
        <v>1129.7994000000001</v>
      </c>
      <c r="K271" s="99">
        <v>412.24349999999998</v>
      </c>
      <c r="L271" s="165">
        <f>SUM(BabycareRaw[[#This Row],[2022]:[YTD 24]])</f>
        <v>43.9649</v>
      </c>
    </row>
    <row r="272" spans="1:12" ht="15" customHeight="1" x14ac:dyDescent="0.2">
      <c r="A272" s="34" t="s">
        <v>218</v>
      </c>
      <c r="B272" s="32" t="s">
        <v>8</v>
      </c>
      <c r="C272" s="32" t="s">
        <v>9</v>
      </c>
      <c r="D272" s="33" t="s">
        <v>20</v>
      </c>
      <c r="E272" s="70" t="s">
        <v>21</v>
      </c>
      <c r="F272" s="97">
        <v>14.2293</v>
      </c>
      <c r="G272" s="98">
        <v>21.789000000000001</v>
      </c>
      <c r="H272" s="99">
        <v>7.9466000000000001</v>
      </c>
      <c r="I272" s="100">
        <v>761.61429999999996</v>
      </c>
      <c r="J272" s="99">
        <v>1129.7994000000001</v>
      </c>
      <c r="K272" s="99">
        <v>412.24349999999998</v>
      </c>
      <c r="L272" s="165">
        <f>SUM(BabycareRaw[[#This Row],[2022]:[YTD 24]])</f>
        <v>43.9649</v>
      </c>
    </row>
    <row r="273" spans="1:12" ht="15" customHeight="1" x14ac:dyDescent="0.2">
      <c r="A273" s="27" t="s">
        <v>746</v>
      </c>
      <c r="B273" s="28" t="s">
        <v>5</v>
      </c>
      <c r="C273" s="28"/>
      <c r="D273" s="29"/>
      <c r="E273" s="68"/>
      <c r="F273" s="101">
        <v>7.4866999999999999</v>
      </c>
      <c r="G273" s="102">
        <v>1.5100000000000001E-2</v>
      </c>
      <c r="H273" s="103">
        <v>0</v>
      </c>
      <c r="I273" s="104">
        <v>509.18150000000003</v>
      </c>
      <c r="J273" s="103">
        <v>0.77590000000000003</v>
      </c>
      <c r="K273" s="103">
        <v>0</v>
      </c>
      <c r="L273" s="169">
        <f>SUM(BabycareRaw[[#This Row],[2022]:[YTD 24]])</f>
        <v>7.5018000000000002</v>
      </c>
    </row>
    <row r="274" spans="1:12" ht="14.25" customHeight="1" x14ac:dyDescent="0.2">
      <c r="A274" s="30" t="s">
        <v>219</v>
      </c>
      <c r="B274" s="31" t="s">
        <v>6</v>
      </c>
      <c r="C274" s="32"/>
      <c r="D274" s="33"/>
      <c r="E274" s="70"/>
      <c r="F274" s="97">
        <v>7.4866999999999999</v>
      </c>
      <c r="G274" s="98">
        <v>1.5100000000000001E-2</v>
      </c>
      <c r="H274" s="99">
        <v>0</v>
      </c>
      <c r="I274" s="100">
        <v>509.18150000000003</v>
      </c>
      <c r="J274" s="99">
        <v>0.77590000000000003</v>
      </c>
      <c r="K274" s="99">
        <v>0</v>
      </c>
      <c r="L274" s="165">
        <f>SUM(BabycareRaw[[#This Row],[2022]:[YTD 24]])</f>
        <v>7.5018000000000002</v>
      </c>
    </row>
    <row r="275" spans="1:12" ht="15" customHeight="1" x14ac:dyDescent="0.2">
      <c r="A275" s="34" t="s">
        <v>220</v>
      </c>
      <c r="B275" s="32" t="s">
        <v>8</v>
      </c>
      <c r="C275" s="32" t="s">
        <v>9</v>
      </c>
      <c r="D275" s="33" t="s">
        <v>64</v>
      </c>
      <c r="E275" s="70" t="s">
        <v>42</v>
      </c>
      <c r="F275" s="97">
        <v>7.4866999999999999</v>
      </c>
      <c r="G275" s="98">
        <v>1.5100000000000001E-2</v>
      </c>
      <c r="H275" s="99">
        <v>0</v>
      </c>
      <c r="I275" s="100">
        <v>509.18150000000003</v>
      </c>
      <c r="J275" s="99">
        <v>0.77590000000000003</v>
      </c>
      <c r="K275" s="99">
        <v>0</v>
      </c>
      <c r="L275" s="165">
        <f>SUM(BabycareRaw[[#This Row],[2022]:[YTD 24]])</f>
        <v>7.5018000000000002</v>
      </c>
    </row>
    <row r="276" spans="1:12" ht="15" customHeight="1" x14ac:dyDescent="0.2">
      <c r="A276" s="27" t="s">
        <v>747</v>
      </c>
      <c r="B276" s="28" t="s">
        <v>5</v>
      </c>
      <c r="C276" s="28"/>
      <c r="D276" s="29"/>
      <c r="E276" s="68"/>
      <c r="F276" s="101">
        <v>9.1872000000000007</v>
      </c>
      <c r="G276" s="102">
        <v>0</v>
      </c>
      <c r="H276" s="103">
        <v>0</v>
      </c>
      <c r="I276" s="104">
        <v>430.16879999999998</v>
      </c>
      <c r="J276" s="103">
        <v>0</v>
      </c>
      <c r="K276" s="103">
        <v>0</v>
      </c>
      <c r="L276" s="169">
        <f>SUM(BabycareRaw[[#This Row],[2022]:[YTD 24]])</f>
        <v>9.1872000000000007</v>
      </c>
    </row>
    <row r="277" spans="1:12" ht="14.25" customHeight="1" x14ac:dyDescent="0.2">
      <c r="A277" s="30" t="s">
        <v>221</v>
      </c>
      <c r="B277" s="31" t="s">
        <v>6</v>
      </c>
      <c r="C277" s="32"/>
      <c r="D277" s="33"/>
      <c r="E277" s="70"/>
      <c r="F277" s="97">
        <v>9.1872000000000007</v>
      </c>
      <c r="G277" s="98">
        <v>0</v>
      </c>
      <c r="H277" s="99">
        <v>0</v>
      </c>
      <c r="I277" s="100">
        <v>430.16879999999998</v>
      </c>
      <c r="J277" s="99">
        <v>0</v>
      </c>
      <c r="K277" s="99">
        <v>0</v>
      </c>
      <c r="L277" s="165">
        <f>SUM(BabycareRaw[[#This Row],[2022]:[YTD 24]])</f>
        <v>9.1872000000000007</v>
      </c>
    </row>
    <row r="278" spans="1:12" ht="15" customHeight="1" x14ac:dyDescent="0.2">
      <c r="A278" s="34" t="s">
        <v>222</v>
      </c>
      <c r="B278" s="32" t="s">
        <v>8</v>
      </c>
      <c r="C278" s="32" t="s">
        <v>9</v>
      </c>
      <c r="D278" s="33" t="s">
        <v>64</v>
      </c>
      <c r="E278" s="70" t="s">
        <v>123</v>
      </c>
      <c r="F278" s="97">
        <v>0</v>
      </c>
      <c r="G278" s="98">
        <v>0</v>
      </c>
      <c r="H278" s="99">
        <v>0</v>
      </c>
      <c r="I278" s="100">
        <v>0</v>
      </c>
      <c r="J278" s="99">
        <v>0</v>
      </c>
      <c r="K278" s="99">
        <v>0</v>
      </c>
      <c r="L278" s="165">
        <f>SUM(BabycareRaw[[#This Row],[2022]:[YTD 24]])</f>
        <v>0</v>
      </c>
    </row>
    <row r="279" spans="1:12" ht="15" customHeight="1" x14ac:dyDescent="0.2">
      <c r="A279" s="34" t="s">
        <v>223</v>
      </c>
      <c r="B279" s="32" t="s">
        <v>8</v>
      </c>
      <c r="C279" s="32" t="s">
        <v>9</v>
      </c>
      <c r="D279" s="33" t="s">
        <v>64</v>
      </c>
      <c r="E279" s="70" t="s">
        <v>123</v>
      </c>
      <c r="F279" s="97">
        <v>1.3945000000000001</v>
      </c>
      <c r="G279" s="98">
        <v>0</v>
      </c>
      <c r="H279" s="99">
        <v>0</v>
      </c>
      <c r="I279" s="100">
        <v>67.202299999999994</v>
      </c>
      <c r="J279" s="99">
        <v>0</v>
      </c>
      <c r="K279" s="99">
        <v>0</v>
      </c>
      <c r="L279" s="165">
        <f>SUM(BabycareRaw[[#This Row],[2022]:[YTD 24]])</f>
        <v>1.3945000000000001</v>
      </c>
    </row>
    <row r="280" spans="1:12" ht="15" customHeight="1" x14ac:dyDescent="0.2">
      <c r="A280" s="34" t="s">
        <v>224</v>
      </c>
      <c r="B280" s="32" t="s">
        <v>8</v>
      </c>
      <c r="C280" s="32" t="s">
        <v>9</v>
      </c>
      <c r="D280" s="33" t="s">
        <v>30</v>
      </c>
      <c r="E280" s="70" t="s">
        <v>42</v>
      </c>
      <c r="F280" s="97">
        <v>7.7927999999999997</v>
      </c>
      <c r="G280" s="98">
        <v>0</v>
      </c>
      <c r="H280" s="99">
        <v>0</v>
      </c>
      <c r="I280" s="100">
        <v>362.96660000000003</v>
      </c>
      <c r="J280" s="99">
        <v>0</v>
      </c>
      <c r="K280" s="99">
        <v>0</v>
      </c>
      <c r="L280" s="165">
        <f>SUM(BabycareRaw[[#This Row],[2022]:[YTD 24]])</f>
        <v>7.7927999999999997</v>
      </c>
    </row>
    <row r="281" spans="1:12" ht="15" customHeight="1" x14ac:dyDescent="0.2">
      <c r="A281" s="27" t="s">
        <v>748</v>
      </c>
      <c r="B281" s="28" t="s">
        <v>5</v>
      </c>
      <c r="C281" s="28"/>
      <c r="D281" s="29"/>
      <c r="E281" s="68"/>
      <c r="F281" s="101">
        <v>77.652299999999997</v>
      </c>
      <c r="G281" s="102">
        <v>36.366500000000002</v>
      </c>
      <c r="H281" s="103">
        <v>17.4222</v>
      </c>
      <c r="I281" s="104">
        <v>3136.2818000000002</v>
      </c>
      <c r="J281" s="103">
        <v>1512.1391000000001</v>
      </c>
      <c r="K281" s="103">
        <v>684.81539999999995</v>
      </c>
      <c r="L281" s="169">
        <f>SUM(BabycareRaw[[#This Row],[2022]:[YTD 24]])</f>
        <v>131.441</v>
      </c>
    </row>
    <row r="282" spans="1:12" ht="14.25" customHeight="1" x14ac:dyDescent="0.2">
      <c r="A282" s="30" t="s">
        <v>225</v>
      </c>
      <c r="B282" s="31" t="s">
        <v>6</v>
      </c>
      <c r="C282" s="32"/>
      <c r="D282" s="33"/>
      <c r="E282" s="70"/>
      <c r="F282" s="97">
        <v>76.472300000000004</v>
      </c>
      <c r="G282" s="98">
        <v>36.366500000000002</v>
      </c>
      <c r="H282" s="99">
        <v>17.4222</v>
      </c>
      <c r="I282" s="100">
        <v>3099.3413999999998</v>
      </c>
      <c r="J282" s="99">
        <v>1512.1391000000001</v>
      </c>
      <c r="K282" s="99">
        <v>684.81539999999995</v>
      </c>
      <c r="L282" s="165">
        <f>SUM(BabycareRaw[[#This Row],[2022]:[YTD 24]])</f>
        <v>130.261</v>
      </c>
    </row>
    <row r="283" spans="1:12" ht="15" customHeight="1" x14ac:dyDescent="0.2">
      <c r="A283" s="34" t="s">
        <v>226</v>
      </c>
      <c r="B283" s="32" t="s">
        <v>8</v>
      </c>
      <c r="C283" s="32" t="s">
        <v>9</v>
      </c>
      <c r="D283" s="33" t="s">
        <v>10</v>
      </c>
      <c r="E283" s="70" t="s">
        <v>42</v>
      </c>
      <c r="F283" s="97">
        <v>63.770400000000002</v>
      </c>
      <c r="G283" s="98">
        <v>23.340299999999999</v>
      </c>
      <c r="H283" s="99">
        <v>11.8607</v>
      </c>
      <c r="I283" s="100">
        <v>2545.3452000000002</v>
      </c>
      <c r="J283" s="99">
        <v>949.45609999999999</v>
      </c>
      <c r="K283" s="99">
        <v>459.19099999999997</v>
      </c>
      <c r="L283" s="165">
        <f>SUM(BabycareRaw[[#This Row],[2022]:[YTD 24]])</f>
        <v>98.971400000000003</v>
      </c>
    </row>
    <row r="284" spans="1:12" ht="15" customHeight="1" x14ac:dyDescent="0.2">
      <c r="A284" s="34" t="s">
        <v>227</v>
      </c>
      <c r="B284" s="32" t="s">
        <v>8</v>
      </c>
      <c r="C284" s="32" t="s">
        <v>9</v>
      </c>
      <c r="D284" s="33" t="s">
        <v>30</v>
      </c>
      <c r="E284" s="70" t="s">
        <v>42</v>
      </c>
      <c r="F284" s="97">
        <v>12.7019</v>
      </c>
      <c r="G284" s="98">
        <v>13.0259</v>
      </c>
      <c r="H284" s="99">
        <v>5.5613999999999999</v>
      </c>
      <c r="I284" s="100">
        <v>553.99599999999998</v>
      </c>
      <c r="J284" s="99">
        <v>562.68320000000006</v>
      </c>
      <c r="K284" s="99">
        <v>225.62440000000001</v>
      </c>
      <c r="L284" s="165">
        <f>SUM(BabycareRaw[[#This Row],[2022]:[YTD 24]])</f>
        <v>31.289200000000001</v>
      </c>
    </row>
    <row r="285" spans="1:12" ht="15" customHeight="1" x14ac:dyDescent="0.2">
      <c r="A285" s="30" t="s">
        <v>228</v>
      </c>
      <c r="B285" s="31" t="s">
        <v>6</v>
      </c>
      <c r="C285" s="32"/>
      <c r="D285" s="33"/>
      <c r="E285" s="70"/>
      <c r="F285" s="97">
        <v>1.18</v>
      </c>
      <c r="G285" s="98">
        <v>0</v>
      </c>
      <c r="H285" s="99">
        <v>0</v>
      </c>
      <c r="I285" s="100">
        <v>36.940399999999997</v>
      </c>
      <c r="J285" s="99">
        <v>0</v>
      </c>
      <c r="K285" s="99">
        <v>0</v>
      </c>
      <c r="L285" s="165">
        <f>SUM(BabycareRaw[[#This Row],[2022]:[YTD 24]])</f>
        <v>1.18</v>
      </c>
    </row>
    <row r="286" spans="1:12" ht="15" customHeight="1" x14ac:dyDescent="0.2">
      <c r="A286" s="34" t="s">
        <v>229</v>
      </c>
      <c r="B286" s="32" t="s">
        <v>8</v>
      </c>
      <c r="C286" s="32" t="s">
        <v>9</v>
      </c>
      <c r="D286" s="33" t="s">
        <v>20</v>
      </c>
      <c r="E286" s="70" t="s">
        <v>42</v>
      </c>
      <c r="F286" s="97">
        <v>0.59</v>
      </c>
      <c r="G286" s="98">
        <v>0</v>
      </c>
      <c r="H286" s="99">
        <v>0</v>
      </c>
      <c r="I286" s="100">
        <v>18.470099999999999</v>
      </c>
      <c r="J286" s="99">
        <v>0</v>
      </c>
      <c r="K286" s="99">
        <v>0</v>
      </c>
      <c r="L286" s="165">
        <f>SUM(BabycareRaw[[#This Row],[2022]:[YTD 24]])</f>
        <v>0.59</v>
      </c>
    </row>
    <row r="287" spans="1:12" ht="15" customHeight="1" x14ac:dyDescent="0.2">
      <c r="A287" s="34" t="s">
        <v>230</v>
      </c>
      <c r="B287" s="32" t="s">
        <v>8</v>
      </c>
      <c r="C287" s="32" t="s">
        <v>9</v>
      </c>
      <c r="D287" s="33" t="s">
        <v>30</v>
      </c>
      <c r="E287" s="70" t="s">
        <v>42</v>
      </c>
      <c r="F287" s="97">
        <v>0.59</v>
      </c>
      <c r="G287" s="98">
        <v>0</v>
      </c>
      <c r="H287" s="99">
        <v>0</v>
      </c>
      <c r="I287" s="100">
        <v>18.470099999999999</v>
      </c>
      <c r="J287" s="99">
        <v>0</v>
      </c>
      <c r="K287" s="99">
        <v>0</v>
      </c>
      <c r="L287" s="165">
        <f>SUM(BabycareRaw[[#This Row],[2022]:[YTD 24]])</f>
        <v>0.59</v>
      </c>
    </row>
    <row r="288" spans="1:12" ht="15" customHeight="1" x14ac:dyDescent="0.2">
      <c r="A288" s="27" t="s">
        <v>749</v>
      </c>
      <c r="B288" s="28" t="s">
        <v>5</v>
      </c>
      <c r="C288" s="28"/>
      <c r="D288" s="29"/>
      <c r="E288" s="68"/>
      <c r="F288" s="101">
        <v>230.7484</v>
      </c>
      <c r="G288" s="102">
        <v>302.06599999999997</v>
      </c>
      <c r="H288" s="103">
        <v>144.0025</v>
      </c>
      <c r="I288" s="104">
        <v>11792.665300000001</v>
      </c>
      <c r="J288" s="103">
        <v>15544.8174</v>
      </c>
      <c r="K288" s="103">
        <v>7126.6583000000001</v>
      </c>
      <c r="L288" s="169">
        <f>SUM(BabycareRaw[[#This Row],[2022]:[YTD 24]])</f>
        <v>676.81690000000003</v>
      </c>
    </row>
    <row r="289" spans="1:12" ht="14.25" customHeight="1" x14ac:dyDescent="0.2">
      <c r="A289" s="30" t="s">
        <v>231</v>
      </c>
      <c r="B289" s="31" t="s">
        <v>6</v>
      </c>
      <c r="C289" s="32"/>
      <c r="D289" s="33"/>
      <c r="E289" s="70"/>
      <c r="F289" s="97">
        <v>0</v>
      </c>
      <c r="G289" s="98">
        <v>3.052</v>
      </c>
      <c r="H289" s="99">
        <v>0.7581</v>
      </c>
      <c r="I289" s="100">
        <v>0</v>
      </c>
      <c r="J289" s="99">
        <v>36.4679</v>
      </c>
      <c r="K289" s="99">
        <v>10.828200000000001</v>
      </c>
      <c r="L289" s="165">
        <f>SUM(BabycareRaw[[#This Row],[2022]:[YTD 24]])</f>
        <v>3.8101000000000003</v>
      </c>
    </row>
    <row r="290" spans="1:12" ht="15" customHeight="1" x14ac:dyDescent="0.2">
      <c r="A290" s="34" t="s">
        <v>232</v>
      </c>
      <c r="B290" s="32" t="s">
        <v>8</v>
      </c>
      <c r="C290" s="32" t="s">
        <v>9</v>
      </c>
      <c r="D290" s="33" t="s">
        <v>69</v>
      </c>
      <c r="E290" s="70" t="s">
        <v>15</v>
      </c>
      <c r="F290" s="97">
        <v>0</v>
      </c>
      <c r="G290" s="98">
        <v>1.1446000000000001</v>
      </c>
      <c r="H290" s="99">
        <v>0.29039999999999999</v>
      </c>
      <c r="I290" s="100">
        <v>0</v>
      </c>
      <c r="J290" s="99">
        <v>11.6808</v>
      </c>
      <c r="K290" s="99">
        <v>3.3864000000000001</v>
      </c>
      <c r="L290" s="165">
        <f>SUM(BabycareRaw[[#This Row],[2022]:[YTD 24]])</f>
        <v>1.4350000000000001</v>
      </c>
    </row>
    <row r="291" spans="1:12" ht="15" customHeight="1" x14ac:dyDescent="0.2">
      <c r="A291" s="34" t="s">
        <v>233</v>
      </c>
      <c r="B291" s="32" t="s">
        <v>8</v>
      </c>
      <c r="C291" s="32" t="s">
        <v>9</v>
      </c>
      <c r="D291" s="33" t="s">
        <v>69</v>
      </c>
      <c r="E291" s="70" t="s">
        <v>15</v>
      </c>
      <c r="F291" s="97">
        <v>0</v>
      </c>
      <c r="G291" s="98">
        <v>0.49220000000000003</v>
      </c>
      <c r="H291" s="99">
        <v>0.1164</v>
      </c>
      <c r="I291" s="100">
        <v>0</v>
      </c>
      <c r="J291" s="99">
        <v>4.2202000000000002</v>
      </c>
      <c r="K291" s="99">
        <v>0.85</v>
      </c>
      <c r="L291" s="165">
        <f>SUM(BabycareRaw[[#This Row],[2022]:[YTD 24]])</f>
        <v>0.60860000000000003</v>
      </c>
    </row>
    <row r="292" spans="1:12" ht="15" customHeight="1" x14ac:dyDescent="0.2">
      <c r="A292" s="34" t="s">
        <v>234</v>
      </c>
      <c r="B292" s="32" t="s">
        <v>8</v>
      </c>
      <c r="C292" s="32" t="s">
        <v>9</v>
      </c>
      <c r="D292" s="33" t="s">
        <v>20</v>
      </c>
      <c r="E292" s="70" t="s">
        <v>15</v>
      </c>
      <c r="F292" s="97">
        <v>0</v>
      </c>
      <c r="G292" s="98">
        <v>1.4152</v>
      </c>
      <c r="H292" s="99">
        <v>0.3513</v>
      </c>
      <c r="I292" s="100">
        <v>0</v>
      </c>
      <c r="J292" s="99">
        <v>20.5671</v>
      </c>
      <c r="K292" s="99">
        <v>6.5918999999999999</v>
      </c>
      <c r="L292" s="165">
        <f>SUM(BabycareRaw[[#This Row],[2022]:[YTD 24]])</f>
        <v>1.7665</v>
      </c>
    </row>
    <row r="293" spans="1:12" ht="15" customHeight="1" x14ac:dyDescent="0.2">
      <c r="A293" s="30" t="s">
        <v>235</v>
      </c>
      <c r="B293" s="31" t="s">
        <v>6</v>
      </c>
      <c r="C293" s="32"/>
      <c r="D293" s="33"/>
      <c r="E293" s="70"/>
      <c r="F293" s="97">
        <v>230.7484</v>
      </c>
      <c r="G293" s="98">
        <v>299.01389999999998</v>
      </c>
      <c r="H293" s="99">
        <v>143.24440000000001</v>
      </c>
      <c r="I293" s="100">
        <v>11792.665300000001</v>
      </c>
      <c r="J293" s="99">
        <v>15508.3496</v>
      </c>
      <c r="K293" s="99">
        <v>7115.8298999999997</v>
      </c>
      <c r="L293" s="165">
        <f>SUM(BabycareRaw[[#This Row],[2022]:[YTD 24]])</f>
        <v>673.00670000000002</v>
      </c>
    </row>
    <row r="294" spans="1:12" ht="15" customHeight="1" x14ac:dyDescent="0.2">
      <c r="A294" s="34" t="s">
        <v>236</v>
      </c>
      <c r="B294" s="32" t="s">
        <v>8</v>
      </c>
      <c r="C294" s="32" t="s">
        <v>9</v>
      </c>
      <c r="D294" s="33" t="s">
        <v>10</v>
      </c>
      <c r="E294" s="70" t="s">
        <v>24</v>
      </c>
      <c r="F294" s="97">
        <v>6.1999999999999998E-3</v>
      </c>
      <c r="G294" s="98">
        <v>21.155899999999999</v>
      </c>
      <c r="H294" s="99">
        <v>10.029400000000001</v>
      </c>
      <c r="I294" s="100">
        <v>0.32569999999999999</v>
      </c>
      <c r="J294" s="99">
        <v>1092.0349000000001</v>
      </c>
      <c r="K294" s="99">
        <v>489.28280000000001</v>
      </c>
      <c r="L294" s="165">
        <f>SUM(BabycareRaw[[#This Row],[2022]:[YTD 24]])</f>
        <v>31.191499999999998</v>
      </c>
    </row>
    <row r="295" spans="1:12" ht="15" customHeight="1" x14ac:dyDescent="0.2">
      <c r="A295" s="34" t="s">
        <v>237</v>
      </c>
      <c r="B295" s="32" t="s">
        <v>8</v>
      </c>
      <c r="C295" s="32" t="s">
        <v>9</v>
      </c>
      <c r="D295" s="33" t="s">
        <v>10</v>
      </c>
      <c r="E295" s="70" t="s">
        <v>42</v>
      </c>
      <c r="F295" s="97">
        <v>230.74209999999999</v>
      </c>
      <c r="G295" s="98">
        <v>277.85789999999997</v>
      </c>
      <c r="H295" s="99">
        <v>133.2149</v>
      </c>
      <c r="I295" s="100">
        <v>11792.3397</v>
      </c>
      <c r="J295" s="99">
        <v>14416.314700000001</v>
      </c>
      <c r="K295" s="99">
        <v>6626.5474000000004</v>
      </c>
      <c r="L295" s="165">
        <f>SUM(BabycareRaw[[#This Row],[2022]:[YTD 24]])</f>
        <v>641.81489999999997</v>
      </c>
    </row>
    <row r="296" spans="1:12" ht="15" customHeight="1" x14ac:dyDescent="0.2">
      <c r="A296" s="27" t="s">
        <v>750</v>
      </c>
      <c r="B296" s="28" t="s">
        <v>5</v>
      </c>
      <c r="C296" s="28"/>
      <c r="D296" s="29"/>
      <c r="E296" s="68"/>
      <c r="F296" s="101">
        <v>332.01650000000001</v>
      </c>
      <c r="G296" s="102">
        <v>406.09359999999998</v>
      </c>
      <c r="H296" s="103">
        <v>185.505</v>
      </c>
      <c r="I296" s="104">
        <v>9811.9591</v>
      </c>
      <c r="J296" s="103">
        <v>12002.149100000001</v>
      </c>
      <c r="K296" s="103">
        <v>5143.8028000000004</v>
      </c>
      <c r="L296" s="169">
        <f>SUM(BabycareRaw[[#This Row],[2022]:[YTD 24]])</f>
        <v>923.61509999999998</v>
      </c>
    </row>
    <row r="297" spans="1:12" ht="14.25" customHeight="1" x14ac:dyDescent="0.2">
      <c r="A297" s="30" t="s">
        <v>238</v>
      </c>
      <c r="B297" s="31" t="s">
        <v>6</v>
      </c>
      <c r="C297" s="32"/>
      <c r="D297" s="33"/>
      <c r="E297" s="70"/>
      <c r="F297" s="97">
        <v>332.01650000000001</v>
      </c>
      <c r="G297" s="98">
        <v>406.09359999999998</v>
      </c>
      <c r="H297" s="99">
        <v>185.505</v>
      </c>
      <c r="I297" s="100">
        <v>9811.9591</v>
      </c>
      <c r="J297" s="99">
        <v>12002.149100000001</v>
      </c>
      <c r="K297" s="99">
        <v>5143.8028000000004</v>
      </c>
      <c r="L297" s="165">
        <f>SUM(BabycareRaw[[#This Row],[2022]:[YTD 24]])</f>
        <v>923.61509999999998</v>
      </c>
    </row>
    <row r="298" spans="1:12" ht="15" customHeight="1" x14ac:dyDescent="0.2">
      <c r="A298" s="34" t="s">
        <v>239</v>
      </c>
      <c r="B298" s="32" t="s">
        <v>8</v>
      </c>
      <c r="C298" s="32" t="s">
        <v>9</v>
      </c>
      <c r="D298" s="33" t="s">
        <v>64</v>
      </c>
      <c r="E298" s="70" t="s">
        <v>32</v>
      </c>
      <c r="F298" s="97">
        <v>0</v>
      </c>
      <c r="G298" s="98">
        <v>0</v>
      </c>
      <c r="H298" s="99">
        <v>0</v>
      </c>
      <c r="I298" s="100">
        <v>0</v>
      </c>
      <c r="J298" s="99">
        <v>0</v>
      </c>
      <c r="K298" s="99">
        <v>0</v>
      </c>
      <c r="L298" s="165">
        <f>SUM(BabycareRaw[[#This Row],[2022]:[YTD 24]])</f>
        <v>0</v>
      </c>
    </row>
    <row r="299" spans="1:12" ht="15" customHeight="1" x14ac:dyDescent="0.2">
      <c r="A299" s="34" t="s">
        <v>240</v>
      </c>
      <c r="B299" s="32" t="s">
        <v>8</v>
      </c>
      <c r="C299" s="32" t="s">
        <v>9</v>
      </c>
      <c r="D299" s="33" t="s">
        <v>20</v>
      </c>
      <c r="E299" s="70" t="s">
        <v>15</v>
      </c>
      <c r="F299" s="97">
        <v>0.37059999999999998</v>
      </c>
      <c r="G299" s="98">
        <v>0.24890000000000001</v>
      </c>
      <c r="H299" s="99">
        <v>0</v>
      </c>
      <c r="I299" s="100">
        <v>9.2727000000000004</v>
      </c>
      <c r="J299" s="99">
        <v>7.0415000000000001</v>
      </c>
      <c r="K299" s="99">
        <v>0</v>
      </c>
      <c r="L299" s="165">
        <f>SUM(BabycareRaw[[#This Row],[2022]:[YTD 24]])</f>
        <v>0.61949999999999994</v>
      </c>
    </row>
    <row r="300" spans="1:12" ht="15" customHeight="1" x14ac:dyDescent="0.2">
      <c r="A300" s="34" t="s">
        <v>241</v>
      </c>
      <c r="B300" s="32" t="s">
        <v>8</v>
      </c>
      <c r="C300" s="32" t="s">
        <v>9</v>
      </c>
      <c r="D300" s="33" t="s">
        <v>20</v>
      </c>
      <c r="E300" s="70" t="s">
        <v>99</v>
      </c>
      <c r="F300" s="97">
        <v>29.4162</v>
      </c>
      <c r="G300" s="98">
        <v>107.9663</v>
      </c>
      <c r="H300" s="99">
        <v>52.6723</v>
      </c>
      <c r="I300" s="100">
        <v>866.39819999999997</v>
      </c>
      <c r="J300" s="99">
        <v>3176.0981999999999</v>
      </c>
      <c r="K300" s="99">
        <v>1396.3396</v>
      </c>
      <c r="L300" s="165">
        <f>SUM(BabycareRaw[[#This Row],[2022]:[YTD 24]])</f>
        <v>190.0548</v>
      </c>
    </row>
    <row r="301" spans="1:12" ht="15" customHeight="1" x14ac:dyDescent="0.2">
      <c r="A301" s="34" t="s">
        <v>242</v>
      </c>
      <c r="B301" s="32" t="s">
        <v>8</v>
      </c>
      <c r="C301" s="32" t="s">
        <v>9</v>
      </c>
      <c r="D301" s="33" t="s">
        <v>20</v>
      </c>
      <c r="E301" s="70" t="s">
        <v>99</v>
      </c>
      <c r="F301" s="97">
        <v>2.2702</v>
      </c>
      <c r="G301" s="98">
        <v>6.8476999999999997</v>
      </c>
      <c r="H301" s="99">
        <v>4.3963000000000001</v>
      </c>
      <c r="I301" s="100">
        <v>71.277600000000007</v>
      </c>
      <c r="J301" s="99">
        <v>210.60059999999999</v>
      </c>
      <c r="K301" s="99">
        <v>121.2728</v>
      </c>
      <c r="L301" s="165">
        <f>SUM(BabycareRaw[[#This Row],[2022]:[YTD 24]])</f>
        <v>13.514199999999999</v>
      </c>
    </row>
    <row r="302" spans="1:12" ht="15" customHeight="1" x14ac:dyDescent="0.2">
      <c r="A302" s="34" t="s">
        <v>243</v>
      </c>
      <c r="B302" s="32" t="s">
        <v>8</v>
      </c>
      <c r="C302" s="32" t="s">
        <v>9</v>
      </c>
      <c r="D302" s="33" t="s">
        <v>20</v>
      </c>
      <c r="E302" s="70" t="s">
        <v>99</v>
      </c>
      <c r="F302" s="97">
        <v>296.26589999999999</v>
      </c>
      <c r="G302" s="98">
        <v>290.55259999999998</v>
      </c>
      <c r="H302" s="99">
        <v>128.1713</v>
      </c>
      <c r="I302" s="100">
        <v>8749.3634000000002</v>
      </c>
      <c r="J302" s="99">
        <v>8593.8201000000008</v>
      </c>
      <c r="K302" s="99">
        <v>3618.6093999999998</v>
      </c>
      <c r="L302" s="165">
        <f>SUM(BabycareRaw[[#This Row],[2022]:[YTD 24]])</f>
        <v>714.98979999999995</v>
      </c>
    </row>
    <row r="303" spans="1:12" ht="15" customHeight="1" x14ac:dyDescent="0.2">
      <c r="A303" s="34" t="s">
        <v>244</v>
      </c>
      <c r="B303" s="32" t="s">
        <v>8</v>
      </c>
      <c r="C303" s="32" t="s">
        <v>9</v>
      </c>
      <c r="D303" s="33" t="s">
        <v>20</v>
      </c>
      <c r="E303" s="70" t="s">
        <v>99</v>
      </c>
      <c r="F303" s="97">
        <v>2.9716999999999998</v>
      </c>
      <c r="G303" s="98">
        <v>0.47810000000000002</v>
      </c>
      <c r="H303" s="99">
        <v>0.26490000000000002</v>
      </c>
      <c r="I303" s="100">
        <v>93.2804</v>
      </c>
      <c r="J303" s="99">
        <v>14.5885</v>
      </c>
      <c r="K303" s="99">
        <v>7.5808999999999997</v>
      </c>
      <c r="L303" s="165">
        <f>SUM(BabycareRaw[[#This Row],[2022]:[YTD 24]])</f>
        <v>3.7146999999999997</v>
      </c>
    </row>
    <row r="304" spans="1:12" ht="15" customHeight="1" x14ac:dyDescent="0.2">
      <c r="A304" s="34" t="s">
        <v>245</v>
      </c>
      <c r="B304" s="32" t="s">
        <v>8</v>
      </c>
      <c r="C304" s="32" t="s">
        <v>9</v>
      </c>
      <c r="D304" s="33" t="s">
        <v>20</v>
      </c>
      <c r="E304" s="70" t="s">
        <v>123</v>
      </c>
      <c r="F304" s="97">
        <v>0.21840000000000001</v>
      </c>
      <c r="G304" s="98">
        <v>0</v>
      </c>
      <c r="H304" s="99">
        <v>0</v>
      </c>
      <c r="I304" s="100">
        <v>7.3784000000000001</v>
      </c>
      <c r="J304" s="99">
        <v>0</v>
      </c>
      <c r="K304" s="99">
        <v>0</v>
      </c>
      <c r="L304" s="165">
        <f>SUM(BabycareRaw[[#This Row],[2022]:[YTD 24]])</f>
        <v>0.21840000000000001</v>
      </c>
    </row>
    <row r="305" spans="1:12" ht="15" customHeight="1" x14ac:dyDescent="0.2">
      <c r="A305" s="34" t="s">
        <v>246</v>
      </c>
      <c r="B305" s="32" t="s">
        <v>8</v>
      </c>
      <c r="C305" s="32" t="s">
        <v>9</v>
      </c>
      <c r="D305" s="33" t="s">
        <v>10</v>
      </c>
      <c r="E305" s="70" t="s">
        <v>123</v>
      </c>
      <c r="F305" s="97">
        <v>0.50360000000000005</v>
      </c>
      <c r="G305" s="98">
        <v>0</v>
      </c>
      <c r="H305" s="99">
        <v>0</v>
      </c>
      <c r="I305" s="100">
        <v>14.988200000000001</v>
      </c>
      <c r="J305" s="99">
        <v>0</v>
      </c>
      <c r="K305" s="99">
        <v>0</v>
      </c>
      <c r="L305" s="165">
        <f>SUM(BabycareRaw[[#This Row],[2022]:[YTD 24]])</f>
        <v>0.50360000000000005</v>
      </c>
    </row>
    <row r="306" spans="1:12" ht="15" customHeight="1" x14ac:dyDescent="0.2">
      <c r="A306" s="27" t="s">
        <v>751</v>
      </c>
      <c r="B306" s="28" t="s">
        <v>5</v>
      </c>
      <c r="C306" s="28"/>
      <c r="D306" s="29"/>
      <c r="E306" s="68"/>
      <c r="F306" s="101">
        <v>4.0102000000000002</v>
      </c>
      <c r="G306" s="102">
        <v>6.6558000000000002</v>
      </c>
      <c r="H306" s="103">
        <v>0</v>
      </c>
      <c r="I306" s="104">
        <v>83.551900000000003</v>
      </c>
      <c r="J306" s="103">
        <v>115.5257</v>
      </c>
      <c r="K306" s="103">
        <v>0</v>
      </c>
      <c r="L306" s="169">
        <f>SUM(BabycareRaw[[#This Row],[2022]:[YTD 24]])</f>
        <v>10.666</v>
      </c>
    </row>
    <row r="307" spans="1:12" ht="14.25" customHeight="1" x14ac:dyDescent="0.2">
      <c r="A307" s="30" t="s">
        <v>247</v>
      </c>
      <c r="B307" s="31" t="s">
        <v>6</v>
      </c>
      <c r="C307" s="32"/>
      <c r="D307" s="33"/>
      <c r="E307" s="70"/>
      <c r="F307" s="97">
        <v>4.0102000000000002</v>
      </c>
      <c r="G307" s="98">
        <v>6.6558000000000002</v>
      </c>
      <c r="H307" s="99">
        <v>0</v>
      </c>
      <c r="I307" s="100">
        <v>83.551900000000003</v>
      </c>
      <c r="J307" s="99">
        <v>115.5257</v>
      </c>
      <c r="K307" s="99">
        <v>0</v>
      </c>
      <c r="L307" s="165">
        <f>SUM(BabycareRaw[[#This Row],[2022]:[YTD 24]])</f>
        <v>10.666</v>
      </c>
    </row>
    <row r="308" spans="1:12" ht="15" customHeight="1" x14ac:dyDescent="0.2">
      <c r="A308" s="34" t="s">
        <v>248</v>
      </c>
      <c r="B308" s="32" t="s">
        <v>8</v>
      </c>
      <c r="C308" s="32" t="s">
        <v>9</v>
      </c>
      <c r="D308" s="33" t="s">
        <v>249</v>
      </c>
      <c r="E308" s="70" t="s">
        <v>11</v>
      </c>
      <c r="F308" s="97">
        <v>0.17610000000000001</v>
      </c>
      <c r="G308" s="98">
        <v>1.0699999999999999E-2</v>
      </c>
      <c r="H308" s="99">
        <v>0</v>
      </c>
      <c r="I308" s="100">
        <v>3.1602000000000001</v>
      </c>
      <c r="J308" s="99">
        <v>0.19450000000000001</v>
      </c>
      <c r="K308" s="99">
        <v>0</v>
      </c>
      <c r="L308" s="165">
        <f>SUM(BabycareRaw[[#This Row],[2022]:[YTD 24]])</f>
        <v>0.18679999999999999</v>
      </c>
    </row>
    <row r="309" spans="1:12" ht="15" customHeight="1" x14ac:dyDescent="0.2">
      <c r="A309" s="34" t="s">
        <v>250</v>
      </c>
      <c r="B309" s="32" t="s">
        <v>8</v>
      </c>
      <c r="C309" s="32" t="s">
        <v>9</v>
      </c>
      <c r="D309" s="33" t="s">
        <v>249</v>
      </c>
      <c r="E309" s="70" t="s">
        <v>11</v>
      </c>
      <c r="F309" s="97">
        <v>0.50239999999999996</v>
      </c>
      <c r="G309" s="98">
        <v>6.6451000000000002</v>
      </c>
      <c r="H309" s="99">
        <v>0</v>
      </c>
      <c r="I309" s="100">
        <v>10.56</v>
      </c>
      <c r="J309" s="99">
        <v>115.3312</v>
      </c>
      <c r="K309" s="99">
        <v>0</v>
      </c>
      <c r="L309" s="165">
        <f>SUM(BabycareRaw[[#This Row],[2022]:[YTD 24]])</f>
        <v>7.1475</v>
      </c>
    </row>
    <row r="310" spans="1:12" ht="15" customHeight="1" x14ac:dyDescent="0.2">
      <c r="A310" s="34" t="s">
        <v>251</v>
      </c>
      <c r="B310" s="32" t="s">
        <v>8</v>
      </c>
      <c r="C310" s="32" t="s">
        <v>9</v>
      </c>
      <c r="D310" s="33" t="s">
        <v>249</v>
      </c>
      <c r="E310" s="70" t="s">
        <v>34</v>
      </c>
      <c r="F310" s="97">
        <v>0.31990000000000002</v>
      </c>
      <c r="G310" s="98">
        <v>0</v>
      </c>
      <c r="H310" s="99">
        <v>0</v>
      </c>
      <c r="I310" s="100">
        <v>7.3638000000000003</v>
      </c>
      <c r="J310" s="99">
        <v>0</v>
      </c>
      <c r="K310" s="99">
        <v>0</v>
      </c>
      <c r="L310" s="165">
        <f>SUM(BabycareRaw[[#This Row],[2022]:[YTD 24]])</f>
        <v>0.31990000000000002</v>
      </c>
    </row>
    <row r="311" spans="1:12" ht="15" customHeight="1" x14ac:dyDescent="0.2">
      <c r="A311" s="34" t="s">
        <v>252</v>
      </c>
      <c r="B311" s="32" t="s">
        <v>8</v>
      </c>
      <c r="C311" s="32" t="s">
        <v>9</v>
      </c>
      <c r="D311" s="33" t="s">
        <v>249</v>
      </c>
      <c r="E311" s="70" t="s">
        <v>34</v>
      </c>
      <c r="F311" s="97">
        <v>3.0116000000000001</v>
      </c>
      <c r="G311" s="98">
        <v>0</v>
      </c>
      <c r="H311" s="99">
        <v>0</v>
      </c>
      <c r="I311" s="100">
        <v>62.468000000000004</v>
      </c>
      <c r="J311" s="99">
        <v>0</v>
      </c>
      <c r="K311" s="99">
        <v>0</v>
      </c>
      <c r="L311" s="165">
        <f>SUM(BabycareRaw[[#This Row],[2022]:[YTD 24]])</f>
        <v>3.0116000000000001</v>
      </c>
    </row>
    <row r="312" spans="1:12" ht="15" customHeight="1" x14ac:dyDescent="0.2">
      <c r="A312" s="27" t="s">
        <v>752</v>
      </c>
      <c r="B312" s="28" t="s">
        <v>5</v>
      </c>
      <c r="C312" s="28"/>
      <c r="D312" s="29"/>
      <c r="E312" s="68"/>
      <c r="F312" s="101">
        <v>113.4864</v>
      </c>
      <c r="G312" s="102">
        <v>49.046199999999999</v>
      </c>
      <c r="H312" s="103">
        <v>12.333</v>
      </c>
      <c r="I312" s="104">
        <v>2663.5762</v>
      </c>
      <c r="J312" s="103">
        <v>1050.6376</v>
      </c>
      <c r="K312" s="103">
        <v>244.38679999999999</v>
      </c>
      <c r="L312" s="169">
        <f>SUM(BabycareRaw[[#This Row],[2022]:[YTD 24]])</f>
        <v>174.8656</v>
      </c>
    </row>
    <row r="313" spans="1:12" ht="14.25" customHeight="1" x14ac:dyDescent="0.2">
      <c r="A313" s="30" t="s">
        <v>253</v>
      </c>
      <c r="B313" s="31" t="s">
        <v>6</v>
      </c>
      <c r="C313" s="32"/>
      <c r="D313" s="33"/>
      <c r="E313" s="70"/>
      <c r="F313" s="97">
        <v>113.4864</v>
      </c>
      <c r="G313" s="98">
        <v>49.046199999999999</v>
      </c>
      <c r="H313" s="99">
        <v>12.333</v>
      </c>
      <c r="I313" s="100">
        <v>2663.5762</v>
      </c>
      <c r="J313" s="99">
        <v>1050.6376</v>
      </c>
      <c r="K313" s="99">
        <v>244.38679999999999</v>
      </c>
      <c r="L313" s="165">
        <f>SUM(BabycareRaw[[#This Row],[2022]:[YTD 24]])</f>
        <v>174.8656</v>
      </c>
    </row>
    <row r="314" spans="1:12" ht="15" customHeight="1" x14ac:dyDescent="0.2">
      <c r="A314" s="34" t="s">
        <v>254</v>
      </c>
      <c r="B314" s="32" t="s">
        <v>8</v>
      </c>
      <c r="C314" s="32" t="s">
        <v>9</v>
      </c>
      <c r="D314" s="33" t="s">
        <v>20</v>
      </c>
      <c r="E314" s="70" t="s">
        <v>13</v>
      </c>
      <c r="F314" s="97">
        <v>1.7111000000000001</v>
      </c>
      <c r="G314" s="98">
        <v>0.48920000000000002</v>
      </c>
      <c r="H314" s="99">
        <v>7.6600000000000001E-2</v>
      </c>
      <c r="I314" s="100">
        <v>14.330299999999999</v>
      </c>
      <c r="J314" s="99">
        <v>3.8454999999999999</v>
      </c>
      <c r="K314" s="99">
        <v>0.62309999999999999</v>
      </c>
      <c r="L314" s="165">
        <f>SUM(BabycareRaw[[#This Row],[2022]:[YTD 24]])</f>
        <v>2.2768999999999999</v>
      </c>
    </row>
    <row r="315" spans="1:12" ht="15" customHeight="1" x14ac:dyDescent="0.2">
      <c r="A315" s="34" t="s">
        <v>255</v>
      </c>
      <c r="B315" s="32" t="s">
        <v>8</v>
      </c>
      <c r="C315" s="32" t="s">
        <v>9</v>
      </c>
      <c r="D315" s="33" t="s">
        <v>64</v>
      </c>
      <c r="E315" s="70" t="s">
        <v>256</v>
      </c>
      <c r="F315" s="97">
        <v>88.057900000000004</v>
      </c>
      <c r="G315" s="98">
        <v>26.767399999999999</v>
      </c>
      <c r="H315" s="99">
        <v>2.3372999999999999</v>
      </c>
      <c r="I315" s="100">
        <v>2166.7952</v>
      </c>
      <c r="J315" s="99">
        <v>614.64589999999998</v>
      </c>
      <c r="K315" s="99">
        <v>48.202599999999997</v>
      </c>
      <c r="L315" s="165">
        <f>SUM(BabycareRaw[[#This Row],[2022]:[YTD 24]])</f>
        <v>117.1626</v>
      </c>
    </row>
    <row r="316" spans="1:12" ht="15" customHeight="1" x14ac:dyDescent="0.2">
      <c r="A316" s="34" t="s">
        <v>257</v>
      </c>
      <c r="B316" s="32" t="s">
        <v>8</v>
      </c>
      <c r="C316" s="32" t="s">
        <v>9</v>
      </c>
      <c r="D316" s="33" t="s">
        <v>10</v>
      </c>
      <c r="E316" s="70" t="s">
        <v>34</v>
      </c>
      <c r="F316" s="97">
        <v>1.0826</v>
      </c>
      <c r="G316" s="98">
        <v>0.79220000000000002</v>
      </c>
      <c r="H316" s="99">
        <v>0</v>
      </c>
      <c r="I316" s="100">
        <v>19.760000000000002</v>
      </c>
      <c r="J316" s="99">
        <v>17.024000000000001</v>
      </c>
      <c r="K316" s="99">
        <v>0</v>
      </c>
      <c r="L316" s="165">
        <f>SUM(BabycareRaw[[#This Row],[2022]:[YTD 24]])</f>
        <v>1.8748</v>
      </c>
    </row>
    <row r="317" spans="1:12" ht="15" customHeight="1" x14ac:dyDescent="0.2">
      <c r="A317" s="34" t="s">
        <v>258</v>
      </c>
      <c r="B317" s="32" t="s">
        <v>8</v>
      </c>
      <c r="C317" s="32" t="s">
        <v>9</v>
      </c>
      <c r="D317" s="33" t="s">
        <v>20</v>
      </c>
      <c r="E317" s="70" t="s">
        <v>34</v>
      </c>
      <c r="F317" s="97">
        <v>0.44109999999999999</v>
      </c>
      <c r="G317" s="98">
        <v>0.41260000000000002</v>
      </c>
      <c r="H317" s="99">
        <v>4.5600000000000002E-2</v>
      </c>
      <c r="I317" s="100">
        <v>8.4567999999999994</v>
      </c>
      <c r="J317" s="99">
        <v>6.601</v>
      </c>
      <c r="K317" s="99">
        <v>0.72929999999999995</v>
      </c>
      <c r="L317" s="165">
        <f>SUM(BabycareRaw[[#This Row],[2022]:[YTD 24]])</f>
        <v>0.89929999999999999</v>
      </c>
    </row>
    <row r="318" spans="1:12" ht="15" customHeight="1" x14ac:dyDescent="0.2">
      <c r="A318" s="34" t="s">
        <v>259</v>
      </c>
      <c r="B318" s="32" t="s">
        <v>8</v>
      </c>
      <c r="C318" s="32" t="s">
        <v>9</v>
      </c>
      <c r="D318" s="33" t="s">
        <v>64</v>
      </c>
      <c r="E318" s="70" t="s">
        <v>34</v>
      </c>
      <c r="F318" s="97">
        <v>2.1700000000000001E-2</v>
      </c>
      <c r="G318" s="98">
        <v>0</v>
      </c>
      <c r="H318" s="99">
        <v>0</v>
      </c>
      <c r="I318" s="100">
        <v>0.48470000000000002</v>
      </c>
      <c r="J318" s="99">
        <v>0</v>
      </c>
      <c r="K318" s="99">
        <v>0</v>
      </c>
      <c r="L318" s="165">
        <f>SUM(BabycareRaw[[#This Row],[2022]:[YTD 24]])</f>
        <v>2.1700000000000001E-2</v>
      </c>
    </row>
    <row r="319" spans="1:12" ht="15" customHeight="1" x14ac:dyDescent="0.2">
      <c r="A319" s="34" t="s">
        <v>260</v>
      </c>
      <c r="B319" s="32" t="s">
        <v>8</v>
      </c>
      <c r="C319" s="32" t="s">
        <v>9</v>
      </c>
      <c r="D319" s="33" t="s">
        <v>20</v>
      </c>
      <c r="E319" s="70" t="s">
        <v>34</v>
      </c>
      <c r="F319" s="97">
        <v>1.675</v>
      </c>
      <c r="G319" s="98">
        <v>2.4634999999999998</v>
      </c>
      <c r="H319" s="99">
        <v>0.86060000000000003</v>
      </c>
      <c r="I319" s="100">
        <v>31.331099999999999</v>
      </c>
      <c r="J319" s="99">
        <v>43.584000000000003</v>
      </c>
      <c r="K319" s="99">
        <v>15.645899999999999</v>
      </c>
      <c r="L319" s="165">
        <f>SUM(BabycareRaw[[#This Row],[2022]:[YTD 24]])</f>
        <v>4.9990999999999994</v>
      </c>
    </row>
    <row r="320" spans="1:12" ht="15" customHeight="1" x14ac:dyDescent="0.2">
      <c r="A320" s="34" t="s">
        <v>261</v>
      </c>
      <c r="B320" s="32" t="s">
        <v>8</v>
      </c>
      <c r="C320" s="32" t="s">
        <v>9</v>
      </c>
      <c r="D320" s="33" t="s">
        <v>20</v>
      </c>
      <c r="E320" s="70" t="s">
        <v>34</v>
      </c>
      <c r="F320" s="97">
        <v>9.3126999999999995</v>
      </c>
      <c r="G320" s="98">
        <v>6.4108999999999998</v>
      </c>
      <c r="H320" s="99">
        <v>5.0708000000000002</v>
      </c>
      <c r="I320" s="100">
        <v>206.11410000000001</v>
      </c>
      <c r="J320" s="99">
        <v>126.16</v>
      </c>
      <c r="K320" s="99">
        <v>101.6622</v>
      </c>
      <c r="L320" s="165">
        <f>SUM(BabycareRaw[[#This Row],[2022]:[YTD 24]])</f>
        <v>20.7944</v>
      </c>
    </row>
    <row r="321" spans="1:12" ht="15" customHeight="1" x14ac:dyDescent="0.2">
      <c r="A321" s="34" t="s">
        <v>262</v>
      </c>
      <c r="B321" s="32" t="s">
        <v>8</v>
      </c>
      <c r="C321" s="32" t="s">
        <v>9</v>
      </c>
      <c r="D321" s="33" t="s">
        <v>20</v>
      </c>
      <c r="E321" s="70" t="s">
        <v>34</v>
      </c>
      <c r="F321" s="97">
        <v>11.1845</v>
      </c>
      <c r="G321" s="98">
        <v>11.7105</v>
      </c>
      <c r="H321" s="99">
        <v>3.9420000000000002</v>
      </c>
      <c r="I321" s="100">
        <v>216.30410000000001</v>
      </c>
      <c r="J321" s="99">
        <v>238.77709999999999</v>
      </c>
      <c r="K321" s="99">
        <v>77.523899999999998</v>
      </c>
      <c r="L321" s="165">
        <f>SUM(BabycareRaw[[#This Row],[2022]:[YTD 24]])</f>
        <v>26.837</v>
      </c>
    </row>
    <row r="322" spans="1:12" ht="15" customHeight="1" x14ac:dyDescent="0.2">
      <c r="A322" s="27" t="s">
        <v>753</v>
      </c>
      <c r="B322" s="28" t="s">
        <v>5</v>
      </c>
      <c r="C322" s="28"/>
      <c r="D322" s="29"/>
      <c r="E322" s="68"/>
      <c r="F322" s="101">
        <v>6.6299999999999998E-2</v>
      </c>
      <c r="G322" s="102">
        <v>0.12959999999999999</v>
      </c>
      <c r="H322" s="103">
        <v>7.1499999999999994E-2</v>
      </c>
      <c r="I322" s="104">
        <v>0.504</v>
      </c>
      <c r="J322" s="103">
        <v>0.91539999999999999</v>
      </c>
      <c r="K322" s="103">
        <v>0.52459999999999996</v>
      </c>
      <c r="L322" s="169">
        <f>SUM(BabycareRaw[[#This Row],[2022]:[YTD 24]])</f>
        <v>0.26739999999999997</v>
      </c>
    </row>
    <row r="323" spans="1:12" ht="14.25" customHeight="1" x14ac:dyDescent="0.2">
      <c r="A323" s="30" t="s">
        <v>263</v>
      </c>
      <c r="B323" s="31" t="s">
        <v>6</v>
      </c>
      <c r="C323" s="32"/>
      <c r="D323" s="33"/>
      <c r="E323" s="70"/>
      <c r="F323" s="97">
        <v>6.6299999999999998E-2</v>
      </c>
      <c r="G323" s="98">
        <v>0.12959999999999999</v>
      </c>
      <c r="H323" s="99">
        <v>7.1499999999999994E-2</v>
      </c>
      <c r="I323" s="100">
        <v>0.504</v>
      </c>
      <c r="J323" s="99">
        <v>0.91539999999999999</v>
      </c>
      <c r="K323" s="99">
        <v>0.52459999999999996</v>
      </c>
      <c r="L323" s="165">
        <f>SUM(BabycareRaw[[#This Row],[2022]:[YTD 24]])</f>
        <v>0.26739999999999997</v>
      </c>
    </row>
    <row r="324" spans="1:12" ht="15" customHeight="1" x14ac:dyDescent="0.2">
      <c r="A324" s="34" t="s">
        <v>264</v>
      </c>
      <c r="B324" s="32" t="s">
        <v>8</v>
      </c>
      <c r="C324" s="32" t="s">
        <v>9</v>
      </c>
      <c r="D324" s="33" t="s">
        <v>69</v>
      </c>
      <c r="E324" s="70" t="s">
        <v>42</v>
      </c>
      <c r="F324" s="97">
        <v>6.6299999999999998E-2</v>
      </c>
      <c r="G324" s="98">
        <v>0.12959999999999999</v>
      </c>
      <c r="H324" s="99">
        <v>7.1499999999999994E-2</v>
      </c>
      <c r="I324" s="100">
        <v>0.504</v>
      </c>
      <c r="J324" s="99">
        <v>0.91539999999999999</v>
      </c>
      <c r="K324" s="99">
        <v>0.52459999999999996</v>
      </c>
      <c r="L324" s="165">
        <f>SUM(BabycareRaw[[#This Row],[2022]:[YTD 24]])</f>
        <v>0.26739999999999997</v>
      </c>
    </row>
    <row r="325" spans="1:12" ht="15" customHeight="1" x14ac:dyDescent="0.2">
      <c r="A325" s="27" t="s">
        <v>754</v>
      </c>
      <c r="B325" s="28" t="s">
        <v>5</v>
      </c>
      <c r="C325" s="28"/>
      <c r="D325" s="29"/>
      <c r="E325" s="68"/>
      <c r="F325" s="101">
        <v>220.27789999999999</v>
      </c>
      <c r="G325" s="102">
        <v>271.99849999999998</v>
      </c>
      <c r="H325" s="103">
        <v>141.2388</v>
      </c>
      <c r="I325" s="104">
        <v>1748.9223999999999</v>
      </c>
      <c r="J325" s="103">
        <v>2358.5315000000001</v>
      </c>
      <c r="K325" s="103">
        <v>1240.7411999999999</v>
      </c>
      <c r="L325" s="169">
        <f>SUM(BabycareRaw[[#This Row],[2022]:[YTD 24]])</f>
        <v>633.51519999999994</v>
      </c>
    </row>
    <row r="326" spans="1:12" ht="14.25" customHeight="1" x14ac:dyDescent="0.2">
      <c r="A326" s="30" t="s">
        <v>265</v>
      </c>
      <c r="B326" s="31" t="s">
        <v>6</v>
      </c>
      <c r="C326" s="32"/>
      <c r="D326" s="33"/>
      <c r="E326" s="70"/>
      <c r="F326" s="97">
        <v>220.27789999999999</v>
      </c>
      <c r="G326" s="98">
        <v>271.99849999999998</v>
      </c>
      <c r="H326" s="99">
        <v>141.2388</v>
      </c>
      <c r="I326" s="100">
        <v>1748.9223999999999</v>
      </c>
      <c r="J326" s="99">
        <v>2358.5315000000001</v>
      </c>
      <c r="K326" s="99">
        <v>1240.7411999999999</v>
      </c>
      <c r="L326" s="165">
        <f>SUM(BabycareRaw[[#This Row],[2022]:[YTD 24]])</f>
        <v>633.51519999999994</v>
      </c>
    </row>
    <row r="327" spans="1:12" ht="15" customHeight="1" x14ac:dyDescent="0.2">
      <c r="A327" s="34" t="s">
        <v>266</v>
      </c>
      <c r="B327" s="32" t="s">
        <v>8</v>
      </c>
      <c r="C327" s="32" t="s">
        <v>9</v>
      </c>
      <c r="D327" s="33" t="s">
        <v>10</v>
      </c>
      <c r="E327" s="70" t="s">
        <v>13</v>
      </c>
      <c r="F327" s="97">
        <v>0.61529999999999996</v>
      </c>
      <c r="G327" s="98">
        <v>0.502</v>
      </c>
      <c r="H327" s="99">
        <v>4.99E-2</v>
      </c>
      <c r="I327" s="100">
        <v>4.0616000000000003</v>
      </c>
      <c r="J327" s="99">
        <v>3.2562000000000002</v>
      </c>
      <c r="K327" s="99">
        <v>0.25269999999999998</v>
      </c>
      <c r="L327" s="165">
        <f>SUM(BabycareRaw[[#This Row],[2022]:[YTD 24]])</f>
        <v>1.1672</v>
      </c>
    </row>
    <row r="328" spans="1:12" ht="15" customHeight="1" x14ac:dyDescent="0.2">
      <c r="A328" s="34" t="s">
        <v>267</v>
      </c>
      <c r="B328" s="32" t="s">
        <v>8</v>
      </c>
      <c r="C328" s="32" t="s">
        <v>9</v>
      </c>
      <c r="D328" s="33" t="s">
        <v>10</v>
      </c>
      <c r="E328" s="70" t="s">
        <v>268</v>
      </c>
      <c r="F328" s="97">
        <v>18.4224</v>
      </c>
      <c r="G328" s="98">
        <v>21.849599999999999</v>
      </c>
      <c r="H328" s="99">
        <v>15.9329</v>
      </c>
      <c r="I328" s="100">
        <v>154.90440000000001</v>
      </c>
      <c r="J328" s="99">
        <v>191.65379999999999</v>
      </c>
      <c r="K328" s="99">
        <v>151.1</v>
      </c>
      <c r="L328" s="165">
        <f>SUM(BabycareRaw[[#This Row],[2022]:[YTD 24]])</f>
        <v>56.204899999999995</v>
      </c>
    </row>
    <row r="329" spans="1:12" ht="15" customHeight="1" x14ac:dyDescent="0.2">
      <c r="A329" s="34" t="s">
        <v>269</v>
      </c>
      <c r="B329" s="32" t="s">
        <v>8</v>
      </c>
      <c r="C329" s="32" t="s">
        <v>9</v>
      </c>
      <c r="D329" s="33" t="s">
        <v>10</v>
      </c>
      <c r="E329" s="70" t="s">
        <v>270</v>
      </c>
      <c r="F329" s="97">
        <v>1.851</v>
      </c>
      <c r="G329" s="98">
        <v>2.4146999999999998</v>
      </c>
      <c r="H329" s="99">
        <v>0.80920000000000003</v>
      </c>
      <c r="I329" s="100">
        <v>10.083500000000001</v>
      </c>
      <c r="J329" s="99">
        <v>14.928100000000001</v>
      </c>
      <c r="K329" s="99">
        <v>5.5830000000000002</v>
      </c>
      <c r="L329" s="165">
        <f>SUM(BabycareRaw[[#This Row],[2022]:[YTD 24]])</f>
        <v>5.0748999999999995</v>
      </c>
    </row>
    <row r="330" spans="1:12" ht="15" customHeight="1" x14ac:dyDescent="0.2">
      <c r="A330" s="34" t="s">
        <v>271</v>
      </c>
      <c r="B330" s="32" t="s">
        <v>8</v>
      </c>
      <c r="C330" s="32" t="s">
        <v>9</v>
      </c>
      <c r="D330" s="33" t="s">
        <v>10</v>
      </c>
      <c r="E330" s="70" t="s">
        <v>99</v>
      </c>
      <c r="F330" s="97">
        <v>198.11109999999999</v>
      </c>
      <c r="G330" s="98">
        <v>233.6309</v>
      </c>
      <c r="H330" s="99">
        <v>113.3126</v>
      </c>
      <c r="I330" s="100">
        <v>1569.5084999999999</v>
      </c>
      <c r="J330" s="99">
        <v>2030.1902</v>
      </c>
      <c r="K330" s="99">
        <v>989.67420000000004</v>
      </c>
      <c r="L330" s="165">
        <f>SUM(BabycareRaw[[#This Row],[2022]:[YTD 24]])</f>
        <v>545.05459999999994</v>
      </c>
    </row>
    <row r="331" spans="1:12" ht="15" customHeight="1" x14ac:dyDescent="0.2">
      <c r="A331" s="34" t="s">
        <v>272</v>
      </c>
      <c r="B331" s="32" t="s">
        <v>8</v>
      </c>
      <c r="C331" s="32" t="s">
        <v>9</v>
      </c>
      <c r="D331" s="33" t="s">
        <v>10</v>
      </c>
      <c r="E331" s="70" t="s">
        <v>99</v>
      </c>
      <c r="F331" s="97">
        <v>1.278</v>
      </c>
      <c r="G331" s="98">
        <v>13.6012</v>
      </c>
      <c r="H331" s="99">
        <v>11.1342</v>
      </c>
      <c r="I331" s="100">
        <v>10.3644</v>
      </c>
      <c r="J331" s="99">
        <v>118.5029</v>
      </c>
      <c r="K331" s="99">
        <v>94.131399999999999</v>
      </c>
      <c r="L331" s="165">
        <f>SUM(BabycareRaw[[#This Row],[2022]:[YTD 24]])</f>
        <v>26.013400000000001</v>
      </c>
    </row>
    <row r="332" spans="1:12" ht="15" customHeight="1" x14ac:dyDescent="0.2">
      <c r="A332" s="27" t="s">
        <v>755</v>
      </c>
      <c r="B332" s="28" t="s">
        <v>5</v>
      </c>
      <c r="C332" s="28"/>
      <c r="D332" s="29"/>
      <c r="E332" s="68"/>
      <c r="F332" s="101">
        <v>0</v>
      </c>
      <c r="G332" s="102">
        <v>0.44869999999999999</v>
      </c>
      <c r="H332" s="103">
        <v>0.1852</v>
      </c>
      <c r="I332" s="104">
        <v>0</v>
      </c>
      <c r="J332" s="103">
        <v>7.1882999999999999</v>
      </c>
      <c r="K332" s="103">
        <v>2.9676999999999998</v>
      </c>
      <c r="L332" s="169">
        <f>SUM(BabycareRaw[[#This Row],[2022]:[YTD 24]])</f>
        <v>0.63390000000000002</v>
      </c>
    </row>
    <row r="333" spans="1:12" ht="14.25" customHeight="1" x14ac:dyDescent="0.2">
      <c r="A333" s="30" t="s">
        <v>273</v>
      </c>
      <c r="B333" s="31" t="s">
        <v>6</v>
      </c>
      <c r="C333" s="32"/>
      <c r="D333" s="33"/>
      <c r="E333" s="70"/>
      <c r="F333" s="97">
        <v>0</v>
      </c>
      <c r="G333" s="98">
        <v>0.2286</v>
      </c>
      <c r="H333" s="99">
        <v>8.4099999999999994E-2</v>
      </c>
      <c r="I333" s="100">
        <v>0</v>
      </c>
      <c r="J333" s="99">
        <v>3.6671999999999998</v>
      </c>
      <c r="K333" s="99">
        <v>1.3489</v>
      </c>
      <c r="L333" s="165">
        <f>SUM(BabycareRaw[[#This Row],[2022]:[YTD 24]])</f>
        <v>0.31269999999999998</v>
      </c>
    </row>
    <row r="334" spans="1:12" ht="15" customHeight="1" x14ac:dyDescent="0.2">
      <c r="A334" s="34" t="s">
        <v>822</v>
      </c>
      <c r="B334" s="32" t="s">
        <v>8</v>
      </c>
      <c r="C334" s="32" t="s">
        <v>9</v>
      </c>
      <c r="D334" s="33" t="s">
        <v>10</v>
      </c>
      <c r="E334" s="70" t="s">
        <v>34</v>
      </c>
      <c r="F334" s="97">
        <v>0</v>
      </c>
      <c r="G334" s="98">
        <v>0.2286</v>
      </c>
      <c r="H334" s="99">
        <v>8.4099999999999994E-2</v>
      </c>
      <c r="I334" s="100">
        <v>0</v>
      </c>
      <c r="J334" s="99">
        <v>3.6671999999999998</v>
      </c>
      <c r="K334" s="99">
        <v>1.3489</v>
      </c>
      <c r="L334" s="165">
        <f>SUM(BabycareRaw[[#This Row],[2022]:[YTD 24]])</f>
        <v>0.31269999999999998</v>
      </c>
    </row>
    <row r="335" spans="1:12" ht="15" customHeight="1" x14ac:dyDescent="0.2">
      <c r="A335" s="30" t="s">
        <v>274</v>
      </c>
      <c r="B335" s="31" t="s">
        <v>6</v>
      </c>
      <c r="C335" s="32"/>
      <c r="D335" s="33"/>
      <c r="E335" s="70"/>
      <c r="F335" s="97">
        <v>0</v>
      </c>
      <c r="G335" s="98">
        <v>0.22009999999999999</v>
      </c>
      <c r="H335" s="99">
        <v>0.1012</v>
      </c>
      <c r="I335" s="100">
        <v>0</v>
      </c>
      <c r="J335" s="99">
        <v>3.5211000000000001</v>
      </c>
      <c r="K335" s="99">
        <v>1.6187</v>
      </c>
      <c r="L335" s="165">
        <f>SUM(BabycareRaw[[#This Row],[2022]:[YTD 24]])</f>
        <v>0.32129999999999997</v>
      </c>
    </row>
    <row r="336" spans="1:12" ht="15" customHeight="1" x14ac:dyDescent="0.2">
      <c r="A336" s="34" t="s">
        <v>275</v>
      </c>
      <c r="B336" s="32" t="s">
        <v>8</v>
      </c>
      <c r="C336" s="32" t="s">
        <v>9</v>
      </c>
      <c r="D336" s="33" t="s">
        <v>10</v>
      </c>
      <c r="E336" s="70" t="s">
        <v>34</v>
      </c>
      <c r="F336" s="97">
        <v>0</v>
      </c>
      <c r="G336" s="98">
        <v>0.22009999999999999</v>
      </c>
      <c r="H336" s="99">
        <v>0.1012</v>
      </c>
      <c r="I336" s="100">
        <v>0</v>
      </c>
      <c r="J336" s="99">
        <v>3.5211000000000001</v>
      </c>
      <c r="K336" s="99">
        <v>1.6187</v>
      </c>
      <c r="L336" s="165">
        <f>SUM(BabycareRaw[[#This Row],[2022]:[YTD 24]])</f>
        <v>0.32129999999999997</v>
      </c>
    </row>
    <row r="337" spans="1:12" ht="15" customHeight="1" x14ac:dyDescent="0.2">
      <c r="A337" s="27" t="s">
        <v>756</v>
      </c>
      <c r="B337" s="28" t="s">
        <v>5</v>
      </c>
      <c r="C337" s="28"/>
      <c r="D337" s="29"/>
      <c r="E337" s="68"/>
      <c r="F337" s="101">
        <v>34.405999999999999</v>
      </c>
      <c r="G337" s="102">
        <v>2.0082</v>
      </c>
      <c r="H337" s="103">
        <v>5.9400000000000001E-2</v>
      </c>
      <c r="I337" s="104">
        <v>1027.0906</v>
      </c>
      <c r="J337" s="103">
        <v>44.666600000000003</v>
      </c>
      <c r="K337" s="103">
        <v>0.51659999999999995</v>
      </c>
      <c r="L337" s="169">
        <f>SUM(BabycareRaw[[#This Row],[2022]:[YTD 24]])</f>
        <v>36.473599999999998</v>
      </c>
    </row>
    <row r="338" spans="1:12" ht="14.25" customHeight="1" x14ac:dyDescent="0.2">
      <c r="A338" s="30" t="s">
        <v>276</v>
      </c>
      <c r="B338" s="31" t="s">
        <v>6</v>
      </c>
      <c r="C338" s="32"/>
      <c r="D338" s="33"/>
      <c r="E338" s="70"/>
      <c r="F338" s="97">
        <v>34.405999999999999</v>
      </c>
      <c r="G338" s="98">
        <v>2.0082</v>
      </c>
      <c r="H338" s="99">
        <v>5.9400000000000001E-2</v>
      </c>
      <c r="I338" s="100">
        <v>1027.0906</v>
      </c>
      <c r="J338" s="99">
        <v>44.666600000000003</v>
      </c>
      <c r="K338" s="99">
        <v>0.51659999999999995</v>
      </c>
      <c r="L338" s="165">
        <f>SUM(BabycareRaw[[#This Row],[2022]:[YTD 24]])</f>
        <v>36.473599999999998</v>
      </c>
    </row>
    <row r="339" spans="1:12" ht="15" customHeight="1" x14ac:dyDescent="0.2">
      <c r="A339" s="34" t="s">
        <v>277</v>
      </c>
      <c r="B339" s="32" t="s">
        <v>8</v>
      </c>
      <c r="C339" s="32" t="s">
        <v>9</v>
      </c>
      <c r="D339" s="33" t="s">
        <v>249</v>
      </c>
      <c r="E339" s="70" t="s">
        <v>11</v>
      </c>
      <c r="F339" s="97">
        <v>0.3851</v>
      </c>
      <c r="G339" s="98">
        <v>0.10680000000000001</v>
      </c>
      <c r="H339" s="99">
        <v>0</v>
      </c>
      <c r="I339" s="100">
        <v>4.9682000000000004</v>
      </c>
      <c r="J339" s="99">
        <v>1.3105</v>
      </c>
      <c r="K339" s="99">
        <v>0</v>
      </c>
      <c r="L339" s="165">
        <f>SUM(BabycareRaw[[#This Row],[2022]:[YTD 24]])</f>
        <v>0.4919</v>
      </c>
    </row>
    <row r="340" spans="1:12" ht="15" customHeight="1" x14ac:dyDescent="0.2">
      <c r="A340" s="34" t="s">
        <v>278</v>
      </c>
      <c r="B340" s="32" t="s">
        <v>8</v>
      </c>
      <c r="C340" s="32" t="s">
        <v>9</v>
      </c>
      <c r="D340" s="33" t="s">
        <v>64</v>
      </c>
      <c r="E340" s="70" t="s">
        <v>34</v>
      </c>
      <c r="F340" s="97">
        <v>1.0960000000000001</v>
      </c>
      <c r="G340" s="98">
        <v>0.3664</v>
      </c>
      <c r="H340" s="99">
        <v>5.7799999999999997E-2</v>
      </c>
      <c r="I340" s="100">
        <v>13.8332</v>
      </c>
      <c r="J340" s="99">
        <v>3.4159999999999999</v>
      </c>
      <c r="K340" s="99">
        <v>0.48</v>
      </c>
      <c r="L340" s="165">
        <f>SUM(BabycareRaw[[#This Row],[2022]:[YTD 24]])</f>
        <v>1.5202000000000002</v>
      </c>
    </row>
    <row r="341" spans="1:12" ht="15" customHeight="1" x14ac:dyDescent="0.2">
      <c r="A341" s="34" t="s">
        <v>279</v>
      </c>
      <c r="B341" s="32" t="s">
        <v>8</v>
      </c>
      <c r="C341" s="32" t="s">
        <v>9</v>
      </c>
      <c r="D341" s="33" t="s">
        <v>64</v>
      </c>
      <c r="E341" s="70" t="s">
        <v>34</v>
      </c>
      <c r="F341" s="97">
        <v>8.1957000000000004</v>
      </c>
      <c r="G341" s="98">
        <v>0.14119999999999999</v>
      </c>
      <c r="H341" s="99">
        <v>1.1000000000000001E-3</v>
      </c>
      <c r="I341" s="100">
        <v>213.62710000000001</v>
      </c>
      <c r="J341" s="99">
        <v>2.6021999999999998</v>
      </c>
      <c r="K341" s="99">
        <v>1.6E-2</v>
      </c>
      <c r="L341" s="165">
        <f>SUM(BabycareRaw[[#This Row],[2022]:[YTD 24]])</f>
        <v>8.3379999999999992</v>
      </c>
    </row>
    <row r="342" spans="1:12" ht="15" customHeight="1" x14ac:dyDescent="0.2">
      <c r="A342" s="34" t="s">
        <v>280</v>
      </c>
      <c r="B342" s="32" t="s">
        <v>8</v>
      </c>
      <c r="C342" s="32" t="s">
        <v>9</v>
      </c>
      <c r="D342" s="33" t="s">
        <v>249</v>
      </c>
      <c r="E342" s="70" t="s">
        <v>34</v>
      </c>
      <c r="F342" s="97">
        <v>2.8999999999999998E-3</v>
      </c>
      <c r="G342" s="98">
        <v>0</v>
      </c>
      <c r="H342" s="99">
        <v>0</v>
      </c>
      <c r="I342" s="100">
        <v>0.17960000000000001</v>
      </c>
      <c r="J342" s="99">
        <v>0</v>
      </c>
      <c r="K342" s="99">
        <v>0</v>
      </c>
      <c r="L342" s="165">
        <f>SUM(BabycareRaw[[#This Row],[2022]:[YTD 24]])</f>
        <v>2.8999999999999998E-3</v>
      </c>
    </row>
    <row r="343" spans="1:12" ht="15" customHeight="1" x14ac:dyDescent="0.2">
      <c r="A343" s="34" t="s">
        <v>281</v>
      </c>
      <c r="B343" s="32" t="s">
        <v>8</v>
      </c>
      <c r="C343" s="32" t="s">
        <v>9</v>
      </c>
      <c r="D343" s="33" t="s">
        <v>249</v>
      </c>
      <c r="E343" s="70" t="s">
        <v>34</v>
      </c>
      <c r="F343" s="97">
        <v>0</v>
      </c>
      <c r="G343" s="98">
        <v>0</v>
      </c>
      <c r="H343" s="99">
        <v>0</v>
      </c>
      <c r="I343" s="100">
        <v>0</v>
      </c>
      <c r="J343" s="99">
        <v>0</v>
      </c>
      <c r="K343" s="99">
        <v>0</v>
      </c>
      <c r="L343" s="165">
        <f>SUM(BabycareRaw[[#This Row],[2022]:[YTD 24]])</f>
        <v>0</v>
      </c>
    </row>
    <row r="344" spans="1:12" ht="15" customHeight="1" x14ac:dyDescent="0.2">
      <c r="A344" s="34" t="s">
        <v>282</v>
      </c>
      <c r="B344" s="32" t="s">
        <v>8</v>
      </c>
      <c r="C344" s="32" t="s">
        <v>9</v>
      </c>
      <c r="D344" s="33" t="s">
        <v>10</v>
      </c>
      <c r="E344" s="70" t="s">
        <v>34</v>
      </c>
      <c r="F344" s="97">
        <v>0.22670000000000001</v>
      </c>
      <c r="G344" s="98">
        <v>0</v>
      </c>
      <c r="H344" s="99">
        <v>0</v>
      </c>
      <c r="I344" s="100">
        <v>4.5189000000000004</v>
      </c>
      <c r="J344" s="99">
        <v>0</v>
      </c>
      <c r="K344" s="99">
        <v>0</v>
      </c>
      <c r="L344" s="165">
        <f>SUM(BabycareRaw[[#This Row],[2022]:[YTD 24]])</f>
        <v>0.22670000000000001</v>
      </c>
    </row>
    <row r="345" spans="1:12" ht="15" customHeight="1" x14ac:dyDescent="0.2">
      <c r="A345" s="34" t="s">
        <v>283</v>
      </c>
      <c r="B345" s="32" t="s">
        <v>8</v>
      </c>
      <c r="C345" s="32" t="s">
        <v>9</v>
      </c>
      <c r="D345" s="33" t="s">
        <v>249</v>
      </c>
      <c r="E345" s="70" t="s">
        <v>42</v>
      </c>
      <c r="F345" s="97">
        <v>24.499500000000001</v>
      </c>
      <c r="G345" s="98">
        <v>1.3658999999999999</v>
      </c>
      <c r="H345" s="99">
        <v>5.9999999999999995E-4</v>
      </c>
      <c r="I345" s="100">
        <v>789.96360000000004</v>
      </c>
      <c r="J345" s="99">
        <v>36.531500000000001</v>
      </c>
      <c r="K345" s="99">
        <v>2.06E-2</v>
      </c>
      <c r="L345" s="165">
        <f>SUM(BabycareRaw[[#This Row],[2022]:[YTD 24]])</f>
        <v>25.866</v>
      </c>
    </row>
    <row r="346" spans="1:12" ht="15" customHeight="1" x14ac:dyDescent="0.2">
      <c r="A346" s="34" t="s">
        <v>284</v>
      </c>
      <c r="B346" s="32" t="s">
        <v>8</v>
      </c>
      <c r="C346" s="32" t="s">
        <v>9</v>
      </c>
      <c r="D346" s="33" t="s">
        <v>64</v>
      </c>
      <c r="E346" s="70" t="s">
        <v>42</v>
      </c>
      <c r="F346" s="97">
        <v>0</v>
      </c>
      <c r="G346" s="98">
        <v>2.8000000000000001E-2</v>
      </c>
      <c r="H346" s="99">
        <v>0</v>
      </c>
      <c r="I346" s="100">
        <v>0</v>
      </c>
      <c r="J346" s="99">
        <v>0.80640000000000001</v>
      </c>
      <c r="K346" s="99">
        <v>0</v>
      </c>
      <c r="L346" s="165">
        <f>SUM(BabycareRaw[[#This Row],[2022]:[YTD 24]])</f>
        <v>2.8000000000000001E-2</v>
      </c>
    </row>
    <row r="347" spans="1:12" ht="15" customHeight="1" x14ac:dyDescent="0.2">
      <c r="A347" s="27" t="s">
        <v>757</v>
      </c>
      <c r="B347" s="28" t="s">
        <v>5</v>
      </c>
      <c r="C347" s="28"/>
      <c r="D347" s="29"/>
      <c r="E347" s="68"/>
      <c r="F347" s="101">
        <v>0</v>
      </c>
      <c r="G347" s="102">
        <v>10.2052</v>
      </c>
      <c r="H347" s="103">
        <v>14.4321</v>
      </c>
      <c r="I347" s="104">
        <v>0</v>
      </c>
      <c r="J347" s="103">
        <v>569.2527</v>
      </c>
      <c r="K347" s="103">
        <v>716.4248</v>
      </c>
      <c r="L347" s="169">
        <f>SUM(BabycareRaw[[#This Row],[2022]:[YTD 24]])</f>
        <v>24.6373</v>
      </c>
    </row>
    <row r="348" spans="1:12" ht="14.25" customHeight="1" x14ac:dyDescent="0.2">
      <c r="A348" s="30" t="s">
        <v>285</v>
      </c>
      <c r="B348" s="31" t="s">
        <v>6</v>
      </c>
      <c r="C348" s="32"/>
      <c r="D348" s="33"/>
      <c r="E348" s="70"/>
      <c r="F348" s="97">
        <v>0</v>
      </c>
      <c r="G348" s="98">
        <v>10.2052</v>
      </c>
      <c r="H348" s="99">
        <v>14.4321</v>
      </c>
      <c r="I348" s="100">
        <v>0</v>
      </c>
      <c r="J348" s="99">
        <v>569.2527</v>
      </c>
      <c r="K348" s="99">
        <v>716.4248</v>
      </c>
      <c r="L348" s="165">
        <f>SUM(BabycareRaw[[#This Row],[2022]:[YTD 24]])</f>
        <v>24.6373</v>
      </c>
    </row>
    <row r="349" spans="1:12" ht="15" customHeight="1" x14ac:dyDescent="0.2">
      <c r="A349" s="34" t="s">
        <v>286</v>
      </c>
      <c r="B349" s="32" t="s">
        <v>8</v>
      </c>
      <c r="C349" s="32" t="s">
        <v>9</v>
      </c>
      <c r="D349" s="33" t="s">
        <v>20</v>
      </c>
      <c r="E349" s="70" t="s">
        <v>42</v>
      </c>
      <c r="F349" s="97">
        <v>0</v>
      </c>
      <c r="G349" s="98">
        <v>10.2052</v>
      </c>
      <c r="H349" s="99">
        <v>14.4321</v>
      </c>
      <c r="I349" s="100">
        <v>0</v>
      </c>
      <c r="J349" s="99">
        <v>569.2527</v>
      </c>
      <c r="K349" s="99">
        <v>716.4248</v>
      </c>
      <c r="L349" s="165">
        <f>SUM(BabycareRaw[[#This Row],[2022]:[YTD 24]])</f>
        <v>24.6373</v>
      </c>
    </row>
    <row r="350" spans="1:12" ht="15" customHeight="1" x14ac:dyDescent="0.2">
      <c r="A350" s="27" t="s">
        <v>758</v>
      </c>
      <c r="B350" s="28" t="s">
        <v>5</v>
      </c>
      <c r="C350" s="28"/>
      <c r="D350" s="29"/>
      <c r="E350" s="68"/>
      <c r="F350" s="101">
        <v>0</v>
      </c>
      <c r="G350" s="102">
        <v>0</v>
      </c>
      <c r="H350" s="103">
        <v>0</v>
      </c>
      <c r="I350" s="104">
        <v>0</v>
      </c>
      <c r="J350" s="103">
        <v>0</v>
      </c>
      <c r="K350" s="103">
        <v>0</v>
      </c>
      <c r="L350" s="169">
        <f>SUM(BabycareRaw[[#This Row],[2022]:[YTD 24]])</f>
        <v>0</v>
      </c>
    </row>
    <row r="351" spans="1:12" ht="14.25" customHeight="1" x14ac:dyDescent="0.2">
      <c r="A351" s="30" t="s">
        <v>287</v>
      </c>
      <c r="B351" s="31" t="s">
        <v>6</v>
      </c>
      <c r="C351" s="32"/>
      <c r="D351" s="33"/>
      <c r="E351" s="70"/>
      <c r="F351" s="97">
        <v>0</v>
      </c>
      <c r="G351" s="98">
        <v>0</v>
      </c>
      <c r="H351" s="99">
        <v>0</v>
      </c>
      <c r="I351" s="100">
        <v>0</v>
      </c>
      <c r="J351" s="99">
        <v>0</v>
      </c>
      <c r="K351" s="99">
        <v>0</v>
      </c>
      <c r="L351" s="165">
        <f>SUM(BabycareRaw[[#This Row],[2022]:[YTD 24]])</f>
        <v>0</v>
      </c>
    </row>
    <row r="352" spans="1:12" ht="15" customHeight="1" x14ac:dyDescent="0.2">
      <c r="A352" s="34" t="s">
        <v>288</v>
      </c>
      <c r="B352" s="32" t="s">
        <v>8</v>
      </c>
      <c r="C352" s="32" t="s">
        <v>9</v>
      </c>
      <c r="D352" s="33" t="s">
        <v>20</v>
      </c>
      <c r="E352" s="70" t="s">
        <v>42</v>
      </c>
      <c r="F352" s="97">
        <v>0</v>
      </c>
      <c r="G352" s="98">
        <v>0</v>
      </c>
      <c r="H352" s="99">
        <v>0</v>
      </c>
      <c r="I352" s="100">
        <v>0</v>
      </c>
      <c r="J352" s="99">
        <v>0</v>
      </c>
      <c r="K352" s="99">
        <v>0</v>
      </c>
      <c r="L352" s="165">
        <f>SUM(BabycareRaw[[#This Row],[2022]:[YTD 24]])</f>
        <v>0</v>
      </c>
    </row>
    <row r="353" spans="1:12" ht="15" customHeight="1" x14ac:dyDescent="0.2">
      <c r="A353" s="27" t="s">
        <v>759</v>
      </c>
      <c r="B353" s="28" t="s">
        <v>5</v>
      </c>
      <c r="C353" s="28"/>
      <c r="D353" s="29"/>
      <c r="E353" s="68"/>
      <c r="F353" s="101">
        <v>1.1900000000000001E-2</v>
      </c>
      <c r="G353" s="102">
        <v>0</v>
      </c>
      <c r="H353" s="103">
        <v>0</v>
      </c>
      <c r="I353" s="104">
        <v>0.14000000000000001</v>
      </c>
      <c r="J353" s="103">
        <v>0</v>
      </c>
      <c r="K353" s="103">
        <v>0</v>
      </c>
      <c r="L353" s="169">
        <f>SUM(BabycareRaw[[#This Row],[2022]:[YTD 24]])</f>
        <v>1.1900000000000001E-2</v>
      </c>
    </row>
    <row r="354" spans="1:12" ht="14.25" customHeight="1" x14ac:dyDescent="0.2">
      <c r="A354" s="30" t="s">
        <v>289</v>
      </c>
      <c r="B354" s="31" t="s">
        <v>6</v>
      </c>
      <c r="C354" s="32"/>
      <c r="D354" s="33"/>
      <c r="E354" s="70"/>
      <c r="F354" s="97">
        <v>1.1900000000000001E-2</v>
      </c>
      <c r="G354" s="98">
        <v>0</v>
      </c>
      <c r="H354" s="99">
        <v>0</v>
      </c>
      <c r="I354" s="100">
        <v>0.14000000000000001</v>
      </c>
      <c r="J354" s="99">
        <v>0</v>
      </c>
      <c r="K354" s="99">
        <v>0</v>
      </c>
      <c r="L354" s="165">
        <f>SUM(BabycareRaw[[#This Row],[2022]:[YTD 24]])</f>
        <v>1.1900000000000001E-2</v>
      </c>
    </row>
    <row r="355" spans="1:12" ht="15" customHeight="1" x14ac:dyDescent="0.2">
      <c r="A355" s="34" t="s">
        <v>290</v>
      </c>
      <c r="B355" s="32" t="s">
        <v>8</v>
      </c>
      <c r="C355" s="32" t="s">
        <v>9</v>
      </c>
      <c r="D355" s="33" t="s">
        <v>10</v>
      </c>
      <c r="E355" s="70" t="s">
        <v>26</v>
      </c>
      <c r="F355" s="97">
        <v>1.1900000000000001E-2</v>
      </c>
      <c r="G355" s="98">
        <v>0</v>
      </c>
      <c r="H355" s="99">
        <v>0</v>
      </c>
      <c r="I355" s="100">
        <v>0.14000000000000001</v>
      </c>
      <c r="J355" s="99">
        <v>0</v>
      </c>
      <c r="K355" s="99">
        <v>0</v>
      </c>
      <c r="L355" s="165">
        <f>SUM(BabycareRaw[[#This Row],[2022]:[YTD 24]])</f>
        <v>1.1900000000000001E-2</v>
      </c>
    </row>
    <row r="356" spans="1:12" ht="15" customHeight="1" x14ac:dyDescent="0.2">
      <c r="A356" s="34" t="s">
        <v>291</v>
      </c>
      <c r="B356" s="32" t="s">
        <v>8</v>
      </c>
      <c r="C356" s="32" t="s">
        <v>9</v>
      </c>
      <c r="D356" s="33" t="s">
        <v>20</v>
      </c>
      <c r="E356" s="70" t="s">
        <v>17</v>
      </c>
      <c r="F356" s="97">
        <v>0</v>
      </c>
      <c r="G356" s="98">
        <v>0</v>
      </c>
      <c r="H356" s="99">
        <v>0</v>
      </c>
      <c r="I356" s="100">
        <v>0</v>
      </c>
      <c r="J356" s="99">
        <v>0</v>
      </c>
      <c r="K356" s="99">
        <v>0</v>
      </c>
      <c r="L356" s="165">
        <f>SUM(BabycareRaw[[#This Row],[2022]:[YTD 24]])</f>
        <v>0</v>
      </c>
    </row>
    <row r="357" spans="1:12" ht="15" customHeight="1" x14ac:dyDescent="0.2">
      <c r="A357" s="27" t="s">
        <v>760</v>
      </c>
      <c r="B357" s="28" t="s">
        <v>5</v>
      </c>
      <c r="C357" s="28"/>
      <c r="D357" s="29"/>
      <c r="E357" s="68"/>
      <c r="F357" s="101">
        <v>0.33289999999999997</v>
      </c>
      <c r="G357" s="102">
        <v>2.7199999999999998E-2</v>
      </c>
      <c r="H357" s="103">
        <v>1.4402999999999999</v>
      </c>
      <c r="I357" s="104">
        <v>16.585699999999999</v>
      </c>
      <c r="J357" s="103">
        <v>2.2242999999999999</v>
      </c>
      <c r="K357" s="103">
        <v>35.560600000000001</v>
      </c>
      <c r="L357" s="169">
        <f>SUM(BabycareRaw[[#This Row],[2022]:[YTD 24]])</f>
        <v>1.8003999999999998</v>
      </c>
    </row>
    <row r="358" spans="1:12" ht="14.25" customHeight="1" x14ac:dyDescent="0.2">
      <c r="A358" s="30" t="s">
        <v>292</v>
      </c>
      <c r="B358" s="31" t="s">
        <v>6</v>
      </c>
      <c r="C358" s="32"/>
      <c r="D358" s="33"/>
      <c r="E358" s="70"/>
      <c r="F358" s="97">
        <v>0.33289999999999997</v>
      </c>
      <c r="G358" s="98">
        <v>2.7199999999999998E-2</v>
      </c>
      <c r="H358" s="99">
        <v>1.4402999999999999</v>
      </c>
      <c r="I358" s="100">
        <v>16.585699999999999</v>
      </c>
      <c r="J358" s="99">
        <v>2.2242999999999999</v>
      </c>
      <c r="K358" s="99">
        <v>35.560600000000001</v>
      </c>
      <c r="L358" s="165">
        <f>SUM(BabycareRaw[[#This Row],[2022]:[YTD 24]])</f>
        <v>1.8003999999999998</v>
      </c>
    </row>
    <row r="359" spans="1:12" ht="15" customHeight="1" x14ac:dyDescent="0.2">
      <c r="A359" s="34" t="s">
        <v>293</v>
      </c>
      <c r="B359" s="32" t="s">
        <v>8</v>
      </c>
      <c r="C359" s="32" t="s">
        <v>9</v>
      </c>
      <c r="D359" s="33" t="s">
        <v>20</v>
      </c>
      <c r="E359" s="70" t="s">
        <v>32</v>
      </c>
      <c r="F359" s="97">
        <v>0</v>
      </c>
      <c r="G359" s="98">
        <v>0</v>
      </c>
      <c r="H359" s="99">
        <v>0.69599999999999995</v>
      </c>
      <c r="I359" s="100">
        <v>0</v>
      </c>
      <c r="J359" s="99">
        <v>0</v>
      </c>
      <c r="K359" s="99">
        <v>11.551500000000001</v>
      </c>
      <c r="L359" s="165">
        <f>SUM(BabycareRaw[[#This Row],[2022]:[YTD 24]])</f>
        <v>0.69599999999999995</v>
      </c>
    </row>
    <row r="360" spans="1:12" ht="15" customHeight="1" x14ac:dyDescent="0.2">
      <c r="A360" s="34" t="s">
        <v>294</v>
      </c>
      <c r="B360" s="32" t="s">
        <v>8</v>
      </c>
      <c r="C360" s="32" t="s">
        <v>9</v>
      </c>
      <c r="D360" s="33" t="s">
        <v>20</v>
      </c>
      <c r="E360" s="70" t="s">
        <v>68</v>
      </c>
      <c r="F360" s="97">
        <v>0.33289999999999997</v>
      </c>
      <c r="G360" s="98">
        <v>2.7199999999999998E-2</v>
      </c>
      <c r="H360" s="99">
        <v>0.74419999999999997</v>
      </c>
      <c r="I360" s="100">
        <v>16.585699999999999</v>
      </c>
      <c r="J360" s="99">
        <v>2.2242999999999999</v>
      </c>
      <c r="K360" s="99">
        <v>24.0091</v>
      </c>
      <c r="L360" s="165">
        <f>SUM(BabycareRaw[[#This Row],[2022]:[YTD 24]])</f>
        <v>1.1042999999999998</v>
      </c>
    </row>
    <row r="361" spans="1:12" ht="15" customHeight="1" x14ac:dyDescent="0.2">
      <c r="A361" s="27" t="s">
        <v>761</v>
      </c>
      <c r="B361" s="28" t="s">
        <v>5</v>
      </c>
      <c r="C361" s="28"/>
      <c r="D361" s="29"/>
      <c r="E361" s="68"/>
      <c r="F361" s="101">
        <v>41.451799999999999</v>
      </c>
      <c r="G361" s="102">
        <v>23.849699999999999</v>
      </c>
      <c r="H361" s="103">
        <v>14.791499999999999</v>
      </c>
      <c r="I361" s="104">
        <v>1547.7049999999999</v>
      </c>
      <c r="J361" s="103">
        <v>1096.4466</v>
      </c>
      <c r="K361" s="103">
        <v>817.30290000000002</v>
      </c>
      <c r="L361" s="169">
        <f>SUM(BabycareRaw[[#This Row],[2022]:[YTD 24]])</f>
        <v>80.093000000000004</v>
      </c>
    </row>
    <row r="362" spans="1:12" ht="14.25" customHeight="1" x14ac:dyDescent="0.2">
      <c r="A362" s="30" t="s">
        <v>295</v>
      </c>
      <c r="B362" s="31" t="s">
        <v>6</v>
      </c>
      <c r="C362" s="32"/>
      <c r="D362" s="33"/>
      <c r="E362" s="70"/>
      <c r="F362" s="97">
        <v>41.451799999999999</v>
      </c>
      <c r="G362" s="98">
        <v>23.849699999999999</v>
      </c>
      <c r="H362" s="99">
        <v>14.791499999999999</v>
      </c>
      <c r="I362" s="100">
        <v>1547.7049999999999</v>
      </c>
      <c r="J362" s="99">
        <v>1096.4466</v>
      </c>
      <c r="K362" s="99">
        <v>817.30290000000002</v>
      </c>
      <c r="L362" s="165">
        <f>SUM(BabycareRaw[[#This Row],[2022]:[YTD 24]])</f>
        <v>80.093000000000004</v>
      </c>
    </row>
    <row r="363" spans="1:12" ht="15" customHeight="1" x14ac:dyDescent="0.2">
      <c r="A363" s="34" t="s">
        <v>296</v>
      </c>
      <c r="B363" s="32" t="s">
        <v>8</v>
      </c>
      <c r="C363" s="32" t="s">
        <v>9</v>
      </c>
      <c r="D363" s="33" t="s">
        <v>20</v>
      </c>
      <c r="E363" s="70" t="s">
        <v>24</v>
      </c>
      <c r="F363" s="97">
        <v>0</v>
      </c>
      <c r="G363" s="98">
        <v>3.2099999999999997E-2</v>
      </c>
      <c r="H363" s="99">
        <v>0.19070000000000001</v>
      </c>
      <c r="I363" s="100">
        <v>0</v>
      </c>
      <c r="J363" s="99">
        <v>1.7567999999999999</v>
      </c>
      <c r="K363" s="99">
        <v>7.8956</v>
      </c>
      <c r="L363" s="165">
        <f>SUM(BabycareRaw[[#This Row],[2022]:[YTD 24]])</f>
        <v>0.2228</v>
      </c>
    </row>
    <row r="364" spans="1:12" ht="15" customHeight="1" x14ac:dyDescent="0.2">
      <c r="A364" s="34" t="s">
        <v>297</v>
      </c>
      <c r="B364" s="32" t="s">
        <v>8</v>
      </c>
      <c r="C364" s="32" t="s">
        <v>9</v>
      </c>
      <c r="D364" s="33" t="s">
        <v>30</v>
      </c>
      <c r="E364" s="70" t="s">
        <v>103</v>
      </c>
      <c r="F364" s="97">
        <v>0</v>
      </c>
      <c r="G364" s="98">
        <v>0</v>
      </c>
      <c r="H364" s="99">
        <v>2.2185000000000001</v>
      </c>
      <c r="I364" s="100">
        <v>0</v>
      </c>
      <c r="J364" s="99">
        <v>0</v>
      </c>
      <c r="K364" s="99">
        <v>128.51750000000001</v>
      </c>
      <c r="L364" s="165">
        <f>SUM(BabycareRaw[[#This Row],[2022]:[YTD 24]])</f>
        <v>2.2185000000000001</v>
      </c>
    </row>
    <row r="365" spans="1:12" ht="15" customHeight="1" x14ac:dyDescent="0.2">
      <c r="A365" s="34" t="s">
        <v>298</v>
      </c>
      <c r="B365" s="32" t="s">
        <v>8</v>
      </c>
      <c r="C365" s="32" t="s">
        <v>9</v>
      </c>
      <c r="D365" s="33" t="s">
        <v>20</v>
      </c>
      <c r="E365" s="70" t="s">
        <v>103</v>
      </c>
      <c r="F365" s="97">
        <v>0</v>
      </c>
      <c r="G365" s="98">
        <v>7.0191999999999997</v>
      </c>
      <c r="H365" s="99">
        <v>7.8216999999999999</v>
      </c>
      <c r="I365" s="100">
        <v>0</v>
      </c>
      <c r="J365" s="99">
        <v>471.142</v>
      </c>
      <c r="K365" s="99">
        <v>503.7824</v>
      </c>
      <c r="L365" s="165">
        <f>SUM(BabycareRaw[[#This Row],[2022]:[YTD 24]])</f>
        <v>14.8409</v>
      </c>
    </row>
    <row r="366" spans="1:12" ht="15" customHeight="1" x14ac:dyDescent="0.2">
      <c r="A366" s="34" t="s">
        <v>299</v>
      </c>
      <c r="B366" s="32" t="s">
        <v>8</v>
      </c>
      <c r="C366" s="32" t="s">
        <v>9</v>
      </c>
      <c r="D366" s="33" t="s">
        <v>20</v>
      </c>
      <c r="E366" s="70" t="s">
        <v>42</v>
      </c>
      <c r="F366" s="97">
        <v>8.5007999999999999</v>
      </c>
      <c r="G366" s="98">
        <v>1.8512999999999999</v>
      </c>
      <c r="H366" s="99">
        <v>0.35020000000000001</v>
      </c>
      <c r="I366" s="100">
        <v>288.41750000000002</v>
      </c>
      <c r="J366" s="99">
        <v>66.691299999999998</v>
      </c>
      <c r="K366" s="99">
        <v>13.4161</v>
      </c>
      <c r="L366" s="165">
        <f>SUM(BabycareRaw[[#This Row],[2022]:[YTD 24]])</f>
        <v>10.702299999999999</v>
      </c>
    </row>
    <row r="367" spans="1:12" ht="15" customHeight="1" x14ac:dyDescent="0.2">
      <c r="A367" s="34" t="s">
        <v>300</v>
      </c>
      <c r="B367" s="32" t="s">
        <v>8</v>
      </c>
      <c r="C367" s="32" t="s">
        <v>9</v>
      </c>
      <c r="D367" s="33" t="s">
        <v>20</v>
      </c>
      <c r="E367" s="70" t="s">
        <v>42</v>
      </c>
      <c r="F367" s="97">
        <v>32.951099999999997</v>
      </c>
      <c r="G367" s="98">
        <v>14.947100000000001</v>
      </c>
      <c r="H367" s="99">
        <v>4.2103999999999999</v>
      </c>
      <c r="I367" s="100">
        <v>1259.2874999999999</v>
      </c>
      <c r="J367" s="99">
        <v>556.85670000000005</v>
      </c>
      <c r="K367" s="99">
        <v>163.69149999999999</v>
      </c>
      <c r="L367" s="165">
        <f>SUM(BabycareRaw[[#This Row],[2022]:[YTD 24]])</f>
        <v>52.108599999999996</v>
      </c>
    </row>
    <row r="368" spans="1:12" ht="15" customHeight="1" x14ac:dyDescent="0.2">
      <c r="A368" s="27" t="s">
        <v>762</v>
      </c>
      <c r="B368" s="28" t="s">
        <v>5</v>
      </c>
      <c r="C368" s="28"/>
      <c r="D368" s="29"/>
      <c r="E368" s="68"/>
      <c r="F368" s="101">
        <v>168.57919999999999</v>
      </c>
      <c r="G368" s="102">
        <v>187.82560000000001</v>
      </c>
      <c r="H368" s="103">
        <v>100.9211</v>
      </c>
      <c r="I368" s="104">
        <v>4051.7896000000001</v>
      </c>
      <c r="J368" s="103">
        <v>4420.8852999999999</v>
      </c>
      <c r="K368" s="103">
        <v>2421.1071000000002</v>
      </c>
      <c r="L368" s="169">
        <f>SUM(BabycareRaw[[#This Row],[2022]:[YTD 24]])</f>
        <v>457.32590000000005</v>
      </c>
    </row>
    <row r="369" spans="1:12" ht="14.25" customHeight="1" x14ac:dyDescent="0.2">
      <c r="A369" s="30" t="s">
        <v>301</v>
      </c>
      <c r="B369" s="31" t="s">
        <v>6</v>
      </c>
      <c r="C369" s="32"/>
      <c r="D369" s="33"/>
      <c r="E369" s="70"/>
      <c r="F369" s="97">
        <v>168.57919999999999</v>
      </c>
      <c r="G369" s="98">
        <v>187.82560000000001</v>
      </c>
      <c r="H369" s="99">
        <v>100.9211</v>
      </c>
      <c r="I369" s="100">
        <v>4051.7896000000001</v>
      </c>
      <c r="J369" s="99">
        <v>4420.8852999999999</v>
      </c>
      <c r="K369" s="99">
        <v>2421.1071000000002</v>
      </c>
      <c r="L369" s="165">
        <f>SUM(BabycareRaw[[#This Row],[2022]:[YTD 24]])</f>
        <v>457.32590000000005</v>
      </c>
    </row>
    <row r="370" spans="1:12" ht="15" customHeight="1" x14ac:dyDescent="0.2">
      <c r="A370" s="34" t="s">
        <v>823</v>
      </c>
      <c r="B370" s="32" t="s">
        <v>8</v>
      </c>
      <c r="C370" s="32" t="s">
        <v>9</v>
      </c>
      <c r="D370" s="33" t="s">
        <v>30</v>
      </c>
      <c r="E370" s="70" t="s">
        <v>118</v>
      </c>
      <c r="F370" s="97">
        <v>0</v>
      </c>
      <c r="G370" s="98">
        <v>0</v>
      </c>
      <c r="H370" s="99">
        <v>0</v>
      </c>
      <c r="I370" s="100">
        <v>0</v>
      </c>
      <c r="J370" s="99">
        <v>0</v>
      </c>
      <c r="K370" s="99">
        <v>0</v>
      </c>
      <c r="L370" s="165">
        <f>SUM(BabycareRaw[[#This Row],[2022]:[YTD 24]])</f>
        <v>0</v>
      </c>
    </row>
    <row r="371" spans="1:12" ht="15" customHeight="1" x14ac:dyDescent="0.2">
      <c r="A371" s="34" t="s">
        <v>302</v>
      </c>
      <c r="B371" s="32" t="s">
        <v>8</v>
      </c>
      <c r="C371" s="32" t="s">
        <v>9</v>
      </c>
      <c r="D371" s="33" t="s">
        <v>30</v>
      </c>
      <c r="E371" s="70" t="s">
        <v>34</v>
      </c>
      <c r="F371" s="97">
        <v>53.822000000000003</v>
      </c>
      <c r="G371" s="98">
        <v>66.983199999999997</v>
      </c>
      <c r="H371" s="99">
        <v>42.143000000000001</v>
      </c>
      <c r="I371" s="100">
        <v>1325.5655999999999</v>
      </c>
      <c r="J371" s="99">
        <v>1594.76</v>
      </c>
      <c r="K371" s="99">
        <v>1015.3249</v>
      </c>
      <c r="L371" s="165">
        <f>SUM(BabycareRaw[[#This Row],[2022]:[YTD 24]])</f>
        <v>162.94819999999999</v>
      </c>
    </row>
    <row r="372" spans="1:12" ht="15" customHeight="1" x14ac:dyDescent="0.2">
      <c r="A372" s="34" t="s">
        <v>303</v>
      </c>
      <c r="B372" s="32" t="s">
        <v>8</v>
      </c>
      <c r="C372" s="32" t="s">
        <v>9</v>
      </c>
      <c r="D372" s="33" t="s">
        <v>30</v>
      </c>
      <c r="E372" s="70" t="s">
        <v>34</v>
      </c>
      <c r="F372" s="97">
        <v>81.760300000000001</v>
      </c>
      <c r="G372" s="98">
        <v>83.135000000000005</v>
      </c>
      <c r="H372" s="99">
        <v>53.412599999999998</v>
      </c>
      <c r="I372" s="100">
        <v>1959.0420999999999</v>
      </c>
      <c r="J372" s="99">
        <v>1973.6881000000001</v>
      </c>
      <c r="K372" s="99">
        <v>1284.8007</v>
      </c>
      <c r="L372" s="165">
        <f>SUM(BabycareRaw[[#This Row],[2022]:[YTD 24]])</f>
        <v>218.30790000000002</v>
      </c>
    </row>
    <row r="373" spans="1:12" ht="15" customHeight="1" x14ac:dyDescent="0.2">
      <c r="A373" s="34" t="s">
        <v>304</v>
      </c>
      <c r="B373" s="32" t="s">
        <v>8</v>
      </c>
      <c r="C373" s="32" t="s">
        <v>9</v>
      </c>
      <c r="D373" s="33" t="s">
        <v>30</v>
      </c>
      <c r="E373" s="70" t="s">
        <v>34</v>
      </c>
      <c r="F373" s="97">
        <v>24.3629</v>
      </c>
      <c r="G373" s="98">
        <v>18.871200000000002</v>
      </c>
      <c r="H373" s="99">
        <v>0.95489999999999997</v>
      </c>
      <c r="I373" s="100">
        <v>571.42309999999998</v>
      </c>
      <c r="J373" s="99">
        <v>430.0342</v>
      </c>
      <c r="K373" s="99">
        <v>21.356300000000001</v>
      </c>
      <c r="L373" s="165">
        <f>SUM(BabycareRaw[[#This Row],[2022]:[YTD 24]])</f>
        <v>44.189</v>
      </c>
    </row>
    <row r="374" spans="1:12" ht="15" customHeight="1" x14ac:dyDescent="0.2">
      <c r="A374" s="34" t="s">
        <v>305</v>
      </c>
      <c r="B374" s="32" t="s">
        <v>8</v>
      </c>
      <c r="C374" s="32" t="s">
        <v>9</v>
      </c>
      <c r="D374" s="33" t="s">
        <v>30</v>
      </c>
      <c r="E374" s="70" t="s">
        <v>34</v>
      </c>
      <c r="F374" s="97">
        <v>0</v>
      </c>
      <c r="G374" s="98">
        <v>0</v>
      </c>
      <c r="H374" s="99">
        <v>0</v>
      </c>
      <c r="I374" s="100">
        <v>0</v>
      </c>
      <c r="J374" s="99">
        <v>0</v>
      </c>
      <c r="K374" s="99">
        <v>0</v>
      </c>
      <c r="L374" s="165">
        <f>SUM(BabycareRaw[[#This Row],[2022]:[YTD 24]])</f>
        <v>0</v>
      </c>
    </row>
    <row r="375" spans="1:12" ht="15" customHeight="1" x14ac:dyDescent="0.2">
      <c r="A375" s="34" t="s">
        <v>306</v>
      </c>
      <c r="B375" s="32" t="s">
        <v>8</v>
      </c>
      <c r="C375" s="32" t="s">
        <v>9</v>
      </c>
      <c r="D375" s="33" t="s">
        <v>10</v>
      </c>
      <c r="E375" s="70" t="s">
        <v>34</v>
      </c>
      <c r="F375" s="97">
        <v>6.2572999999999999</v>
      </c>
      <c r="G375" s="98">
        <v>18.031600000000001</v>
      </c>
      <c r="H375" s="99">
        <v>4.2451999999999996</v>
      </c>
      <c r="I375" s="100">
        <v>140.29249999999999</v>
      </c>
      <c r="J375" s="99">
        <v>398.21929999999998</v>
      </c>
      <c r="K375" s="99">
        <v>95.220100000000002</v>
      </c>
      <c r="L375" s="165">
        <f>SUM(BabycareRaw[[#This Row],[2022]:[YTD 24]])</f>
        <v>28.534100000000002</v>
      </c>
    </row>
    <row r="376" spans="1:12" ht="15" customHeight="1" x14ac:dyDescent="0.2">
      <c r="A376" s="34" t="s">
        <v>307</v>
      </c>
      <c r="B376" s="32" t="s">
        <v>8</v>
      </c>
      <c r="C376" s="32" t="s">
        <v>9</v>
      </c>
      <c r="D376" s="33" t="s">
        <v>20</v>
      </c>
      <c r="E376" s="70" t="s">
        <v>37</v>
      </c>
      <c r="F376" s="97">
        <v>0</v>
      </c>
      <c r="G376" s="98">
        <v>0</v>
      </c>
      <c r="H376" s="99">
        <v>0.16520000000000001</v>
      </c>
      <c r="I376" s="100">
        <v>0</v>
      </c>
      <c r="J376" s="99">
        <v>0</v>
      </c>
      <c r="K376" s="99">
        <v>4.4053000000000004</v>
      </c>
      <c r="L376" s="165">
        <f>SUM(BabycareRaw[[#This Row],[2022]:[YTD 24]])</f>
        <v>0.16520000000000001</v>
      </c>
    </row>
    <row r="377" spans="1:12" ht="15" customHeight="1" x14ac:dyDescent="0.2">
      <c r="A377" s="34" t="s">
        <v>308</v>
      </c>
      <c r="B377" s="32" t="s">
        <v>8</v>
      </c>
      <c r="C377" s="32" t="s">
        <v>9</v>
      </c>
      <c r="D377" s="33" t="s">
        <v>10</v>
      </c>
      <c r="E377" s="70" t="s">
        <v>37</v>
      </c>
      <c r="F377" s="97">
        <v>2.9600000000000001E-2</v>
      </c>
      <c r="G377" s="98">
        <v>0</v>
      </c>
      <c r="H377" s="99">
        <v>0</v>
      </c>
      <c r="I377" s="100">
        <v>0.8246</v>
      </c>
      <c r="J377" s="99">
        <v>0</v>
      </c>
      <c r="K377" s="99">
        <v>0</v>
      </c>
      <c r="L377" s="165">
        <f>SUM(BabycareRaw[[#This Row],[2022]:[YTD 24]])</f>
        <v>2.9600000000000001E-2</v>
      </c>
    </row>
    <row r="378" spans="1:12" ht="15" customHeight="1" x14ac:dyDescent="0.2">
      <c r="A378" s="34" t="s">
        <v>309</v>
      </c>
      <c r="B378" s="32" t="s">
        <v>8</v>
      </c>
      <c r="C378" s="32" t="s">
        <v>9</v>
      </c>
      <c r="D378" s="33" t="s">
        <v>10</v>
      </c>
      <c r="E378" s="70" t="s">
        <v>37</v>
      </c>
      <c r="F378" s="97">
        <v>0</v>
      </c>
      <c r="G378" s="98">
        <v>0</v>
      </c>
      <c r="H378" s="99">
        <v>0</v>
      </c>
      <c r="I378" s="100">
        <v>0</v>
      </c>
      <c r="J378" s="99">
        <v>0</v>
      </c>
      <c r="K378" s="99">
        <v>0</v>
      </c>
      <c r="L378" s="165">
        <f>SUM(BabycareRaw[[#This Row],[2022]:[YTD 24]])</f>
        <v>0</v>
      </c>
    </row>
    <row r="379" spans="1:12" ht="15" customHeight="1" x14ac:dyDescent="0.2">
      <c r="A379" s="34" t="s">
        <v>310</v>
      </c>
      <c r="B379" s="32" t="s">
        <v>8</v>
      </c>
      <c r="C379" s="32" t="s">
        <v>9</v>
      </c>
      <c r="D379" s="33" t="s">
        <v>10</v>
      </c>
      <c r="E379" s="70" t="s">
        <v>42</v>
      </c>
      <c r="F379" s="97">
        <v>2.3472</v>
      </c>
      <c r="G379" s="98">
        <v>0.8044</v>
      </c>
      <c r="H379" s="99">
        <v>0</v>
      </c>
      <c r="I379" s="100">
        <v>54.641800000000003</v>
      </c>
      <c r="J379" s="99">
        <v>24.183599999999998</v>
      </c>
      <c r="K379" s="99">
        <v>0</v>
      </c>
      <c r="L379" s="165">
        <f>SUM(BabycareRaw[[#This Row],[2022]:[YTD 24]])</f>
        <v>3.1516000000000002</v>
      </c>
    </row>
    <row r="380" spans="1:12" ht="15" customHeight="1" x14ac:dyDescent="0.2">
      <c r="A380" s="27" t="s">
        <v>763</v>
      </c>
      <c r="B380" s="28" t="s">
        <v>5</v>
      </c>
      <c r="C380" s="28"/>
      <c r="D380" s="29"/>
      <c r="E380" s="68"/>
      <c r="F380" s="101">
        <v>6.1033999999999997</v>
      </c>
      <c r="G380" s="102">
        <v>8.2299999999999998E-2</v>
      </c>
      <c r="H380" s="103">
        <v>0</v>
      </c>
      <c r="I380" s="104">
        <v>422.25490000000002</v>
      </c>
      <c r="J380" s="103">
        <v>3.4649000000000001</v>
      </c>
      <c r="K380" s="103">
        <v>0</v>
      </c>
      <c r="L380" s="169">
        <f>SUM(BabycareRaw[[#This Row],[2022]:[YTD 24]])</f>
        <v>6.1856999999999998</v>
      </c>
    </row>
    <row r="381" spans="1:12" ht="14.25" customHeight="1" x14ac:dyDescent="0.2">
      <c r="A381" s="30" t="s">
        <v>311</v>
      </c>
      <c r="B381" s="31" t="s">
        <v>6</v>
      </c>
      <c r="C381" s="32"/>
      <c r="D381" s="33"/>
      <c r="E381" s="70"/>
      <c r="F381" s="97">
        <v>6.1033999999999997</v>
      </c>
      <c r="G381" s="98">
        <v>8.2299999999999998E-2</v>
      </c>
      <c r="H381" s="99">
        <v>0</v>
      </c>
      <c r="I381" s="100">
        <v>422.25490000000002</v>
      </c>
      <c r="J381" s="99">
        <v>3.4649000000000001</v>
      </c>
      <c r="K381" s="99">
        <v>0</v>
      </c>
      <c r="L381" s="165">
        <f>SUM(BabycareRaw[[#This Row],[2022]:[YTD 24]])</f>
        <v>6.1856999999999998</v>
      </c>
    </row>
    <row r="382" spans="1:12" ht="15" customHeight="1" x14ac:dyDescent="0.2">
      <c r="A382" s="34" t="s">
        <v>312</v>
      </c>
      <c r="B382" s="32" t="s">
        <v>8</v>
      </c>
      <c r="C382" s="32" t="s">
        <v>9</v>
      </c>
      <c r="D382" s="33" t="s">
        <v>30</v>
      </c>
      <c r="E382" s="70" t="s">
        <v>103</v>
      </c>
      <c r="F382" s="97">
        <v>5.9740000000000002</v>
      </c>
      <c r="G382" s="98">
        <v>0</v>
      </c>
      <c r="H382" s="99">
        <v>0</v>
      </c>
      <c r="I382" s="100">
        <v>416.80889999999999</v>
      </c>
      <c r="J382" s="99">
        <v>0</v>
      </c>
      <c r="K382" s="99">
        <v>0</v>
      </c>
      <c r="L382" s="165">
        <f>SUM(BabycareRaw[[#This Row],[2022]:[YTD 24]])</f>
        <v>5.9740000000000002</v>
      </c>
    </row>
    <row r="383" spans="1:12" ht="15" customHeight="1" x14ac:dyDescent="0.2">
      <c r="A383" s="34" t="s">
        <v>313</v>
      </c>
      <c r="B383" s="32" t="s">
        <v>8</v>
      </c>
      <c r="C383" s="32" t="s">
        <v>9</v>
      </c>
      <c r="D383" s="33" t="s">
        <v>20</v>
      </c>
      <c r="E383" s="70" t="s">
        <v>17</v>
      </c>
      <c r="F383" s="97">
        <v>0.1293</v>
      </c>
      <c r="G383" s="98">
        <v>8.2299999999999998E-2</v>
      </c>
      <c r="H383" s="99">
        <v>0</v>
      </c>
      <c r="I383" s="100">
        <v>5.4459999999999997</v>
      </c>
      <c r="J383" s="99">
        <v>3.4649000000000001</v>
      </c>
      <c r="K383" s="99">
        <v>0</v>
      </c>
      <c r="L383" s="165">
        <f>SUM(BabycareRaw[[#This Row],[2022]:[YTD 24]])</f>
        <v>0.21160000000000001</v>
      </c>
    </row>
    <row r="384" spans="1:12" ht="15" customHeight="1" x14ac:dyDescent="0.2">
      <c r="A384" s="27" t="s">
        <v>764</v>
      </c>
      <c r="B384" s="28" t="s">
        <v>5</v>
      </c>
      <c r="C384" s="28"/>
      <c r="D384" s="29"/>
      <c r="E384" s="68"/>
      <c r="F384" s="101">
        <v>11.181699999999999</v>
      </c>
      <c r="G384" s="102">
        <v>15.1816</v>
      </c>
      <c r="H384" s="103">
        <v>9.6165000000000003</v>
      </c>
      <c r="I384" s="104">
        <v>586.38080000000002</v>
      </c>
      <c r="J384" s="103">
        <v>752.94479999999999</v>
      </c>
      <c r="K384" s="103">
        <v>438.76389999999998</v>
      </c>
      <c r="L384" s="169">
        <f>SUM(BabycareRaw[[#This Row],[2022]:[YTD 24]])</f>
        <v>35.979799999999997</v>
      </c>
    </row>
    <row r="385" spans="1:12" ht="14.25" customHeight="1" x14ac:dyDescent="0.2">
      <c r="A385" s="30" t="s">
        <v>314</v>
      </c>
      <c r="B385" s="31" t="s">
        <v>6</v>
      </c>
      <c r="C385" s="32"/>
      <c r="D385" s="33"/>
      <c r="E385" s="70"/>
      <c r="F385" s="97">
        <v>11.181699999999999</v>
      </c>
      <c r="G385" s="98">
        <v>15.1816</v>
      </c>
      <c r="H385" s="99">
        <v>9.6165000000000003</v>
      </c>
      <c r="I385" s="100">
        <v>586.38080000000002</v>
      </c>
      <c r="J385" s="99">
        <v>752.94479999999999</v>
      </c>
      <c r="K385" s="99">
        <v>438.76389999999998</v>
      </c>
      <c r="L385" s="165">
        <f>SUM(BabycareRaw[[#This Row],[2022]:[YTD 24]])</f>
        <v>35.979799999999997</v>
      </c>
    </row>
    <row r="386" spans="1:12" ht="15" customHeight="1" x14ac:dyDescent="0.2">
      <c r="A386" s="34" t="s">
        <v>315</v>
      </c>
      <c r="B386" s="32" t="s">
        <v>8</v>
      </c>
      <c r="C386" s="32" t="s">
        <v>9</v>
      </c>
      <c r="D386" s="33" t="s">
        <v>30</v>
      </c>
      <c r="E386" s="70" t="s">
        <v>42</v>
      </c>
      <c r="F386" s="97">
        <v>11.181699999999999</v>
      </c>
      <c r="G386" s="98">
        <v>15.1816</v>
      </c>
      <c r="H386" s="99">
        <v>9.6165000000000003</v>
      </c>
      <c r="I386" s="100">
        <v>586.38080000000002</v>
      </c>
      <c r="J386" s="99">
        <v>752.94479999999999</v>
      </c>
      <c r="K386" s="99">
        <v>438.76389999999998</v>
      </c>
      <c r="L386" s="165">
        <f>SUM(BabycareRaw[[#This Row],[2022]:[YTD 24]])</f>
        <v>35.979799999999997</v>
      </c>
    </row>
    <row r="387" spans="1:12" ht="15" customHeight="1" x14ac:dyDescent="0.2">
      <c r="A387" s="27" t="s">
        <v>765</v>
      </c>
      <c r="B387" s="28" t="s">
        <v>5</v>
      </c>
      <c r="C387" s="28"/>
      <c r="D387" s="29"/>
      <c r="E387" s="68"/>
      <c r="F387" s="101">
        <v>20.5808</v>
      </c>
      <c r="G387" s="102">
        <v>16.885999999999999</v>
      </c>
      <c r="H387" s="103">
        <v>8.2624999999999993</v>
      </c>
      <c r="I387" s="104">
        <v>116.04819999999999</v>
      </c>
      <c r="J387" s="103">
        <v>107.1939</v>
      </c>
      <c r="K387" s="103">
        <v>44.347099999999998</v>
      </c>
      <c r="L387" s="169">
        <f>SUM(BabycareRaw[[#This Row],[2022]:[YTD 24]])</f>
        <v>45.729299999999995</v>
      </c>
    </row>
    <row r="388" spans="1:12" ht="14.25" customHeight="1" x14ac:dyDescent="0.2">
      <c r="A388" s="30" t="s">
        <v>316</v>
      </c>
      <c r="B388" s="31" t="s">
        <v>6</v>
      </c>
      <c r="C388" s="32"/>
      <c r="D388" s="33"/>
      <c r="E388" s="70"/>
      <c r="F388" s="97">
        <v>20.5808</v>
      </c>
      <c r="G388" s="98">
        <v>16.885999999999999</v>
      </c>
      <c r="H388" s="99">
        <v>8.2624999999999993</v>
      </c>
      <c r="I388" s="100">
        <v>116.04819999999999</v>
      </c>
      <c r="J388" s="99">
        <v>107.1939</v>
      </c>
      <c r="K388" s="99">
        <v>44.347099999999998</v>
      </c>
      <c r="L388" s="165">
        <f>SUM(BabycareRaw[[#This Row],[2022]:[YTD 24]])</f>
        <v>45.729299999999995</v>
      </c>
    </row>
    <row r="389" spans="1:12" ht="15" customHeight="1" x14ac:dyDescent="0.2">
      <c r="A389" s="34" t="s">
        <v>317</v>
      </c>
      <c r="B389" s="32" t="s">
        <v>8</v>
      </c>
      <c r="C389" s="32" t="s">
        <v>9</v>
      </c>
      <c r="D389" s="33" t="s">
        <v>69</v>
      </c>
      <c r="E389" s="70" t="s">
        <v>88</v>
      </c>
      <c r="F389" s="97">
        <v>8.2699999999999996E-2</v>
      </c>
      <c r="G389" s="98">
        <v>4.5199999999999997E-2</v>
      </c>
      <c r="H389" s="99">
        <v>5.4999999999999997E-3</v>
      </c>
      <c r="I389" s="100">
        <v>0.35360000000000003</v>
      </c>
      <c r="J389" s="99">
        <v>0.2</v>
      </c>
      <c r="K389" s="99">
        <v>2.5000000000000001E-2</v>
      </c>
      <c r="L389" s="165">
        <f>SUM(BabycareRaw[[#This Row],[2022]:[YTD 24]])</f>
        <v>0.13339999999999999</v>
      </c>
    </row>
    <row r="390" spans="1:12" ht="15" customHeight="1" x14ac:dyDescent="0.2">
      <c r="A390" s="34" t="s">
        <v>318</v>
      </c>
      <c r="B390" s="32" t="s">
        <v>8</v>
      </c>
      <c r="C390" s="32" t="s">
        <v>9</v>
      </c>
      <c r="D390" s="33" t="s">
        <v>69</v>
      </c>
      <c r="E390" s="70" t="s">
        <v>88</v>
      </c>
      <c r="F390" s="97">
        <v>2.0510000000000002</v>
      </c>
      <c r="G390" s="98">
        <v>2.5941999999999998</v>
      </c>
      <c r="H390" s="99">
        <v>0.76219999999999999</v>
      </c>
      <c r="I390" s="100">
        <v>8.6088000000000005</v>
      </c>
      <c r="J390" s="99">
        <v>11.446400000000001</v>
      </c>
      <c r="K390" s="99">
        <v>3.6349999999999998</v>
      </c>
      <c r="L390" s="165">
        <f>SUM(BabycareRaw[[#This Row],[2022]:[YTD 24]])</f>
        <v>5.4074</v>
      </c>
    </row>
    <row r="391" spans="1:12" ht="15" customHeight="1" x14ac:dyDescent="0.2">
      <c r="A391" s="34" t="s">
        <v>319</v>
      </c>
      <c r="B391" s="32" t="s">
        <v>8</v>
      </c>
      <c r="C391" s="32" t="s">
        <v>9</v>
      </c>
      <c r="D391" s="33" t="s">
        <v>69</v>
      </c>
      <c r="E391" s="70" t="s">
        <v>15</v>
      </c>
      <c r="F391" s="97">
        <v>10.297499999999999</v>
      </c>
      <c r="G391" s="98">
        <v>4.8240999999999996</v>
      </c>
      <c r="H391" s="99">
        <v>4.976</v>
      </c>
      <c r="I391" s="100">
        <v>49.665700000000001</v>
      </c>
      <c r="J391" s="99">
        <v>27.7622</v>
      </c>
      <c r="K391" s="99">
        <v>22.308599999999998</v>
      </c>
      <c r="L391" s="165">
        <f>SUM(BabycareRaw[[#This Row],[2022]:[YTD 24]])</f>
        <v>20.0976</v>
      </c>
    </row>
    <row r="392" spans="1:12" ht="15" customHeight="1" x14ac:dyDescent="0.2">
      <c r="A392" s="34" t="s">
        <v>320</v>
      </c>
      <c r="B392" s="32" t="s">
        <v>8</v>
      </c>
      <c r="C392" s="32" t="s">
        <v>9</v>
      </c>
      <c r="D392" s="33" t="s">
        <v>69</v>
      </c>
      <c r="E392" s="70" t="s">
        <v>15</v>
      </c>
      <c r="F392" s="97">
        <v>0.2089</v>
      </c>
      <c r="G392" s="98">
        <v>0</v>
      </c>
      <c r="H392" s="99">
        <v>0</v>
      </c>
      <c r="I392" s="100">
        <v>1.25</v>
      </c>
      <c r="J392" s="99">
        <v>0</v>
      </c>
      <c r="K392" s="99">
        <v>0</v>
      </c>
      <c r="L392" s="165">
        <f>SUM(BabycareRaw[[#This Row],[2022]:[YTD 24]])</f>
        <v>0.2089</v>
      </c>
    </row>
    <row r="393" spans="1:12" ht="15" customHeight="1" x14ac:dyDescent="0.2">
      <c r="A393" s="34" t="s">
        <v>321</v>
      </c>
      <c r="B393" s="32" t="s">
        <v>8</v>
      </c>
      <c r="C393" s="32" t="s">
        <v>9</v>
      </c>
      <c r="D393" s="33" t="s">
        <v>10</v>
      </c>
      <c r="E393" s="70" t="s">
        <v>99</v>
      </c>
      <c r="F393" s="97">
        <v>0</v>
      </c>
      <c r="G393" s="98">
        <v>0</v>
      </c>
      <c r="H393" s="99">
        <v>0.18790000000000001</v>
      </c>
      <c r="I393" s="100">
        <v>0</v>
      </c>
      <c r="J393" s="99">
        <v>0</v>
      </c>
      <c r="K393" s="99">
        <v>1.0885</v>
      </c>
      <c r="L393" s="165">
        <f>SUM(BabycareRaw[[#This Row],[2022]:[YTD 24]])</f>
        <v>0.18790000000000001</v>
      </c>
    </row>
    <row r="394" spans="1:12" ht="15" customHeight="1" x14ac:dyDescent="0.2">
      <c r="A394" s="34" t="s">
        <v>322</v>
      </c>
      <c r="B394" s="32" t="s">
        <v>8</v>
      </c>
      <c r="C394" s="32" t="s">
        <v>9</v>
      </c>
      <c r="D394" s="33" t="s">
        <v>10</v>
      </c>
      <c r="E394" s="70" t="s">
        <v>103</v>
      </c>
      <c r="F394" s="97">
        <v>1.4366000000000001</v>
      </c>
      <c r="G394" s="98">
        <v>2.8525</v>
      </c>
      <c r="H394" s="99">
        <v>1.1071</v>
      </c>
      <c r="I394" s="100">
        <v>10.09</v>
      </c>
      <c r="J394" s="99">
        <v>20.329999999999998</v>
      </c>
      <c r="K394" s="99">
        <v>7.64</v>
      </c>
      <c r="L394" s="165">
        <f>SUM(BabycareRaw[[#This Row],[2022]:[YTD 24]])</f>
        <v>5.3962000000000003</v>
      </c>
    </row>
    <row r="395" spans="1:12" ht="15" customHeight="1" x14ac:dyDescent="0.2">
      <c r="A395" s="34" t="s">
        <v>323</v>
      </c>
      <c r="B395" s="32" t="s">
        <v>8</v>
      </c>
      <c r="C395" s="32" t="s">
        <v>9</v>
      </c>
      <c r="D395" s="33" t="s">
        <v>69</v>
      </c>
      <c r="E395" s="70" t="s">
        <v>103</v>
      </c>
      <c r="F395" s="97">
        <v>6.5038999999999998</v>
      </c>
      <c r="G395" s="98">
        <v>6.5046999999999997</v>
      </c>
      <c r="H395" s="99">
        <v>1.2238</v>
      </c>
      <c r="I395" s="100">
        <v>46.08</v>
      </c>
      <c r="J395" s="99">
        <v>47.101700000000001</v>
      </c>
      <c r="K395" s="99">
        <v>9.65</v>
      </c>
      <c r="L395" s="165">
        <f>SUM(BabycareRaw[[#This Row],[2022]:[YTD 24]])</f>
        <v>14.2324</v>
      </c>
    </row>
    <row r="396" spans="1:12" ht="15" customHeight="1" x14ac:dyDescent="0.2">
      <c r="A396" s="34" t="s">
        <v>324</v>
      </c>
      <c r="B396" s="32" t="s">
        <v>8</v>
      </c>
      <c r="C396" s="32" t="s">
        <v>9</v>
      </c>
      <c r="D396" s="33" t="s">
        <v>30</v>
      </c>
      <c r="E396" s="70" t="s">
        <v>103</v>
      </c>
      <c r="F396" s="97">
        <v>0</v>
      </c>
      <c r="G396" s="98">
        <v>6.5199999999999994E-2</v>
      </c>
      <c r="H396" s="99">
        <v>0</v>
      </c>
      <c r="I396" s="100">
        <v>0</v>
      </c>
      <c r="J396" s="99">
        <v>0.35370000000000001</v>
      </c>
      <c r="K396" s="99">
        <v>0</v>
      </c>
      <c r="L396" s="165">
        <f>SUM(BabycareRaw[[#This Row],[2022]:[YTD 24]])</f>
        <v>6.5199999999999994E-2</v>
      </c>
    </row>
    <row r="397" spans="1:12" ht="15" customHeight="1" x14ac:dyDescent="0.2">
      <c r="A397" s="27" t="s">
        <v>766</v>
      </c>
      <c r="B397" s="28" t="s">
        <v>5</v>
      </c>
      <c r="C397" s="28"/>
      <c r="D397" s="29"/>
      <c r="E397" s="68"/>
      <c r="F397" s="101">
        <v>7.0000000000000001E-3</v>
      </c>
      <c r="G397" s="102">
        <v>0</v>
      </c>
      <c r="H397" s="103">
        <v>0</v>
      </c>
      <c r="I397" s="104">
        <v>0.08</v>
      </c>
      <c r="J397" s="103">
        <v>0</v>
      </c>
      <c r="K397" s="103">
        <v>0</v>
      </c>
      <c r="L397" s="169">
        <f>SUM(BabycareRaw[[#This Row],[2022]:[YTD 24]])</f>
        <v>7.0000000000000001E-3</v>
      </c>
    </row>
    <row r="398" spans="1:12" ht="14.25" customHeight="1" x14ac:dyDescent="0.2">
      <c r="A398" s="30" t="s">
        <v>325</v>
      </c>
      <c r="B398" s="31" t="s">
        <v>6</v>
      </c>
      <c r="C398" s="32"/>
      <c r="D398" s="33"/>
      <c r="E398" s="70"/>
      <c r="F398" s="97">
        <v>7.0000000000000001E-3</v>
      </c>
      <c r="G398" s="98">
        <v>0</v>
      </c>
      <c r="H398" s="99">
        <v>0</v>
      </c>
      <c r="I398" s="100">
        <v>0.08</v>
      </c>
      <c r="J398" s="99">
        <v>0</v>
      </c>
      <c r="K398" s="99">
        <v>0</v>
      </c>
      <c r="L398" s="165">
        <f>SUM(BabycareRaw[[#This Row],[2022]:[YTD 24]])</f>
        <v>7.0000000000000001E-3</v>
      </c>
    </row>
    <row r="399" spans="1:12" ht="15" customHeight="1" x14ac:dyDescent="0.2">
      <c r="A399" s="34" t="s">
        <v>326</v>
      </c>
      <c r="B399" s="32" t="s">
        <v>8</v>
      </c>
      <c r="C399" s="32" t="s">
        <v>9</v>
      </c>
      <c r="D399" s="33" t="s">
        <v>30</v>
      </c>
      <c r="E399" s="70" t="s">
        <v>17</v>
      </c>
      <c r="F399" s="97">
        <v>7.0000000000000001E-3</v>
      </c>
      <c r="G399" s="98">
        <v>0</v>
      </c>
      <c r="H399" s="99">
        <v>0</v>
      </c>
      <c r="I399" s="100">
        <v>0.08</v>
      </c>
      <c r="J399" s="99">
        <v>0</v>
      </c>
      <c r="K399" s="99">
        <v>0</v>
      </c>
      <c r="L399" s="165">
        <f>SUM(BabycareRaw[[#This Row],[2022]:[YTD 24]])</f>
        <v>7.0000000000000001E-3</v>
      </c>
    </row>
    <row r="400" spans="1:12" ht="15" customHeight="1" x14ac:dyDescent="0.2">
      <c r="A400" s="27" t="s">
        <v>767</v>
      </c>
      <c r="B400" s="28" t="s">
        <v>5</v>
      </c>
      <c r="C400" s="28"/>
      <c r="D400" s="29"/>
      <c r="E400" s="68"/>
      <c r="F400" s="101">
        <v>394.68380000000002</v>
      </c>
      <c r="G400" s="102">
        <v>409.49610000000001</v>
      </c>
      <c r="H400" s="103">
        <v>321.2638</v>
      </c>
      <c r="I400" s="104">
        <v>18974.913799999998</v>
      </c>
      <c r="J400" s="103">
        <v>19732.122100000001</v>
      </c>
      <c r="K400" s="103">
        <v>15809.1695</v>
      </c>
      <c r="L400" s="169">
        <f>SUM(BabycareRaw[[#This Row],[2022]:[YTD 24]])</f>
        <v>1125.4437</v>
      </c>
    </row>
    <row r="401" spans="1:12" ht="14.25" customHeight="1" x14ac:dyDescent="0.2">
      <c r="A401" s="30" t="s">
        <v>327</v>
      </c>
      <c r="B401" s="31" t="s">
        <v>6</v>
      </c>
      <c r="C401" s="32"/>
      <c r="D401" s="33"/>
      <c r="E401" s="70"/>
      <c r="F401" s="97">
        <v>394.4622</v>
      </c>
      <c r="G401" s="98">
        <v>406.93380000000002</v>
      </c>
      <c r="H401" s="99">
        <v>320.21539999999999</v>
      </c>
      <c r="I401" s="100">
        <v>18966.535500000002</v>
      </c>
      <c r="J401" s="99">
        <v>19594.108899999999</v>
      </c>
      <c r="K401" s="99">
        <v>15751.087</v>
      </c>
      <c r="L401" s="165">
        <f>SUM(BabycareRaw[[#This Row],[2022]:[YTD 24]])</f>
        <v>1121.6114</v>
      </c>
    </row>
    <row r="402" spans="1:12" ht="15" customHeight="1" x14ac:dyDescent="0.2">
      <c r="A402" s="34" t="s">
        <v>328</v>
      </c>
      <c r="B402" s="32" t="s">
        <v>8</v>
      </c>
      <c r="C402" s="32" t="s">
        <v>9</v>
      </c>
      <c r="D402" s="33" t="s">
        <v>30</v>
      </c>
      <c r="E402" s="70" t="s">
        <v>21</v>
      </c>
      <c r="F402" s="97">
        <v>0</v>
      </c>
      <c r="G402" s="98">
        <v>0</v>
      </c>
      <c r="H402" s="99">
        <v>0.80289999999999995</v>
      </c>
      <c r="I402" s="100">
        <v>0</v>
      </c>
      <c r="J402" s="99">
        <v>0</v>
      </c>
      <c r="K402" s="99">
        <v>36.833599999999997</v>
      </c>
      <c r="L402" s="165">
        <f>SUM(BabycareRaw[[#This Row],[2022]:[YTD 24]])</f>
        <v>0.80289999999999995</v>
      </c>
    </row>
    <row r="403" spans="1:12" ht="15" customHeight="1" x14ac:dyDescent="0.2">
      <c r="A403" s="34" t="s">
        <v>329</v>
      </c>
      <c r="B403" s="32" t="s">
        <v>8</v>
      </c>
      <c r="C403" s="32" t="s">
        <v>9</v>
      </c>
      <c r="D403" s="33" t="s">
        <v>20</v>
      </c>
      <c r="E403" s="70" t="s">
        <v>21</v>
      </c>
      <c r="F403" s="97">
        <v>9.9892000000000003</v>
      </c>
      <c r="G403" s="98">
        <v>8.1153999999999993</v>
      </c>
      <c r="H403" s="99">
        <v>3.5836999999999999</v>
      </c>
      <c r="I403" s="100">
        <v>492.51530000000002</v>
      </c>
      <c r="J403" s="99">
        <v>366.96510000000001</v>
      </c>
      <c r="K403" s="99">
        <v>145.6557</v>
      </c>
      <c r="L403" s="165">
        <f>SUM(BabycareRaw[[#This Row],[2022]:[YTD 24]])</f>
        <v>21.688299999999998</v>
      </c>
    </row>
    <row r="404" spans="1:12" ht="15" customHeight="1" x14ac:dyDescent="0.2">
      <c r="A404" s="34" t="s">
        <v>330</v>
      </c>
      <c r="B404" s="32" t="s">
        <v>8</v>
      </c>
      <c r="C404" s="32" t="s">
        <v>9</v>
      </c>
      <c r="D404" s="33" t="s">
        <v>30</v>
      </c>
      <c r="E404" s="70" t="s">
        <v>21</v>
      </c>
      <c r="F404" s="97">
        <v>2.3199999999999998E-2</v>
      </c>
      <c r="G404" s="98">
        <v>2.375</v>
      </c>
      <c r="H404" s="99">
        <v>2.0299</v>
      </c>
      <c r="I404" s="100">
        <v>1.054</v>
      </c>
      <c r="J404" s="99">
        <v>113.97580000000001</v>
      </c>
      <c r="K404" s="99">
        <v>89.836200000000005</v>
      </c>
      <c r="L404" s="165">
        <f>SUM(BabycareRaw[[#This Row],[2022]:[YTD 24]])</f>
        <v>4.4281000000000006</v>
      </c>
    </row>
    <row r="405" spans="1:12" ht="15" customHeight="1" x14ac:dyDescent="0.2">
      <c r="A405" s="34" t="s">
        <v>331</v>
      </c>
      <c r="B405" s="32" t="s">
        <v>8</v>
      </c>
      <c r="C405" s="32" t="s">
        <v>9</v>
      </c>
      <c r="D405" s="33" t="s">
        <v>20</v>
      </c>
      <c r="E405" s="70" t="s">
        <v>21</v>
      </c>
      <c r="F405" s="97">
        <v>12.8912</v>
      </c>
      <c r="G405" s="98">
        <v>14.945399999999999</v>
      </c>
      <c r="H405" s="99">
        <v>2.4279000000000002</v>
      </c>
      <c r="I405" s="100">
        <v>607.44449999999995</v>
      </c>
      <c r="J405" s="99">
        <v>678.69550000000004</v>
      </c>
      <c r="K405" s="99">
        <v>103.8368</v>
      </c>
      <c r="L405" s="165">
        <f>SUM(BabycareRaw[[#This Row],[2022]:[YTD 24]])</f>
        <v>30.264499999999998</v>
      </c>
    </row>
    <row r="406" spans="1:12" ht="15" customHeight="1" x14ac:dyDescent="0.2">
      <c r="A406" s="34" t="s">
        <v>332</v>
      </c>
      <c r="B406" s="32" t="s">
        <v>8</v>
      </c>
      <c r="C406" s="32" t="s">
        <v>9</v>
      </c>
      <c r="D406" s="33" t="s">
        <v>10</v>
      </c>
      <c r="E406" s="70" t="s">
        <v>21</v>
      </c>
      <c r="F406" s="97">
        <v>0</v>
      </c>
      <c r="G406" s="98">
        <v>0.01</v>
      </c>
      <c r="H406" s="99">
        <v>1.5183</v>
      </c>
      <c r="I406" s="100">
        <v>0</v>
      </c>
      <c r="J406" s="99">
        <v>0.48130000000000001</v>
      </c>
      <c r="K406" s="99">
        <v>68.4452</v>
      </c>
      <c r="L406" s="165">
        <f>SUM(BabycareRaw[[#This Row],[2022]:[YTD 24]])</f>
        <v>1.5283</v>
      </c>
    </row>
    <row r="407" spans="1:12" ht="15" customHeight="1" x14ac:dyDescent="0.2">
      <c r="A407" s="34" t="s">
        <v>333</v>
      </c>
      <c r="B407" s="32" t="s">
        <v>8</v>
      </c>
      <c r="C407" s="32" t="s">
        <v>9</v>
      </c>
      <c r="D407" s="33" t="s">
        <v>30</v>
      </c>
      <c r="E407" s="70" t="s">
        <v>21</v>
      </c>
      <c r="F407" s="97">
        <v>32.355400000000003</v>
      </c>
      <c r="G407" s="98">
        <v>38.555399999999999</v>
      </c>
      <c r="H407" s="99">
        <v>28.667999999999999</v>
      </c>
      <c r="I407" s="100">
        <v>1339.7692</v>
      </c>
      <c r="J407" s="99">
        <v>1517.8848</v>
      </c>
      <c r="K407" s="99">
        <v>1147.3356000000001</v>
      </c>
      <c r="L407" s="165">
        <f>SUM(BabycareRaw[[#This Row],[2022]:[YTD 24]])</f>
        <v>99.578800000000001</v>
      </c>
    </row>
    <row r="408" spans="1:12" ht="15" customHeight="1" x14ac:dyDescent="0.2">
      <c r="A408" s="34" t="s">
        <v>334</v>
      </c>
      <c r="B408" s="32" t="s">
        <v>8</v>
      </c>
      <c r="C408" s="32" t="s">
        <v>9</v>
      </c>
      <c r="D408" s="33" t="s">
        <v>20</v>
      </c>
      <c r="E408" s="70" t="s">
        <v>24</v>
      </c>
      <c r="F408" s="97">
        <v>39.0503</v>
      </c>
      <c r="G408" s="98">
        <v>53.6008</v>
      </c>
      <c r="H408" s="99">
        <v>45.671900000000001</v>
      </c>
      <c r="I408" s="100">
        <v>2028.7261000000001</v>
      </c>
      <c r="J408" s="99">
        <v>2727.4971999999998</v>
      </c>
      <c r="K408" s="99">
        <v>2409.5587999999998</v>
      </c>
      <c r="L408" s="165">
        <f>SUM(BabycareRaw[[#This Row],[2022]:[YTD 24]])</f>
        <v>138.32300000000001</v>
      </c>
    </row>
    <row r="409" spans="1:12" ht="15" customHeight="1" x14ac:dyDescent="0.2">
      <c r="A409" s="34" t="s">
        <v>335</v>
      </c>
      <c r="B409" s="32" t="s">
        <v>8</v>
      </c>
      <c r="C409" s="32" t="s">
        <v>9</v>
      </c>
      <c r="D409" s="33" t="s">
        <v>30</v>
      </c>
      <c r="E409" s="70" t="s">
        <v>24</v>
      </c>
      <c r="F409" s="97">
        <v>18.061</v>
      </c>
      <c r="G409" s="98">
        <v>20.3689</v>
      </c>
      <c r="H409" s="99">
        <v>25.3782</v>
      </c>
      <c r="I409" s="100">
        <v>997.27200000000005</v>
      </c>
      <c r="J409" s="99">
        <v>1129.9784999999999</v>
      </c>
      <c r="K409" s="99">
        <v>1401.0871999999999</v>
      </c>
      <c r="L409" s="165">
        <f>SUM(BabycareRaw[[#This Row],[2022]:[YTD 24]])</f>
        <v>63.808100000000003</v>
      </c>
    </row>
    <row r="410" spans="1:12" ht="15" customHeight="1" x14ac:dyDescent="0.2">
      <c r="A410" s="34" t="s">
        <v>336</v>
      </c>
      <c r="B410" s="32" t="s">
        <v>8</v>
      </c>
      <c r="C410" s="32" t="s">
        <v>9</v>
      </c>
      <c r="D410" s="33" t="s">
        <v>20</v>
      </c>
      <c r="E410" s="70" t="s">
        <v>24</v>
      </c>
      <c r="F410" s="97">
        <v>60.256900000000002</v>
      </c>
      <c r="G410" s="98">
        <v>59.171300000000002</v>
      </c>
      <c r="H410" s="99">
        <v>46.391500000000001</v>
      </c>
      <c r="I410" s="100">
        <v>3003.9076</v>
      </c>
      <c r="J410" s="99">
        <v>2862.6754999999998</v>
      </c>
      <c r="K410" s="99">
        <v>2309.9086000000002</v>
      </c>
      <c r="L410" s="165">
        <f>SUM(BabycareRaw[[#This Row],[2022]:[YTD 24]])</f>
        <v>165.81970000000001</v>
      </c>
    </row>
    <row r="411" spans="1:12" ht="15" customHeight="1" x14ac:dyDescent="0.2">
      <c r="A411" s="34" t="s">
        <v>337</v>
      </c>
      <c r="B411" s="32" t="s">
        <v>8</v>
      </c>
      <c r="C411" s="32" t="s">
        <v>9</v>
      </c>
      <c r="D411" s="33" t="s">
        <v>20</v>
      </c>
      <c r="E411" s="70" t="s">
        <v>24</v>
      </c>
      <c r="F411" s="97">
        <v>20.0168</v>
      </c>
      <c r="G411" s="98">
        <v>19.4117</v>
      </c>
      <c r="H411" s="99">
        <v>16.676400000000001</v>
      </c>
      <c r="I411" s="100">
        <v>1086.6414</v>
      </c>
      <c r="J411" s="99">
        <v>1089.1328000000001</v>
      </c>
      <c r="K411" s="99">
        <v>913.75469999999996</v>
      </c>
      <c r="L411" s="165">
        <f>SUM(BabycareRaw[[#This Row],[2022]:[YTD 24]])</f>
        <v>56.104900000000001</v>
      </c>
    </row>
    <row r="412" spans="1:12" ht="15" customHeight="1" x14ac:dyDescent="0.2">
      <c r="A412" s="34" t="s">
        <v>338</v>
      </c>
      <c r="B412" s="32" t="s">
        <v>8</v>
      </c>
      <c r="C412" s="32" t="s">
        <v>9</v>
      </c>
      <c r="D412" s="33" t="s">
        <v>20</v>
      </c>
      <c r="E412" s="70" t="s">
        <v>24</v>
      </c>
      <c r="F412" s="97">
        <v>15.4658</v>
      </c>
      <c r="G412" s="98">
        <v>23.898299999999999</v>
      </c>
      <c r="H412" s="99">
        <v>20.8841</v>
      </c>
      <c r="I412" s="100">
        <v>835.59469999999999</v>
      </c>
      <c r="J412" s="99">
        <v>1304.8905999999999</v>
      </c>
      <c r="K412" s="99">
        <v>1122.8086000000001</v>
      </c>
      <c r="L412" s="165">
        <f>SUM(BabycareRaw[[#This Row],[2022]:[YTD 24]])</f>
        <v>60.248199999999997</v>
      </c>
    </row>
    <row r="413" spans="1:12" ht="15" customHeight="1" x14ac:dyDescent="0.2">
      <c r="A413" s="34" t="s">
        <v>339</v>
      </c>
      <c r="B413" s="32" t="s">
        <v>8</v>
      </c>
      <c r="C413" s="32" t="s">
        <v>9</v>
      </c>
      <c r="D413" s="33" t="s">
        <v>10</v>
      </c>
      <c r="E413" s="70" t="s">
        <v>24</v>
      </c>
      <c r="F413" s="97">
        <v>17.192699999999999</v>
      </c>
      <c r="G413" s="98">
        <v>14.837400000000001</v>
      </c>
      <c r="H413" s="99">
        <v>10.0755</v>
      </c>
      <c r="I413" s="100">
        <v>845.18690000000004</v>
      </c>
      <c r="J413" s="99">
        <v>818.97209999999995</v>
      </c>
      <c r="K413" s="99">
        <v>554.23329999999999</v>
      </c>
      <c r="L413" s="165">
        <f>SUM(BabycareRaw[[#This Row],[2022]:[YTD 24]])</f>
        <v>42.105599999999995</v>
      </c>
    </row>
    <row r="414" spans="1:12" ht="15" customHeight="1" x14ac:dyDescent="0.2">
      <c r="A414" s="34" t="s">
        <v>340</v>
      </c>
      <c r="B414" s="32" t="s">
        <v>8</v>
      </c>
      <c r="C414" s="32" t="s">
        <v>9</v>
      </c>
      <c r="D414" s="33" t="s">
        <v>30</v>
      </c>
      <c r="E414" s="70" t="s">
        <v>24</v>
      </c>
      <c r="F414" s="97">
        <v>12.4558</v>
      </c>
      <c r="G414" s="98">
        <v>19.5045</v>
      </c>
      <c r="H414" s="99">
        <v>19.680399999999999</v>
      </c>
      <c r="I414" s="100">
        <v>695.70420000000001</v>
      </c>
      <c r="J414" s="99">
        <v>1080.8305</v>
      </c>
      <c r="K414" s="99">
        <v>1068.2409</v>
      </c>
      <c r="L414" s="165">
        <f>SUM(BabycareRaw[[#This Row],[2022]:[YTD 24]])</f>
        <v>51.640699999999995</v>
      </c>
    </row>
    <row r="415" spans="1:12" ht="15" customHeight="1" x14ac:dyDescent="0.2">
      <c r="A415" s="34" t="s">
        <v>341</v>
      </c>
      <c r="B415" s="32" t="s">
        <v>8</v>
      </c>
      <c r="C415" s="32" t="s">
        <v>9</v>
      </c>
      <c r="D415" s="33" t="s">
        <v>30</v>
      </c>
      <c r="E415" s="70" t="s">
        <v>24</v>
      </c>
      <c r="F415" s="97">
        <v>29.7578</v>
      </c>
      <c r="G415" s="98">
        <v>42.059199999999997</v>
      </c>
      <c r="H415" s="99">
        <v>37.9373</v>
      </c>
      <c r="I415" s="100">
        <v>1513.1635000000001</v>
      </c>
      <c r="J415" s="99">
        <v>2139.8314999999998</v>
      </c>
      <c r="K415" s="99">
        <v>1997.7666999999999</v>
      </c>
      <c r="L415" s="165">
        <f>SUM(BabycareRaw[[#This Row],[2022]:[YTD 24]])</f>
        <v>109.7543</v>
      </c>
    </row>
    <row r="416" spans="1:12" ht="15" customHeight="1" x14ac:dyDescent="0.2">
      <c r="A416" s="34" t="s">
        <v>342</v>
      </c>
      <c r="B416" s="32" t="s">
        <v>8</v>
      </c>
      <c r="C416" s="32" t="s">
        <v>9</v>
      </c>
      <c r="D416" s="33" t="s">
        <v>20</v>
      </c>
      <c r="E416" s="70" t="s">
        <v>11</v>
      </c>
      <c r="F416" s="97">
        <v>12.4033</v>
      </c>
      <c r="G416" s="98">
        <v>7.0781999999999998</v>
      </c>
      <c r="H416" s="99">
        <v>1.7199</v>
      </c>
      <c r="I416" s="100">
        <v>294.48759999999999</v>
      </c>
      <c r="J416" s="99">
        <v>150.97989999999999</v>
      </c>
      <c r="K416" s="99">
        <v>36.068199999999997</v>
      </c>
      <c r="L416" s="165">
        <f>SUM(BabycareRaw[[#This Row],[2022]:[YTD 24]])</f>
        <v>21.2014</v>
      </c>
    </row>
    <row r="417" spans="1:12" ht="15" customHeight="1" x14ac:dyDescent="0.2">
      <c r="A417" s="34" t="s">
        <v>343</v>
      </c>
      <c r="B417" s="32" t="s">
        <v>8</v>
      </c>
      <c r="C417" s="32" t="s">
        <v>9</v>
      </c>
      <c r="D417" s="33" t="s">
        <v>30</v>
      </c>
      <c r="E417" s="70" t="s">
        <v>32</v>
      </c>
      <c r="F417" s="97">
        <v>1.6268</v>
      </c>
      <c r="G417" s="98">
        <v>0</v>
      </c>
      <c r="H417" s="99">
        <v>0</v>
      </c>
      <c r="I417" s="100">
        <v>65.1297</v>
      </c>
      <c r="J417" s="99">
        <v>0</v>
      </c>
      <c r="K417" s="99">
        <v>0</v>
      </c>
      <c r="L417" s="165">
        <f>SUM(BabycareRaw[[#This Row],[2022]:[YTD 24]])</f>
        <v>1.6268</v>
      </c>
    </row>
    <row r="418" spans="1:12" ht="15" customHeight="1" x14ac:dyDescent="0.2">
      <c r="A418" s="34" t="s">
        <v>344</v>
      </c>
      <c r="B418" s="32" t="s">
        <v>8</v>
      </c>
      <c r="C418" s="32" t="s">
        <v>9</v>
      </c>
      <c r="D418" s="33" t="s">
        <v>30</v>
      </c>
      <c r="E418" s="70" t="s">
        <v>32</v>
      </c>
      <c r="F418" s="97">
        <v>2.5358999999999998</v>
      </c>
      <c r="G418" s="98">
        <v>0</v>
      </c>
      <c r="H418" s="99">
        <v>0</v>
      </c>
      <c r="I418" s="100">
        <v>101.7274</v>
      </c>
      <c r="J418" s="99">
        <v>0</v>
      </c>
      <c r="K418" s="99">
        <v>0</v>
      </c>
      <c r="L418" s="165">
        <f>SUM(BabycareRaw[[#This Row],[2022]:[YTD 24]])</f>
        <v>2.5358999999999998</v>
      </c>
    </row>
    <row r="419" spans="1:12" ht="15" customHeight="1" x14ac:dyDescent="0.2">
      <c r="A419" s="34" t="s">
        <v>345</v>
      </c>
      <c r="B419" s="32" t="s">
        <v>8</v>
      </c>
      <c r="C419" s="32" t="s">
        <v>9</v>
      </c>
      <c r="D419" s="33" t="s">
        <v>10</v>
      </c>
      <c r="E419" s="70" t="s">
        <v>99</v>
      </c>
      <c r="F419" s="97">
        <v>0</v>
      </c>
      <c r="G419" s="98">
        <v>0</v>
      </c>
      <c r="H419" s="99">
        <v>3.6318999999999999</v>
      </c>
      <c r="I419" s="100">
        <v>0</v>
      </c>
      <c r="J419" s="99">
        <v>0</v>
      </c>
      <c r="K419" s="99">
        <v>71.160700000000006</v>
      </c>
      <c r="L419" s="165">
        <f>SUM(BabycareRaw[[#This Row],[2022]:[YTD 24]])</f>
        <v>3.6318999999999999</v>
      </c>
    </row>
    <row r="420" spans="1:12" ht="15" customHeight="1" x14ac:dyDescent="0.2">
      <c r="A420" s="34" t="s">
        <v>346</v>
      </c>
      <c r="B420" s="32" t="s">
        <v>8</v>
      </c>
      <c r="C420" s="32" t="s">
        <v>9</v>
      </c>
      <c r="D420" s="33" t="s">
        <v>10</v>
      </c>
      <c r="E420" s="70" t="s">
        <v>42</v>
      </c>
      <c r="F420" s="97">
        <v>17.9986</v>
      </c>
      <c r="G420" s="98">
        <v>13.0489</v>
      </c>
      <c r="H420" s="99">
        <v>10.643000000000001</v>
      </c>
      <c r="I420" s="100">
        <v>650.62580000000003</v>
      </c>
      <c r="J420" s="99">
        <v>424.79559999999998</v>
      </c>
      <c r="K420" s="99">
        <v>323.3997</v>
      </c>
      <c r="L420" s="165">
        <f>SUM(BabycareRaw[[#This Row],[2022]:[YTD 24]])</f>
        <v>41.6905</v>
      </c>
    </row>
    <row r="421" spans="1:12" ht="15" customHeight="1" x14ac:dyDescent="0.2">
      <c r="A421" s="34" t="s">
        <v>347</v>
      </c>
      <c r="B421" s="32" t="s">
        <v>8</v>
      </c>
      <c r="C421" s="32" t="s">
        <v>9</v>
      </c>
      <c r="D421" s="33" t="s">
        <v>64</v>
      </c>
      <c r="E421" s="70" t="s">
        <v>42</v>
      </c>
      <c r="F421" s="97">
        <v>18.099399999999999</v>
      </c>
      <c r="G421" s="98">
        <v>12.3561</v>
      </c>
      <c r="H421" s="99">
        <v>12.3432</v>
      </c>
      <c r="I421" s="100">
        <v>1018.4675999999999</v>
      </c>
      <c r="J421" s="99">
        <v>683.55870000000004</v>
      </c>
      <c r="K421" s="99">
        <v>606.59050000000002</v>
      </c>
      <c r="L421" s="165">
        <f>SUM(BabycareRaw[[#This Row],[2022]:[YTD 24]])</f>
        <v>42.798699999999997</v>
      </c>
    </row>
    <row r="422" spans="1:12" ht="15" customHeight="1" x14ac:dyDescent="0.2">
      <c r="A422" s="34" t="s">
        <v>348</v>
      </c>
      <c r="B422" s="32" t="s">
        <v>8</v>
      </c>
      <c r="C422" s="32" t="s">
        <v>9</v>
      </c>
      <c r="D422" s="33" t="s">
        <v>10</v>
      </c>
      <c r="E422" s="70" t="s">
        <v>42</v>
      </c>
      <c r="F422" s="97">
        <v>13.9643</v>
      </c>
      <c r="G422" s="98">
        <v>11.9328</v>
      </c>
      <c r="H422" s="99">
        <v>7.4202000000000004</v>
      </c>
      <c r="I422" s="100">
        <v>510.25119999999998</v>
      </c>
      <c r="J422" s="99">
        <v>382.31479999999999</v>
      </c>
      <c r="K422" s="99">
        <v>215.15559999999999</v>
      </c>
      <c r="L422" s="165">
        <f>SUM(BabycareRaw[[#This Row],[2022]:[YTD 24]])</f>
        <v>33.317300000000003</v>
      </c>
    </row>
    <row r="423" spans="1:12" ht="15" customHeight="1" x14ac:dyDescent="0.2">
      <c r="A423" s="34" t="s">
        <v>349</v>
      </c>
      <c r="B423" s="32" t="s">
        <v>8</v>
      </c>
      <c r="C423" s="32" t="s">
        <v>9</v>
      </c>
      <c r="D423" s="33" t="s">
        <v>20</v>
      </c>
      <c r="E423" s="70" t="s">
        <v>42</v>
      </c>
      <c r="F423" s="97">
        <v>0</v>
      </c>
      <c r="G423" s="98">
        <v>0.56559999999999999</v>
      </c>
      <c r="H423" s="99">
        <v>0.19719999999999999</v>
      </c>
      <c r="I423" s="100">
        <v>0</v>
      </c>
      <c r="J423" s="99">
        <v>6.4855</v>
      </c>
      <c r="K423" s="99">
        <v>8.6998999999999995</v>
      </c>
      <c r="L423" s="165">
        <f>SUM(BabycareRaw[[#This Row],[2022]:[YTD 24]])</f>
        <v>0.76279999999999992</v>
      </c>
    </row>
    <row r="424" spans="1:12" ht="15" customHeight="1" x14ac:dyDescent="0.2">
      <c r="A424" s="34" t="s">
        <v>350</v>
      </c>
      <c r="B424" s="32" t="s">
        <v>8</v>
      </c>
      <c r="C424" s="32" t="s">
        <v>9</v>
      </c>
      <c r="D424" s="33" t="s">
        <v>20</v>
      </c>
      <c r="E424" s="70" t="s">
        <v>42</v>
      </c>
      <c r="F424" s="97">
        <v>11.936500000000001</v>
      </c>
      <c r="G424" s="98">
        <v>11.3424</v>
      </c>
      <c r="H424" s="99">
        <v>2.8279999999999998</v>
      </c>
      <c r="I424" s="100">
        <v>494.98500000000001</v>
      </c>
      <c r="J424" s="99">
        <v>456.52679999999998</v>
      </c>
      <c r="K424" s="99">
        <v>127.90179999999999</v>
      </c>
      <c r="L424" s="165">
        <f>SUM(BabycareRaw[[#This Row],[2022]:[YTD 24]])</f>
        <v>26.1069</v>
      </c>
    </row>
    <row r="425" spans="1:12" ht="15" customHeight="1" x14ac:dyDescent="0.2">
      <c r="A425" s="34" t="s">
        <v>351</v>
      </c>
      <c r="B425" s="32" t="s">
        <v>8</v>
      </c>
      <c r="C425" s="32" t="s">
        <v>9</v>
      </c>
      <c r="D425" s="33" t="s">
        <v>30</v>
      </c>
      <c r="E425" s="70" t="s">
        <v>42</v>
      </c>
      <c r="F425" s="97">
        <v>16.799600000000002</v>
      </c>
      <c r="G425" s="98">
        <v>11.79</v>
      </c>
      <c r="H425" s="99">
        <v>3.1292</v>
      </c>
      <c r="I425" s="100">
        <v>633.09360000000004</v>
      </c>
      <c r="J425" s="99">
        <v>491.60489999999999</v>
      </c>
      <c r="K425" s="99">
        <v>123.1259</v>
      </c>
      <c r="L425" s="165">
        <f>SUM(BabycareRaw[[#This Row],[2022]:[YTD 24]])</f>
        <v>31.718800000000002</v>
      </c>
    </row>
    <row r="426" spans="1:12" ht="15" customHeight="1" x14ac:dyDescent="0.2">
      <c r="A426" s="34" t="s">
        <v>352</v>
      </c>
      <c r="B426" s="32" t="s">
        <v>8</v>
      </c>
      <c r="C426" s="32" t="s">
        <v>9</v>
      </c>
      <c r="D426" s="33" t="s">
        <v>20</v>
      </c>
      <c r="E426" s="70" t="s">
        <v>42</v>
      </c>
      <c r="F426" s="97">
        <v>15.0557</v>
      </c>
      <c r="G426" s="98">
        <v>9.7439</v>
      </c>
      <c r="H426" s="99">
        <v>7.3936000000000002</v>
      </c>
      <c r="I426" s="100">
        <v>945.80409999999995</v>
      </c>
      <c r="J426" s="99">
        <v>583.28309999999999</v>
      </c>
      <c r="K426" s="99">
        <v>424.78879999999998</v>
      </c>
      <c r="L426" s="165">
        <f>SUM(BabycareRaw[[#This Row],[2022]:[YTD 24]])</f>
        <v>32.193199999999997</v>
      </c>
    </row>
    <row r="427" spans="1:12" ht="15" customHeight="1" x14ac:dyDescent="0.2">
      <c r="A427" s="34" t="s">
        <v>353</v>
      </c>
      <c r="B427" s="32" t="s">
        <v>8</v>
      </c>
      <c r="C427" s="32" t="s">
        <v>9</v>
      </c>
      <c r="D427" s="33" t="s">
        <v>20</v>
      </c>
      <c r="E427" s="70" t="s">
        <v>42</v>
      </c>
      <c r="F427" s="97">
        <v>2.5228000000000002</v>
      </c>
      <c r="G427" s="98">
        <v>0</v>
      </c>
      <c r="H427" s="99">
        <v>0</v>
      </c>
      <c r="I427" s="100">
        <v>102.04300000000001</v>
      </c>
      <c r="J427" s="99">
        <v>0</v>
      </c>
      <c r="K427" s="99">
        <v>0</v>
      </c>
      <c r="L427" s="165">
        <f>SUM(BabycareRaw[[#This Row],[2022]:[YTD 24]])</f>
        <v>2.5228000000000002</v>
      </c>
    </row>
    <row r="428" spans="1:12" ht="15" customHeight="1" x14ac:dyDescent="0.2">
      <c r="A428" s="34" t="s">
        <v>354</v>
      </c>
      <c r="B428" s="32" t="s">
        <v>8</v>
      </c>
      <c r="C428" s="32" t="s">
        <v>9</v>
      </c>
      <c r="D428" s="33" t="s">
        <v>30</v>
      </c>
      <c r="E428" s="70" t="s">
        <v>17</v>
      </c>
      <c r="F428" s="97">
        <v>5.8501000000000003</v>
      </c>
      <c r="G428" s="98">
        <v>3.1604999999999999</v>
      </c>
      <c r="H428" s="99">
        <v>1.1102000000000001</v>
      </c>
      <c r="I428" s="100">
        <v>279.7971</v>
      </c>
      <c r="J428" s="99">
        <v>133.69110000000001</v>
      </c>
      <c r="K428" s="99">
        <v>49.716799999999999</v>
      </c>
      <c r="L428" s="165">
        <f>SUM(BabycareRaw[[#This Row],[2022]:[YTD 24]])</f>
        <v>10.120800000000001</v>
      </c>
    </row>
    <row r="429" spans="1:12" ht="15" customHeight="1" x14ac:dyDescent="0.2">
      <c r="A429" s="34" t="s">
        <v>355</v>
      </c>
      <c r="B429" s="32" t="s">
        <v>8</v>
      </c>
      <c r="C429" s="32" t="s">
        <v>9</v>
      </c>
      <c r="D429" s="33" t="s">
        <v>10</v>
      </c>
      <c r="E429" s="70" t="s">
        <v>17</v>
      </c>
      <c r="F429" s="97">
        <v>3.5649999999999999</v>
      </c>
      <c r="G429" s="98">
        <v>3.9624000000000001</v>
      </c>
      <c r="H429" s="99">
        <v>3.0468999999999999</v>
      </c>
      <c r="I429" s="100">
        <v>186.07509999999999</v>
      </c>
      <c r="J429" s="99">
        <v>188.92570000000001</v>
      </c>
      <c r="K429" s="99">
        <v>146.31370000000001</v>
      </c>
      <c r="L429" s="165">
        <f>SUM(BabycareRaw[[#This Row],[2022]:[YTD 24]])</f>
        <v>10.574300000000001</v>
      </c>
    </row>
    <row r="430" spans="1:12" ht="15" customHeight="1" x14ac:dyDescent="0.2">
      <c r="A430" s="34" t="s">
        <v>356</v>
      </c>
      <c r="B430" s="32" t="s">
        <v>8</v>
      </c>
      <c r="C430" s="32" t="s">
        <v>9</v>
      </c>
      <c r="D430" s="33" t="s">
        <v>30</v>
      </c>
      <c r="E430" s="70" t="s">
        <v>17</v>
      </c>
      <c r="F430" s="97">
        <v>4.5880999999999998</v>
      </c>
      <c r="G430" s="98">
        <v>5.0932000000000004</v>
      </c>
      <c r="H430" s="99">
        <v>5.0259</v>
      </c>
      <c r="I430" s="100">
        <v>237.0685</v>
      </c>
      <c r="J430" s="99">
        <v>259.80410000000001</v>
      </c>
      <c r="K430" s="99">
        <v>248.8639</v>
      </c>
      <c r="L430" s="165">
        <f>SUM(BabycareRaw[[#This Row],[2022]:[YTD 24]])</f>
        <v>14.7072</v>
      </c>
    </row>
    <row r="431" spans="1:12" ht="15" customHeight="1" x14ac:dyDescent="0.2">
      <c r="A431" s="34" t="s">
        <v>357</v>
      </c>
      <c r="B431" s="32" t="s">
        <v>8</v>
      </c>
      <c r="C431" s="32" t="s">
        <v>9</v>
      </c>
      <c r="D431" s="33" t="s">
        <v>10</v>
      </c>
      <c r="E431" s="70" t="s">
        <v>358</v>
      </c>
      <c r="F431" s="97">
        <v>0</v>
      </c>
      <c r="G431" s="98">
        <v>7.0000000000000001E-3</v>
      </c>
      <c r="H431" s="99">
        <v>0</v>
      </c>
      <c r="I431" s="100">
        <v>0</v>
      </c>
      <c r="J431" s="99">
        <v>0.32779999999999998</v>
      </c>
      <c r="K431" s="99">
        <v>0</v>
      </c>
      <c r="L431" s="165">
        <f>SUM(BabycareRaw[[#This Row],[2022]:[YTD 24]])</f>
        <v>7.0000000000000001E-3</v>
      </c>
    </row>
    <row r="432" spans="1:12" ht="15" customHeight="1" x14ac:dyDescent="0.2">
      <c r="A432" s="30" t="s">
        <v>359</v>
      </c>
      <c r="B432" s="31" t="s">
        <v>6</v>
      </c>
      <c r="C432" s="32"/>
      <c r="D432" s="33"/>
      <c r="E432" s="70"/>
      <c r="F432" s="97">
        <v>3.0200000000000001E-2</v>
      </c>
      <c r="G432" s="98">
        <v>2.0104000000000002</v>
      </c>
      <c r="H432" s="99">
        <v>1.0045999999999999</v>
      </c>
      <c r="I432" s="100">
        <v>1.4571000000000001</v>
      </c>
      <c r="J432" s="99">
        <v>118.0438</v>
      </c>
      <c r="K432" s="99">
        <v>56.873399999999997</v>
      </c>
      <c r="L432" s="165">
        <f>SUM(BabycareRaw[[#This Row],[2022]:[YTD 24]])</f>
        <v>3.0451999999999999</v>
      </c>
    </row>
    <row r="433" spans="1:12" ht="15" customHeight="1" x14ac:dyDescent="0.2">
      <c r="A433" s="34" t="s">
        <v>360</v>
      </c>
      <c r="B433" s="32" t="s">
        <v>8</v>
      </c>
      <c r="C433" s="32" t="s">
        <v>9</v>
      </c>
      <c r="D433" s="33" t="s">
        <v>20</v>
      </c>
      <c r="E433" s="70" t="s">
        <v>24</v>
      </c>
      <c r="F433" s="97">
        <v>3.0200000000000001E-2</v>
      </c>
      <c r="G433" s="98">
        <v>2.0104000000000002</v>
      </c>
      <c r="H433" s="99">
        <v>1.0045999999999999</v>
      </c>
      <c r="I433" s="100">
        <v>1.4571000000000001</v>
      </c>
      <c r="J433" s="99">
        <v>118.0438</v>
      </c>
      <c r="K433" s="99">
        <v>56.873399999999997</v>
      </c>
      <c r="L433" s="165">
        <f>SUM(BabycareRaw[[#This Row],[2022]:[YTD 24]])</f>
        <v>3.0451999999999999</v>
      </c>
    </row>
    <row r="434" spans="1:12" ht="15" customHeight="1" x14ac:dyDescent="0.2">
      <c r="A434" s="30" t="s">
        <v>361</v>
      </c>
      <c r="B434" s="31" t="s">
        <v>6</v>
      </c>
      <c r="C434" s="32"/>
      <c r="D434" s="33"/>
      <c r="E434" s="70"/>
      <c r="F434" s="97">
        <v>0.1913</v>
      </c>
      <c r="G434" s="98">
        <v>0.55200000000000005</v>
      </c>
      <c r="H434" s="99">
        <v>4.3700000000000003E-2</v>
      </c>
      <c r="I434" s="100">
        <v>6.9211999999999998</v>
      </c>
      <c r="J434" s="99">
        <v>19.9695</v>
      </c>
      <c r="K434" s="99">
        <v>1.2094</v>
      </c>
      <c r="L434" s="165">
        <f>SUM(BabycareRaw[[#This Row],[2022]:[YTD 24]])</f>
        <v>0.78700000000000003</v>
      </c>
    </row>
    <row r="435" spans="1:12" ht="15" customHeight="1" x14ac:dyDescent="0.2">
      <c r="A435" s="34" t="s">
        <v>362</v>
      </c>
      <c r="B435" s="32" t="s">
        <v>8</v>
      </c>
      <c r="C435" s="32" t="s">
        <v>9</v>
      </c>
      <c r="D435" s="33" t="s">
        <v>10</v>
      </c>
      <c r="E435" s="70" t="s">
        <v>42</v>
      </c>
      <c r="F435" s="97">
        <v>0.1913</v>
      </c>
      <c r="G435" s="98">
        <v>0.55200000000000005</v>
      </c>
      <c r="H435" s="99">
        <v>4.3700000000000003E-2</v>
      </c>
      <c r="I435" s="100">
        <v>6.9211999999999998</v>
      </c>
      <c r="J435" s="99">
        <v>19.9695</v>
      </c>
      <c r="K435" s="99">
        <v>1.2094</v>
      </c>
      <c r="L435" s="165">
        <f>SUM(BabycareRaw[[#This Row],[2022]:[YTD 24]])</f>
        <v>0.78700000000000003</v>
      </c>
    </row>
    <row r="436" spans="1:12" ht="15" customHeight="1" x14ac:dyDescent="0.2">
      <c r="A436" s="27" t="s">
        <v>768</v>
      </c>
      <c r="B436" s="28" t="s">
        <v>5</v>
      </c>
      <c r="C436" s="28"/>
      <c r="D436" s="29"/>
      <c r="E436" s="68"/>
      <c r="F436" s="101">
        <v>0.17230000000000001</v>
      </c>
      <c r="G436" s="102">
        <v>0.63319999999999999</v>
      </c>
      <c r="H436" s="103">
        <v>0.15670000000000001</v>
      </c>
      <c r="I436" s="104">
        <v>7.7868000000000004</v>
      </c>
      <c r="J436" s="103">
        <v>27.705500000000001</v>
      </c>
      <c r="K436" s="103">
        <v>6.8449999999999998</v>
      </c>
      <c r="L436" s="169">
        <f>SUM(BabycareRaw[[#This Row],[2022]:[YTD 24]])</f>
        <v>0.96219999999999994</v>
      </c>
    </row>
    <row r="437" spans="1:12" ht="14.25" customHeight="1" x14ac:dyDescent="0.2">
      <c r="A437" s="30" t="s">
        <v>364</v>
      </c>
      <c r="B437" s="31" t="s">
        <v>6</v>
      </c>
      <c r="C437" s="32"/>
      <c r="D437" s="33"/>
      <c r="E437" s="70"/>
      <c r="F437" s="97">
        <v>0.17230000000000001</v>
      </c>
      <c r="G437" s="98">
        <v>0.63319999999999999</v>
      </c>
      <c r="H437" s="99">
        <v>0.15670000000000001</v>
      </c>
      <c r="I437" s="100">
        <v>7.7868000000000004</v>
      </c>
      <c r="J437" s="99">
        <v>27.705500000000001</v>
      </c>
      <c r="K437" s="99">
        <v>6.8449999999999998</v>
      </c>
      <c r="L437" s="165">
        <f>SUM(BabycareRaw[[#This Row],[2022]:[YTD 24]])</f>
        <v>0.96219999999999994</v>
      </c>
    </row>
    <row r="438" spans="1:12" ht="15" customHeight="1" x14ac:dyDescent="0.2">
      <c r="A438" s="34" t="s">
        <v>365</v>
      </c>
      <c r="B438" s="32" t="s">
        <v>8</v>
      </c>
      <c r="C438" s="32" t="s">
        <v>9</v>
      </c>
      <c r="D438" s="33" t="s">
        <v>20</v>
      </c>
      <c r="E438" s="70" t="s">
        <v>32</v>
      </c>
      <c r="F438" s="97">
        <v>2.6700000000000002E-2</v>
      </c>
      <c r="G438" s="98">
        <v>6.6E-3</v>
      </c>
      <c r="H438" s="99">
        <v>0</v>
      </c>
      <c r="I438" s="100">
        <v>1.3361000000000001</v>
      </c>
      <c r="J438" s="99">
        <v>0.32919999999999999</v>
      </c>
      <c r="K438" s="99">
        <v>0</v>
      </c>
      <c r="L438" s="165">
        <f>SUM(BabycareRaw[[#This Row],[2022]:[YTD 24]])</f>
        <v>3.3300000000000003E-2</v>
      </c>
    </row>
    <row r="439" spans="1:12" ht="15" customHeight="1" x14ac:dyDescent="0.2">
      <c r="A439" s="34" t="s">
        <v>366</v>
      </c>
      <c r="B439" s="32" t="s">
        <v>8</v>
      </c>
      <c r="C439" s="32" t="s">
        <v>9</v>
      </c>
      <c r="D439" s="33" t="s">
        <v>64</v>
      </c>
      <c r="E439" s="70" t="s">
        <v>68</v>
      </c>
      <c r="F439" s="97">
        <v>6.93E-2</v>
      </c>
      <c r="G439" s="98">
        <v>0.19889999999999999</v>
      </c>
      <c r="H439" s="99">
        <v>0</v>
      </c>
      <c r="I439" s="100">
        <v>3.0247000000000002</v>
      </c>
      <c r="J439" s="99">
        <v>8.6912000000000003</v>
      </c>
      <c r="K439" s="99">
        <v>0</v>
      </c>
      <c r="L439" s="165">
        <f>SUM(BabycareRaw[[#This Row],[2022]:[YTD 24]])</f>
        <v>0.26819999999999999</v>
      </c>
    </row>
    <row r="440" spans="1:12" ht="15" customHeight="1" x14ac:dyDescent="0.2">
      <c r="A440" s="34" t="s">
        <v>367</v>
      </c>
      <c r="B440" s="32" t="s">
        <v>8</v>
      </c>
      <c r="C440" s="32" t="s">
        <v>9</v>
      </c>
      <c r="D440" s="33" t="s">
        <v>64</v>
      </c>
      <c r="E440" s="70" t="s">
        <v>68</v>
      </c>
      <c r="F440" s="97">
        <v>7.6300000000000007E-2</v>
      </c>
      <c r="G440" s="98">
        <v>0.42759999999999998</v>
      </c>
      <c r="H440" s="99">
        <v>0.15670000000000001</v>
      </c>
      <c r="I440" s="100">
        <v>3.4260000000000002</v>
      </c>
      <c r="J440" s="99">
        <v>18.685099999999998</v>
      </c>
      <c r="K440" s="99">
        <v>6.8449999999999998</v>
      </c>
      <c r="L440" s="165">
        <f>SUM(BabycareRaw[[#This Row],[2022]:[YTD 24]])</f>
        <v>0.66060000000000008</v>
      </c>
    </row>
    <row r="441" spans="1:12" ht="15" customHeight="1" x14ac:dyDescent="0.2">
      <c r="A441" s="27" t="s">
        <v>769</v>
      </c>
      <c r="B441" s="28" t="s">
        <v>5</v>
      </c>
      <c r="C441" s="28"/>
      <c r="D441" s="29"/>
      <c r="E441" s="68"/>
      <c r="F441" s="101">
        <v>23.7455</v>
      </c>
      <c r="G441" s="102">
        <v>29.3566</v>
      </c>
      <c r="H441" s="103">
        <v>11.906700000000001</v>
      </c>
      <c r="I441" s="104">
        <v>713.0412</v>
      </c>
      <c r="J441" s="103">
        <v>960.05740000000003</v>
      </c>
      <c r="K441" s="103">
        <v>372.1223</v>
      </c>
      <c r="L441" s="169">
        <f>SUM(BabycareRaw[[#This Row],[2022]:[YTD 24]])</f>
        <v>65.008800000000008</v>
      </c>
    </row>
    <row r="442" spans="1:12" ht="14.25" customHeight="1" x14ac:dyDescent="0.2">
      <c r="A442" s="30" t="s">
        <v>368</v>
      </c>
      <c r="B442" s="31" t="s">
        <v>6</v>
      </c>
      <c r="C442" s="32"/>
      <c r="D442" s="33"/>
      <c r="E442" s="70"/>
      <c r="F442" s="97">
        <v>23.7455</v>
      </c>
      <c r="G442" s="98">
        <v>29.3566</v>
      </c>
      <c r="H442" s="99">
        <v>11.906700000000001</v>
      </c>
      <c r="I442" s="100">
        <v>713.0412</v>
      </c>
      <c r="J442" s="99">
        <v>960.05740000000003</v>
      </c>
      <c r="K442" s="99">
        <v>372.1223</v>
      </c>
      <c r="L442" s="165">
        <f>SUM(BabycareRaw[[#This Row],[2022]:[YTD 24]])</f>
        <v>65.008800000000008</v>
      </c>
    </row>
    <row r="443" spans="1:12" ht="15" customHeight="1" x14ac:dyDescent="0.2">
      <c r="A443" s="34" t="s">
        <v>369</v>
      </c>
      <c r="B443" s="32" t="s">
        <v>8</v>
      </c>
      <c r="C443" s="32" t="s">
        <v>9</v>
      </c>
      <c r="D443" s="33" t="s">
        <v>10</v>
      </c>
      <c r="E443" s="70" t="s">
        <v>37</v>
      </c>
      <c r="F443" s="97">
        <v>13.539</v>
      </c>
      <c r="G443" s="98">
        <v>14.939299999999999</v>
      </c>
      <c r="H443" s="99">
        <v>5.9192</v>
      </c>
      <c r="I443" s="100">
        <v>399.25150000000002</v>
      </c>
      <c r="J443" s="99">
        <v>471.38619999999997</v>
      </c>
      <c r="K443" s="99">
        <v>172.6644</v>
      </c>
      <c r="L443" s="165">
        <f>SUM(BabycareRaw[[#This Row],[2022]:[YTD 24]])</f>
        <v>34.397499999999994</v>
      </c>
    </row>
    <row r="444" spans="1:12" ht="15" customHeight="1" x14ac:dyDescent="0.2">
      <c r="A444" s="34" t="s">
        <v>370</v>
      </c>
      <c r="B444" s="32" t="s">
        <v>8</v>
      </c>
      <c r="C444" s="32" t="s">
        <v>9</v>
      </c>
      <c r="D444" s="33" t="s">
        <v>10</v>
      </c>
      <c r="E444" s="70" t="s">
        <v>37</v>
      </c>
      <c r="F444" s="97">
        <v>9.7232000000000003</v>
      </c>
      <c r="G444" s="98">
        <v>14.417199999999999</v>
      </c>
      <c r="H444" s="99">
        <v>5.9874999999999998</v>
      </c>
      <c r="I444" s="100">
        <v>300.88780000000003</v>
      </c>
      <c r="J444" s="99">
        <v>488.67129999999997</v>
      </c>
      <c r="K444" s="99">
        <v>199.4579</v>
      </c>
      <c r="L444" s="165">
        <f>SUM(BabycareRaw[[#This Row],[2022]:[YTD 24]])</f>
        <v>30.1279</v>
      </c>
    </row>
    <row r="445" spans="1:12" ht="15" customHeight="1" x14ac:dyDescent="0.2">
      <c r="A445" s="34" t="s">
        <v>371</v>
      </c>
      <c r="B445" s="32" t="s">
        <v>8</v>
      </c>
      <c r="C445" s="32" t="s">
        <v>9</v>
      </c>
      <c r="D445" s="33" t="s">
        <v>20</v>
      </c>
      <c r="E445" s="70" t="s">
        <v>42</v>
      </c>
      <c r="F445" s="97">
        <v>0.4834</v>
      </c>
      <c r="G445" s="98">
        <v>0</v>
      </c>
      <c r="H445" s="99">
        <v>0</v>
      </c>
      <c r="I445" s="100">
        <v>12.901899999999999</v>
      </c>
      <c r="J445" s="99">
        <v>0</v>
      </c>
      <c r="K445" s="99">
        <v>0</v>
      </c>
      <c r="L445" s="165">
        <f>SUM(BabycareRaw[[#This Row],[2022]:[YTD 24]])</f>
        <v>0.4834</v>
      </c>
    </row>
    <row r="446" spans="1:12" ht="15" customHeight="1" x14ac:dyDescent="0.2">
      <c r="A446" s="27" t="s">
        <v>770</v>
      </c>
      <c r="B446" s="28" t="s">
        <v>5</v>
      </c>
      <c r="C446" s="28"/>
      <c r="D446" s="29"/>
      <c r="E446" s="68"/>
      <c r="F446" s="101">
        <v>0.13550000000000001</v>
      </c>
      <c r="G446" s="102">
        <v>0</v>
      </c>
      <c r="H446" s="103">
        <v>0</v>
      </c>
      <c r="I446" s="104">
        <v>3.2519</v>
      </c>
      <c r="J446" s="103">
        <v>0</v>
      </c>
      <c r="K446" s="103">
        <v>0</v>
      </c>
      <c r="L446" s="169">
        <f>SUM(BabycareRaw[[#This Row],[2022]:[YTD 24]])</f>
        <v>0.13550000000000001</v>
      </c>
    </row>
    <row r="447" spans="1:12" ht="14.25" customHeight="1" x14ac:dyDescent="0.2">
      <c r="A447" s="30" t="s">
        <v>372</v>
      </c>
      <c r="B447" s="31" t="s">
        <v>6</v>
      </c>
      <c r="C447" s="32"/>
      <c r="D447" s="33"/>
      <c r="E447" s="70"/>
      <c r="F447" s="97">
        <v>0.13550000000000001</v>
      </c>
      <c r="G447" s="98">
        <v>0</v>
      </c>
      <c r="H447" s="99">
        <v>0</v>
      </c>
      <c r="I447" s="100">
        <v>3.2519</v>
      </c>
      <c r="J447" s="99">
        <v>0</v>
      </c>
      <c r="K447" s="99">
        <v>0</v>
      </c>
      <c r="L447" s="165">
        <f>SUM(BabycareRaw[[#This Row],[2022]:[YTD 24]])</f>
        <v>0.13550000000000001</v>
      </c>
    </row>
    <row r="448" spans="1:12" ht="15" customHeight="1" x14ac:dyDescent="0.2">
      <c r="A448" s="34" t="s">
        <v>373</v>
      </c>
      <c r="B448" s="32" t="s">
        <v>8</v>
      </c>
      <c r="C448" s="32" t="s">
        <v>9</v>
      </c>
      <c r="D448" s="33" t="s">
        <v>64</v>
      </c>
      <c r="E448" s="70" t="s">
        <v>99</v>
      </c>
      <c r="F448" s="97">
        <v>0.13550000000000001</v>
      </c>
      <c r="G448" s="98">
        <v>0</v>
      </c>
      <c r="H448" s="99">
        <v>0</v>
      </c>
      <c r="I448" s="100">
        <v>3.2519</v>
      </c>
      <c r="J448" s="99">
        <v>0</v>
      </c>
      <c r="K448" s="99">
        <v>0</v>
      </c>
      <c r="L448" s="165">
        <f>SUM(BabycareRaw[[#This Row],[2022]:[YTD 24]])</f>
        <v>0.13550000000000001</v>
      </c>
    </row>
    <row r="449" spans="1:12" ht="15" customHeight="1" x14ac:dyDescent="0.2">
      <c r="A449" s="27" t="s">
        <v>771</v>
      </c>
      <c r="B449" s="28" t="s">
        <v>5</v>
      </c>
      <c r="C449" s="28"/>
      <c r="D449" s="29"/>
      <c r="E449" s="68"/>
      <c r="F449" s="101">
        <v>336.51549999999997</v>
      </c>
      <c r="G449" s="102">
        <v>318.62270000000001</v>
      </c>
      <c r="H449" s="103">
        <v>125.7655</v>
      </c>
      <c r="I449" s="104">
        <v>10227.0057</v>
      </c>
      <c r="J449" s="103">
        <v>9928.9132000000009</v>
      </c>
      <c r="K449" s="103">
        <v>3640.5189</v>
      </c>
      <c r="L449" s="169">
        <f>SUM(BabycareRaw[[#This Row],[2022]:[YTD 24]])</f>
        <v>780.90369999999996</v>
      </c>
    </row>
    <row r="450" spans="1:12" ht="14.25" customHeight="1" x14ac:dyDescent="0.2">
      <c r="A450" s="30" t="s">
        <v>374</v>
      </c>
      <c r="B450" s="31" t="s">
        <v>6</v>
      </c>
      <c r="C450" s="32"/>
      <c r="D450" s="33"/>
      <c r="E450" s="70"/>
      <c r="F450" s="97">
        <v>277.92669999999998</v>
      </c>
      <c r="G450" s="98">
        <v>310.41480000000001</v>
      </c>
      <c r="H450" s="99">
        <v>125.3454</v>
      </c>
      <c r="I450" s="100">
        <v>8929.9617999999991</v>
      </c>
      <c r="J450" s="99">
        <v>9775.1643000000004</v>
      </c>
      <c r="K450" s="99">
        <v>3632.8901999999998</v>
      </c>
      <c r="L450" s="165">
        <f>SUM(BabycareRaw[[#This Row],[2022]:[YTD 24]])</f>
        <v>713.68690000000004</v>
      </c>
    </row>
    <row r="451" spans="1:12" ht="15" customHeight="1" x14ac:dyDescent="0.2">
      <c r="A451" s="34" t="s">
        <v>375</v>
      </c>
      <c r="B451" s="32" t="s">
        <v>8</v>
      </c>
      <c r="C451" s="32" t="s">
        <v>9</v>
      </c>
      <c r="D451" s="33" t="s">
        <v>249</v>
      </c>
      <c r="E451" s="70" t="s">
        <v>376</v>
      </c>
      <c r="F451" s="97">
        <v>0</v>
      </c>
      <c r="G451" s="98">
        <v>2.3E-3</v>
      </c>
      <c r="H451" s="99">
        <v>0</v>
      </c>
      <c r="I451" s="100">
        <v>0</v>
      </c>
      <c r="J451" s="99">
        <v>4.8000000000000001E-2</v>
      </c>
      <c r="K451" s="99">
        <v>0</v>
      </c>
      <c r="L451" s="165">
        <f>SUM(BabycareRaw[[#This Row],[2022]:[YTD 24]])</f>
        <v>2.3E-3</v>
      </c>
    </row>
    <row r="452" spans="1:12" ht="15" customHeight="1" x14ac:dyDescent="0.2">
      <c r="A452" s="34" t="s">
        <v>377</v>
      </c>
      <c r="B452" s="32" t="s">
        <v>8</v>
      </c>
      <c r="C452" s="32" t="s">
        <v>9</v>
      </c>
      <c r="D452" s="33" t="s">
        <v>249</v>
      </c>
      <c r="E452" s="70" t="s">
        <v>376</v>
      </c>
      <c r="F452" s="97">
        <v>3.7978999999999998</v>
      </c>
      <c r="G452" s="98">
        <v>0.23119999999999999</v>
      </c>
      <c r="H452" s="99">
        <v>5.57E-2</v>
      </c>
      <c r="I452" s="100">
        <v>45.909399999999998</v>
      </c>
      <c r="J452" s="99">
        <v>3.0430999999999999</v>
      </c>
      <c r="K452" s="99">
        <v>0.74270000000000003</v>
      </c>
      <c r="L452" s="165">
        <f>SUM(BabycareRaw[[#This Row],[2022]:[YTD 24]])</f>
        <v>4.0847999999999995</v>
      </c>
    </row>
    <row r="453" spans="1:12" ht="15" customHeight="1" x14ac:dyDescent="0.2">
      <c r="A453" s="34" t="s">
        <v>378</v>
      </c>
      <c r="B453" s="32" t="s">
        <v>8</v>
      </c>
      <c r="C453" s="32" t="s">
        <v>9</v>
      </c>
      <c r="D453" s="33" t="s">
        <v>249</v>
      </c>
      <c r="E453" s="70" t="s">
        <v>376</v>
      </c>
      <c r="F453" s="97">
        <v>10.1713</v>
      </c>
      <c r="G453" s="98">
        <v>1.4034</v>
      </c>
      <c r="H453" s="99">
        <v>0.79169999999999996</v>
      </c>
      <c r="I453" s="100">
        <v>191.46350000000001</v>
      </c>
      <c r="J453" s="99">
        <v>25.065200000000001</v>
      </c>
      <c r="K453" s="99">
        <v>12.493499999999999</v>
      </c>
      <c r="L453" s="165">
        <f>SUM(BabycareRaw[[#This Row],[2022]:[YTD 24]])</f>
        <v>12.366400000000001</v>
      </c>
    </row>
    <row r="454" spans="1:12" ht="15" customHeight="1" x14ac:dyDescent="0.2">
      <c r="A454" s="34" t="s">
        <v>379</v>
      </c>
      <c r="B454" s="32" t="s">
        <v>8</v>
      </c>
      <c r="C454" s="32" t="s">
        <v>9</v>
      </c>
      <c r="D454" s="33" t="s">
        <v>249</v>
      </c>
      <c r="E454" s="70" t="s">
        <v>11</v>
      </c>
      <c r="F454" s="97">
        <v>8.9099999999999999E-2</v>
      </c>
      <c r="G454" s="98">
        <v>0</v>
      </c>
      <c r="H454" s="99">
        <v>0</v>
      </c>
      <c r="I454" s="100">
        <v>1.4943</v>
      </c>
      <c r="J454" s="99">
        <v>0</v>
      </c>
      <c r="K454" s="99">
        <v>0</v>
      </c>
      <c r="L454" s="165">
        <f>SUM(BabycareRaw[[#This Row],[2022]:[YTD 24]])</f>
        <v>8.9099999999999999E-2</v>
      </c>
    </row>
    <row r="455" spans="1:12" ht="15" customHeight="1" x14ac:dyDescent="0.2">
      <c r="A455" s="34" t="s">
        <v>380</v>
      </c>
      <c r="B455" s="32" t="s">
        <v>8</v>
      </c>
      <c r="C455" s="32" t="s">
        <v>9</v>
      </c>
      <c r="D455" s="33" t="s">
        <v>10</v>
      </c>
      <c r="E455" s="70" t="s">
        <v>123</v>
      </c>
      <c r="F455" s="97">
        <v>16.7622</v>
      </c>
      <c r="G455" s="98">
        <v>54.880099999999999</v>
      </c>
      <c r="H455" s="99">
        <v>30.8141</v>
      </c>
      <c r="I455" s="100">
        <v>558.82709999999997</v>
      </c>
      <c r="J455" s="99">
        <v>1712.2448999999999</v>
      </c>
      <c r="K455" s="99">
        <v>842.72770000000003</v>
      </c>
      <c r="L455" s="165">
        <f>SUM(BabycareRaw[[#This Row],[2022]:[YTD 24]])</f>
        <v>102.4564</v>
      </c>
    </row>
    <row r="456" spans="1:12" ht="15" customHeight="1" x14ac:dyDescent="0.2">
      <c r="A456" s="34" t="s">
        <v>381</v>
      </c>
      <c r="B456" s="32" t="s">
        <v>8</v>
      </c>
      <c r="C456" s="32" t="s">
        <v>9</v>
      </c>
      <c r="D456" s="33" t="s">
        <v>10</v>
      </c>
      <c r="E456" s="70" t="s">
        <v>123</v>
      </c>
      <c r="F456" s="97">
        <v>61.024299999999997</v>
      </c>
      <c r="G456" s="98">
        <v>69.369399999999999</v>
      </c>
      <c r="H456" s="99">
        <v>37.2607</v>
      </c>
      <c r="I456" s="100">
        <v>1986.0632000000001</v>
      </c>
      <c r="J456" s="99">
        <v>2074.7809000000002</v>
      </c>
      <c r="K456" s="99">
        <v>1026.0545999999999</v>
      </c>
      <c r="L456" s="165">
        <f>SUM(BabycareRaw[[#This Row],[2022]:[YTD 24]])</f>
        <v>167.65440000000001</v>
      </c>
    </row>
    <row r="457" spans="1:12" ht="15" customHeight="1" x14ac:dyDescent="0.2">
      <c r="A457" s="34" t="s">
        <v>382</v>
      </c>
      <c r="B457" s="32" t="s">
        <v>8</v>
      </c>
      <c r="C457" s="32" t="s">
        <v>9</v>
      </c>
      <c r="D457" s="33" t="s">
        <v>64</v>
      </c>
      <c r="E457" s="70" t="s">
        <v>123</v>
      </c>
      <c r="F457" s="97">
        <v>99.720299999999995</v>
      </c>
      <c r="G457" s="98">
        <v>82.962900000000005</v>
      </c>
      <c r="H457" s="99">
        <v>1.6460999999999999</v>
      </c>
      <c r="I457" s="100">
        <v>3124.0421999999999</v>
      </c>
      <c r="J457" s="99">
        <v>2460.6639</v>
      </c>
      <c r="K457" s="99">
        <v>45.897799999999997</v>
      </c>
      <c r="L457" s="165">
        <f>SUM(BabycareRaw[[#This Row],[2022]:[YTD 24]])</f>
        <v>184.32929999999999</v>
      </c>
    </row>
    <row r="458" spans="1:12" ht="15" customHeight="1" x14ac:dyDescent="0.2">
      <c r="A458" s="34" t="s">
        <v>383</v>
      </c>
      <c r="B458" s="32" t="s">
        <v>8</v>
      </c>
      <c r="C458" s="32" t="s">
        <v>9</v>
      </c>
      <c r="D458" s="33" t="s">
        <v>10</v>
      </c>
      <c r="E458" s="70" t="s">
        <v>42</v>
      </c>
      <c r="F458" s="97">
        <v>86.361699999999999</v>
      </c>
      <c r="G458" s="98">
        <v>101.56570000000001</v>
      </c>
      <c r="H458" s="99">
        <v>54.776899999999998</v>
      </c>
      <c r="I458" s="100">
        <v>3022.1621</v>
      </c>
      <c r="J458" s="99">
        <v>3499.3182999999999</v>
      </c>
      <c r="K458" s="99">
        <v>1704.9738</v>
      </c>
      <c r="L458" s="165">
        <f>SUM(BabycareRaw[[#This Row],[2022]:[YTD 24]])</f>
        <v>242.70429999999999</v>
      </c>
    </row>
    <row r="459" spans="1:12" ht="15" customHeight="1" x14ac:dyDescent="0.2">
      <c r="A459" s="30" t="s">
        <v>384</v>
      </c>
      <c r="B459" s="31" t="s">
        <v>6</v>
      </c>
      <c r="C459" s="32"/>
      <c r="D459" s="33"/>
      <c r="E459" s="70"/>
      <c r="F459" s="97">
        <v>58.588999999999999</v>
      </c>
      <c r="G459" s="98">
        <v>8.2077000000000009</v>
      </c>
      <c r="H459" s="99">
        <v>0.42030000000000001</v>
      </c>
      <c r="I459" s="100">
        <v>1297.0438999999999</v>
      </c>
      <c r="J459" s="99">
        <v>153.7491</v>
      </c>
      <c r="K459" s="99">
        <v>7.6287000000000003</v>
      </c>
      <c r="L459" s="165">
        <f>SUM(BabycareRaw[[#This Row],[2022]:[YTD 24]])</f>
        <v>67.216999999999999</v>
      </c>
    </row>
    <row r="460" spans="1:12" ht="15" customHeight="1" x14ac:dyDescent="0.2">
      <c r="A460" s="34" t="s">
        <v>385</v>
      </c>
      <c r="B460" s="32" t="s">
        <v>8</v>
      </c>
      <c r="C460" s="32" t="s">
        <v>9</v>
      </c>
      <c r="D460" s="33" t="s">
        <v>64</v>
      </c>
      <c r="E460" s="70" t="s">
        <v>13</v>
      </c>
      <c r="F460" s="97">
        <v>0</v>
      </c>
      <c r="G460" s="98">
        <v>0</v>
      </c>
      <c r="H460" s="99">
        <v>0</v>
      </c>
      <c r="I460" s="100">
        <v>0.2349</v>
      </c>
      <c r="J460" s="99">
        <v>0</v>
      </c>
      <c r="K460" s="99">
        <v>0</v>
      </c>
      <c r="L460" s="165">
        <f>SUM(BabycareRaw[[#This Row],[2022]:[YTD 24]])</f>
        <v>0</v>
      </c>
    </row>
    <row r="461" spans="1:12" ht="15" customHeight="1" x14ac:dyDescent="0.2">
      <c r="A461" s="34" t="s">
        <v>386</v>
      </c>
      <c r="B461" s="32" t="s">
        <v>8</v>
      </c>
      <c r="C461" s="32" t="s">
        <v>9</v>
      </c>
      <c r="D461" s="33" t="s">
        <v>64</v>
      </c>
      <c r="E461" s="70" t="s">
        <v>363</v>
      </c>
      <c r="F461" s="97">
        <v>0</v>
      </c>
      <c r="G461" s="98">
        <v>0</v>
      </c>
      <c r="H461" s="99">
        <v>0</v>
      </c>
      <c r="I461" s="100">
        <v>0</v>
      </c>
      <c r="J461" s="99">
        <v>0</v>
      </c>
      <c r="K461" s="99">
        <v>0</v>
      </c>
      <c r="L461" s="165">
        <f>SUM(BabycareRaw[[#This Row],[2022]:[YTD 24]])</f>
        <v>0</v>
      </c>
    </row>
    <row r="462" spans="1:12" ht="15" customHeight="1" x14ac:dyDescent="0.2">
      <c r="A462" s="34" t="s">
        <v>387</v>
      </c>
      <c r="B462" s="32" t="s">
        <v>8</v>
      </c>
      <c r="C462" s="32" t="s">
        <v>9</v>
      </c>
      <c r="D462" s="33" t="s">
        <v>64</v>
      </c>
      <c r="E462" s="70" t="s">
        <v>363</v>
      </c>
      <c r="F462" s="97">
        <v>23.7104</v>
      </c>
      <c r="G462" s="98">
        <v>2.5188000000000001</v>
      </c>
      <c r="H462" s="99">
        <v>0.15770000000000001</v>
      </c>
      <c r="I462" s="100">
        <v>549.04570000000001</v>
      </c>
      <c r="J462" s="99">
        <v>49.080599999999997</v>
      </c>
      <c r="K462" s="99">
        <v>2.9064000000000001</v>
      </c>
      <c r="L462" s="165">
        <f>SUM(BabycareRaw[[#This Row],[2022]:[YTD 24]])</f>
        <v>26.386899999999997</v>
      </c>
    </row>
    <row r="463" spans="1:12" ht="15" customHeight="1" x14ac:dyDescent="0.2">
      <c r="A463" s="34" t="s">
        <v>388</v>
      </c>
      <c r="B463" s="32" t="s">
        <v>8</v>
      </c>
      <c r="C463" s="32" t="s">
        <v>9</v>
      </c>
      <c r="D463" s="33" t="s">
        <v>64</v>
      </c>
      <c r="E463" s="70" t="s">
        <v>363</v>
      </c>
      <c r="F463" s="97">
        <v>34.488300000000002</v>
      </c>
      <c r="G463" s="98">
        <v>5.6889000000000003</v>
      </c>
      <c r="H463" s="99">
        <v>0.2626</v>
      </c>
      <c r="I463" s="100">
        <v>739.96220000000005</v>
      </c>
      <c r="J463" s="99">
        <v>104.66840000000001</v>
      </c>
      <c r="K463" s="99">
        <v>4.7222</v>
      </c>
      <c r="L463" s="165">
        <f>SUM(BabycareRaw[[#This Row],[2022]:[YTD 24]])</f>
        <v>40.439799999999998</v>
      </c>
    </row>
    <row r="464" spans="1:12" ht="15" customHeight="1" x14ac:dyDescent="0.2">
      <c r="A464" s="34" t="s">
        <v>389</v>
      </c>
      <c r="B464" s="32" t="s">
        <v>8</v>
      </c>
      <c r="C464" s="32" t="s">
        <v>9</v>
      </c>
      <c r="D464" s="33" t="s">
        <v>64</v>
      </c>
      <c r="E464" s="70" t="s">
        <v>363</v>
      </c>
      <c r="F464" s="97">
        <v>0.31869999999999998</v>
      </c>
      <c r="G464" s="98">
        <v>0</v>
      </c>
      <c r="H464" s="99">
        <v>0</v>
      </c>
      <c r="I464" s="100">
        <v>6.5327000000000002</v>
      </c>
      <c r="J464" s="99">
        <v>0</v>
      </c>
      <c r="K464" s="99">
        <v>0</v>
      </c>
      <c r="L464" s="165">
        <f>SUM(BabycareRaw[[#This Row],[2022]:[YTD 24]])</f>
        <v>0.31869999999999998</v>
      </c>
    </row>
    <row r="465" spans="1:12" ht="15" customHeight="1" x14ac:dyDescent="0.2">
      <c r="A465" s="34" t="s">
        <v>390</v>
      </c>
      <c r="B465" s="32" t="s">
        <v>8</v>
      </c>
      <c r="C465" s="32" t="s">
        <v>9</v>
      </c>
      <c r="D465" s="33" t="s">
        <v>64</v>
      </c>
      <c r="E465" s="70" t="s">
        <v>363</v>
      </c>
      <c r="F465" s="97">
        <v>7.1499999999999994E-2</v>
      </c>
      <c r="G465" s="98">
        <v>0</v>
      </c>
      <c r="H465" s="99">
        <v>0</v>
      </c>
      <c r="I465" s="100">
        <v>1.2682</v>
      </c>
      <c r="J465" s="99">
        <v>0</v>
      </c>
      <c r="K465" s="99">
        <v>0</v>
      </c>
      <c r="L465" s="165">
        <f>SUM(BabycareRaw[[#This Row],[2022]:[YTD 24]])</f>
        <v>7.1499999999999994E-2</v>
      </c>
    </row>
    <row r="466" spans="1:12" ht="15" customHeight="1" x14ac:dyDescent="0.2">
      <c r="A466" s="27" t="s">
        <v>772</v>
      </c>
      <c r="B466" s="28" t="s">
        <v>5</v>
      </c>
      <c r="C466" s="28"/>
      <c r="D466" s="29"/>
      <c r="E466" s="68"/>
      <c r="F466" s="101">
        <v>0</v>
      </c>
      <c r="G466" s="102">
        <v>0</v>
      </c>
      <c r="H466" s="103">
        <v>0</v>
      </c>
      <c r="I466" s="104">
        <v>0</v>
      </c>
      <c r="J466" s="103">
        <v>0</v>
      </c>
      <c r="K466" s="103">
        <v>0</v>
      </c>
      <c r="L466" s="169">
        <f>SUM(BabycareRaw[[#This Row],[2022]:[YTD 24]])</f>
        <v>0</v>
      </c>
    </row>
    <row r="467" spans="1:12" ht="14.25" customHeight="1" x14ac:dyDescent="0.2">
      <c r="A467" s="30" t="s">
        <v>391</v>
      </c>
      <c r="B467" s="31" t="s">
        <v>6</v>
      </c>
      <c r="C467" s="32"/>
      <c r="D467" s="33"/>
      <c r="E467" s="70"/>
      <c r="F467" s="97">
        <v>0</v>
      </c>
      <c r="G467" s="98">
        <v>0</v>
      </c>
      <c r="H467" s="99">
        <v>0</v>
      </c>
      <c r="I467" s="100">
        <v>0</v>
      </c>
      <c r="J467" s="99">
        <v>0</v>
      </c>
      <c r="K467" s="99">
        <v>0</v>
      </c>
      <c r="L467" s="165">
        <f>SUM(BabycareRaw[[#This Row],[2022]:[YTD 24]])</f>
        <v>0</v>
      </c>
    </row>
    <row r="468" spans="1:12" ht="15" customHeight="1" x14ac:dyDescent="0.2">
      <c r="A468" s="34" t="s">
        <v>392</v>
      </c>
      <c r="B468" s="32" t="s">
        <v>8</v>
      </c>
      <c r="C468" s="32" t="s">
        <v>9</v>
      </c>
      <c r="D468" s="33" t="s">
        <v>30</v>
      </c>
      <c r="E468" s="70" t="s">
        <v>21</v>
      </c>
      <c r="F468" s="97">
        <v>0</v>
      </c>
      <c r="G468" s="98">
        <v>0</v>
      </c>
      <c r="H468" s="99">
        <v>0</v>
      </c>
      <c r="I468" s="100">
        <v>0</v>
      </c>
      <c r="J468" s="99">
        <v>0</v>
      </c>
      <c r="K468" s="99">
        <v>0</v>
      </c>
      <c r="L468" s="165">
        <f>SUM(BabycareRaw[[#This Row],[2022]:[YTD 24]])</f>
        <v>0</v>
      </c>
    </row>
    <row r="469" spans="1:12" ht="15" customHeight="1" x14ac:dyDescent="0.2">
      <c r="A469" s="27" t="s">
        <v>773</v>
      </c>
      <c r="B469" s="28" t="s">
        <v>5</v>
      </c>
      <c r="C469" s="28"/>
      <c r="D469" s="29"/>
      <c r="E469" s="68"/>
      <c r="F469" s="101">
        <v>0</v>
      </c>
      <c r="G469" s="102">
        <v>6.2138</v>
      </c>
      <c r="H469" s="103">
        <v>8.77E-2</v>
      </c>
      <c r="I469" s="104">
        <v>0</v>
      </c>
      <c r="J469" s="103">
        <v>384.83499999999998</v>
      </c>
      <c r="K469" s="103">
        <v>5.7408999999999999</v>
      </c>
      <c r="L469" s="169">
        <f>SUM(BabycareRaw[[#This Row],[2022]:[YTD 24]])</f>
        <v>6.3014999999999999</v>
      </c>
    </row>
    <row r="470" spans="1:12" ht="14.25" customHeight="1" x14ac:dyDescent="0.2">
      <c r="A470" s="30" t="s">
        <v>393</v>
      </c>
      <c r="B470" s="31" t="s">
        <v>6</v>
      </c>
      <c r="C470" s="32"/>
      <c r="D470" s="33"/>
      <c r="E470" s="70"/>
      <c r="F470" s="97">
        <v>0</v>
      </c>
      <c r="G470" s="98">
        <v>6.2138</v>
      </c>
      <c r="H470" s="99">
        <v>8.77E-2</v>
      </c>
      <c r="I470" s="100">
        <v>0</v>
      </c>
      <c r="J470" s="99">
        <v>384.83499999999998</v>
      </c>
      <c r="K470" s="99">
        <v>5.7408999999999999</v>
      </c>
      <c r="L470" s="165">
        <f>SUM(BabycareRaw[[#This Row],[2022]:[YTD 24]])</f>
        <v>6.3014999999999999</v>
      </c>
    </row>
    <row r="471" spans="1:12" ht="15" customHeight="1" x14ac:dyDescent="0.2">
      <c r="A471" s="34" t="s">
        <v>394</v>
      </c>
      <c r="B471" s="32" t="s">
        <v>8</v>
      </c>
      <c r="C471" s="32" t="s">
        <v>9</v>
      </c>
      <c r="D471" s="33" t="s">
        <v>69</v>
      </c>
      <c r="E471" s="70" t="s">
        <v>42</v>
      </c>
      <c r="F471" s="97">
        <v>0</v>
      </c>
      <c r="G471" s="98">
        <v>6.2138</v>
      </c>
      <c r="H471" s="99">
        <v>8.77E-2</v>
      </c>
      <c r="I471" s="100">
        <v>0</v>
      </c>
      <c r="J471" s="99">
        <v>384.83499999999998</v>
      </c>
      <c r="K471" s="99">
        <v>5.7408999999999999</v>
      </c>
      <c r="L471" s="165">
        <f>SUM(BabycareRaw[[#This Row],[2022]:[YTD 24]])</f>
        <v>6.3014999999999999</v>
      </c>
    </row>
    <row r="472" spans="1:12" ht="15" customHeight="1" x14ac:dyDescent="0.2">
      <c r="A472" s="27" t="s">
        <v>774</v>
      </c>
      <c r="B472" s="28" t="s">
        <v>5</v>
      </c>
      <c r="C472" s="28"/>
      <c r="D472" s="29"/>
      <c r="E472" s="68"/>
      <c r="F472" s="101">
        <v>62.723500000000001</v>
      </c>
      <c r="G472" s="102">
        <v>72.771000000000001</v>
      </c>
      <c r="H472" s="103">
        <v>17.986000000000001</v>
      </c>
      <c r="I472" s="104">
        <v>4142.5168000000003</v>
      </c>
      <c r="J472" s="103">
        <v>3738.1192999999998</v>
      </c>
      <c r="K472" s="103">
        <v>966.62199999999996</v>
      </c>
      <c r="L472" s="169">
        <f>SUM(BabycareRaw[[#This Row],[2022]:[YTD 24]])</f>
        <v>153.48050000000001</v>
      </c>
    </row>
    <row r="473" spans="1:12" ht="14.25" customHeight="1" x14ac:dyDescent="0.2">
      <c r="A473" s="30" t="s">
        <v>395</v>
      </c>
      <c r="B473" s="31" t="s">
        <v>6</v>
      </c>
      <c r="C473" s="32"/>
      <c r="D473" s="33"/>
      <c r="E473" s="70"/>
      <c r="F473" s="97">
        <v>20.423200000000001</v>
      </c>
      <c r="G473" s="98">
        <v>51.941600000000001</v>
      </c>
      <c r="H473" s="99">
        <v>13.0914</v>
      </c>
      <c r="I473" s="100">
        <v>1229.9928</v>
      </c>
      <c r="J473" s="99">
        <v>2594.8521000000001</v>
      </c>
      <c r="K473" s="99">
        <v>721.54930000000002</v>
      </c>
      <c r="L473" s="165">
        <f>SUM(BabycareRaw[[#This Row],[2022]:[YTD 24]])</f>
        <v>85.456199999999995</v>
      </c>
    </row>
    <row r="474" spans="1:12" ht="15" customHeight="1" x14ac:dyDescent="0.2">
      <c r="A474" s="34" t="s">
        <v>396</v>
      </c>
      <c r="B474" s="32" t="s">
        <v>8</v>
      </c>
      <c r="C474" s="32" t="s">
        <v>9</v>
      </c>
      <c r="D474" s="33" t="s">
        <v>64</v>
      </c>
      <c r="E474" s="70" t="s">
        <v>21</v>
      </c>
      <c r="F474" s="97">
        <v>2.8529</v>
      </c>
      <c r="G474" s="98">
        <v>0</v>
      </c>
      <c r="H474" s="99">
        <v>0</v>
      </c>
      <c r="I474" s="100">
        <v>195.97380000000001</v>
      </c>
      <c r="J474" s="99">
        <v>0</v>
      </c>
      <c r="K474" s="99">
        <v>0</v>
      </c>
      <c r="L474" s="165">
        <f>SUM(BabycareRaw[[#This Row],[2022]:[YTD 24]])</f>
        <v>2.8529</v>
      </c>
    </row>
    <row r="475" spans="1:12" ht="15" customHeight="1" x14ac:dyDescent="0.2">
      <c r="A475" s="34" t="s">
        <v>397</v>
      </c>
      <c r="B475" s="32" t="s">
        <v>8</v>
      </c>
      <c r="C475" s="32" t="s">
        <v>9</v>
      </c>
      <c r="D475" s="33" t="s">
        <v>64</v>
      </c>
      <c r="E475" s="70" t="s">
        <v>21</v>
      </c>
      <c r="F475" s="97">
        <v>13.515499999999999</v>
      </c>
      <c r="G475" s="98">
        <v>1.9742999999999999</v>
      </c>
      <c r="H475" s="99">
        <v>2.98E-2</v>
      </c>
      <c r="I475" s="100">
        <v>813.32730000000004</v>
      </c>
      <c r="J475" s="99">
        <v>103.7679</v>
      </c>
      <c r="K475" s="99">
        <v>1.4246000000000001</v>
      </c>
      <c r="L475" s="165">
        <f>SUM(BabycareRaw[[#This Row],[2022]:[YTD 24]])</f>
        <v>15.519599999999999</v>
      </c>
    </row>
    <row r="476" spans="1:12" ht="15" customHeight="1" x14ac:dyDescent="0.2">
      <c r="A476" s="34" t="s">
        <v>398</v>
      </c>
      <c r="B476" s="32" t="s">
        <v>8</v>
      </c>
      <c r="C476" s="32" t="s">
        <v>9</v>
      </c>
      <c r="D476" s="33" t="s">
        <v>64</v>
      </c>
      <c r="E476" s="70" t="s">
        <v>24</v>
      </c>
      <c r="F476" s="97">
        <v>0</v>
      </c>
      <c r="G476" s="98">
        <v>47.540100000000002</v>
      </c>
      <c r="H476" s="99">
        <v>13.0617</v>
      </c>
      <c r="I476" s="100">
        <v>0</v>
      </c>
      <c r="J476" s="99">
        <v>2356.4949999999999</v>
      </c>
      <c r="K476" s="99">
        <v>720.12469999999996</v>
      </c>
      <c r="L476" s="165">
        <f>SUM(BabycareRaw[[#This Row],[2022]:[YTD 24]])</f>
        <v>60.601800000000004</v>
      </c>
    </row>
    <row r="477" spans="1:12" ht="15" customHeight="1" x14ac:dyDescent="0.2">
      <c r="A477" s="34" t="s">
        <v>399</v>
      </c>
      <c r="B477" s="32" t="s">
        <v>8</v>
      </c>
      <c r="C477" s="32" t="s">
        <v>9</v>
      </c>
      <c r="D477" s="33" t="s">
        <v>64</v>
      </c>
      <c r="E477" s="70" t="s">
        <v>103</v>
      </c>
      <c r="F477" s="97">
        <v>4.0548000000000002</v>
      </c>
      <c r="G477" s="98">
        <v>2.4268999999999998</v>
      </c>
      <c r="H477" s="99">
        <v>0</v>
      </c>
      <c r="I477" s="100">
        <v>220.69159999999999</v>
      </c>
      <c r="J477" s="99">
        <v>134.58930000000001</v>
      </c>
      <c r="K477" s="99">
        <v>0</v>
      </c>
      <c r="L477" s="165">
        <f>SUM(BabycareRaw[[#This Row],[2022]:[YTD 24]])</f>
        <v>6.4817</v>
      </c>
    </row>
    <row r="478" spans="1:12" ht="15" customHeight="1" x14ac:dyDescent="0.2">
      <c r="A478" s="30" t="s">
        <v>400</v>
      </c>
      <c r="B478" s="31" t="s">
        <v>6</v>
      </c>
      <c r="C478" s="32"/>
      <c r="D478" s="33"/>
      <c r="E478" s="70"/>
      <c r="F478" s="97">
        <v>42.300199999999997</v>
      </c>
      <c r="G478" s="98">
        <v>20.829499999999999</v>
      </c>
      <c r="H478" s="99">
        <v>4.8948</v>
      </c>
      <c r="I478" s="100">
        <v>2912.5239999999999</v>
      </c>
      <c r="J478" s="99">
        <v>1143.2672</v>
      </c>
      <c r="K478" s="99">
        <v>245.0727</v>
      </c>
      <c r="L478" s="165">
        <f>SUM(BabycareRaw[[#This Row],[2022]:[YTD 24]])</f>
        <v>68.024500000000003</v>
      </c>
    </row>
    <row r="479" spans="1:12" ht="15" customHeight="1" x14ac:dyDescent="0.2">
      <c r="A479" s="34" t="s">
        <v>401</v>
      </c>
      <c r="B479" s="32" t="s">
        <v>8</v>
      </c>
      <c r="C479" s="32" t="s">
        <v>9</v>
      </c>
      <c r="D479" s="33" t="s">
        <v>20</v>
      </c>
      <c r="E479" s="70" t="s">
        <v>103</v>
      </c>
      <c r="F479" s="97">
        <v>42.300199999999997</v>
      </c>
      <c r="G479" s="98">
        <v>20.829499999999999</v>
      </c>
      <c r="H479" s="99">
        <v>4.8948</v>
      </c>
      <c r="I479" s="100">
        <v>2912.5239999999999</v>
      </c>
      <c r="J479" s="99">
        <v>1143.2672</v>
      </c>
      <c r="K479" s="99">
        <v>245.0727</v>
      </c>
      <c r="L479" s="165">
        <f>SUM(BabycareRaw[[#This Row],[2022]:[YTD 24]])</f>
        <v>68.024500000000003</v>
      </c>
    </row>
    <row r="480" spans="1:12" ht="15" customHeight="1" x14ac:dyDescent="0.2">
      <c r="A480" s="27" t="s">
        <v>775</v>
      </c>
      <c r="B480" s="28" t="s">
        <v>5</v>
      </c>
      <c r="C480" s="28"/>
      <c r="D480" s="29"/>
      <c r="E480" s="68"/>
      <c r="F480" s="101">
        <v>27.204899999999999</v>
      </c>
      <c r="G480" s="102">
        <v>84.962400000000002</v>
      </c>
      <c r="H480" s="103">
        <v>67.934799999999996</v>
      </c>
      <c r="I480" s="104">
        <v>1705.1168</v>
      </c>
      <c r="J480" s="103">
        <v>4625.1881000000003</v>
      </c>
      <c r="K480" s="103">
        <v>3467.3735000000001</v>
      </c>
      <c r="L480" s="169">
        <f>SUM(BabycareRaw[[#This Row],[2022]:[YTD 24]])</f>
        <v>180.10210000000001</v>
      </c>
    </row>
    <row r="481" spans="1:12" ht="14.25" customHeight="1" x14ac:dyDescent="0.2">
      <c r="A481" s="30" t="s">
        <v>402</v>
      </c>
      <c r="B481" s="31" t="s">
        <v>6</v>
      </c>
      <c r="C481" s="32"/>
      <c r="D481" s="33"/>
      <c r="E481" s="70"/>
      <c r="F481" s="97">
        <v>12.6196</v>
      </c>
      <c r="G481" s="98">
        <v>0.30170000000000002</v>
      </c>
      <c r="H481" s="99">
        <v>0</v>
      </c>
      <c r="I481" s="100">
        <v>774.8818</v>
      </c>
      <c r="J481" s="99">
        <v>18.222799999999999</v>
      </c>
      <c r="K481" s="99">
        <v>0</v>
      </c>
      <c r="L481" s="165">
        <f>SUM(BabycareRaw[[#This Row],[2022]:[YTD 24]])</f>
        <v>12.9213</v>
      </c>
    </row>
    <row r="482" spans="1:12" ht="15" customHeight="1" x14ac:dyDescent="0.2">
      <c r="A482" s="34" t="s">
        <v>403</v>
      </c>
      <c r="B482" s="32" t="s">
        <v>8</v>
      </c>
      <c r="C482" s="32" t="s">
        <v>9</v>
      </c>
      <c r="D482" s="33" t="s">
        <v>20</v>
      </c>
      <c r="E482" s="70" t="s">
        <v>24</v>
      </c>
      <c r="F482" s="97">
        <v>12.6196</v>
      </c>
      <c r="G482" s="98">
        <v>0.30170000000000002</v>
      </c>
      <c r="H482" s="99">
        <v>0</v>
      </c>
      <c r="I482" s="100">
        <v>774.8818</v>
      </c>
      <c r="J482" s="99">
        <v>18.222799999999999</v>
      </c>
      <c r="K482" s="99">
        <v>0</v>
      </c>
      <c r="L482" s="165">
        <f>SUM(BabycareRaw[[#This Row],[2022]:[YTD 24]])</f>
        <v>12.9213</v>
      </c>
    </row>
    <row r="483" spans="1:12" ht="15" customHeight="1" x14ac:dyDescent="0.2">
      <c r="A483" s="30" t="s">
        <v>404</v>
      </c>
      <c r="B483" s="31" t="s">
        <v>6</v>
      </c>
      <c r="C483" s="32"/>
      <c r="D483" s="33"/>
      <c r="E483" s="70"/>
      <c r="F483" s="97">
        <v>14.5854</v>
      </c>
      <c r="G483" s="98">
        <v>84.660600000000002</v>
      </c>
      <c r="H483" s="99">
        <v>67.934799999999996</v>
      </c>
      <c r="I483" s="100">
        <v>930.23509999999999</v>
      </c>
      <c r="J483" s="99">
        <v>4606.9654</v>
      </c>
      <c r="K483" s="99">
        <v>3467.3735000000001</v>
      </c>
      <c r="L483" s="165">
        <f>SUM(BabycareRaw[[#This Row],[2022]:[YTD 24]])</f>
        <v>167.1808</v>
      </c>
    </row>
    <row r="484" spans="1:12" ht="15" customHeight="1" x14ac:dyDescent="0.2">
      <c r="A484" s="34" t="s">
        <v>405</v>
      </c>
      <c r="B484" s="32" t="s">
        <v>8</v>
      </c>
      <c r="C484" s="32" t="s">
        <v>9</v>
      </c>
      <c r="D484" s="33" t="s">
        <v>30</v>
      </c>
      <c r="E484" s="70" t="s">
        <v>24</v>
      </c>
      <c r="F484" s="97">
        <v>0</v>
      </c>
      <c r="G484" s="98">
        <v>39.128300000000003</v>
      </c>
      <c r="H484" s="99">
        <v>18.019200000000001</v>
      </c>
      <c r="I484" s="100">
        <v>0</v>
      </c>
      <c r="J484" s="99">
        <v>2116.4569999999999</v>
      </c>
      <c r="K484" s="99">
        <v>1056.0386000000001</v>
      </c>
      <c r="L484" s="165">
        <f>SUM(BabycareRaw[[#This Row],[2022]:[YTD 24]])</f>
        <v>57.147500000000008</v>
      </c>
    </row>
    <row r="485" spans="1:12" ht="15" customHeight="1" x14ac:dyDescent="0.2">
      <c r="A485" s="34" t="s">
        <v>406</v>
      </c>
      <c r="B485" s="32" t="s">
        <v>8</v>
      </c>
      <c r="C485" s="32" t="s">
        <v>9</v>
      </c>
      <c r="D485" s="33" t="s">
        <v>30</v>
      </c>
      <c r="E485" s="70" t="s">
        <v>42</v>
      </c>
      <c r="F485" s="97">
        <v>14.5854</v>
      </c>
      <c r="G485" s="98">
        <v>45.532299999999999</v>
      </c>
      <c r="H485" s="99">
        <v>49.915700000000001</v>
      </c>
      <c r="I485" s="100">
        <v>930.23509999999999</v>
      </c>
      <c r="J485" s="99">
        <v>2490.5082000000002</v>
      </c>
      <c r="K485" s="99">
        <v>2411.3348000000001</v>
      </c>
      <c r="L485" s="165">
        <f>SUM(BabycareRaw[[#This Row],[2022]:[YTD 24]])</f>
        <v>110.0334</v>
      </c>
    </row>
    <row r="486" spans="1:12" ht="15" customHeight="1" x14ac:dyDescent="0.2">
      <c r="A486" s="27" t="s">
        <v>776</v>
      </c>
      <c r="B486" s="28" t="s">
        <v>5</v>
      </c>
      <c r="C486" s="28"/>
      <c r="D486" s="29"/>
      <c r="E486" s="68"/>
      <c r="F486" s="101">
        <v>0.31290000000000001</v>
      </c>
      <c r="G486" s="102">
        <v>4.0300000000000002E-2</v>
      </c>
      <c r="H486" s="103">
        <v>0</v>
      </c>
      <c r="I486" s="104">
        <v>2.3519999999999999</v>
      </c>
      <c r="J486" s="103">
        <v>0.30399999999999999</v>
      </c>
      <c r="K486" s="103">
        <v>0</v>
      </c>
      <c r="L486" s="169">
        <f>SUM(BabycareRaw[[#This Row],[2022]:[YTD 24]])</f>
        <v>0.35320000000000001</v>
      </c>
    </row>
    <row r="487" spans="1:12" ht="14.25" customHeight="1" x14ac:dyDescent="0.2">
      <c r="A487" s="30" t="s">
        <v>407</v>
      </c>
      <c r="B487" s="31" t="s">
        <v>6</v>
      </c>
      <c r="C487" s="32"/>
      <c r="D487" s="33"/>
      <c r="E487" s="70"/>
      <c r="F487" s="97">
        <v>0.31290000000000001</v>
      </c>
      <c r="G487" s="98">
        <v>4.0300000000000002E-2</v>
      </c>
      <c r="H487" s="99">
        <v>0</v>
      </c>
      <c r="I487" s="100">
        <v>2.3519999999999999</v>
      </c>
      <c r="J487" s="99">
        <v>0.30399999999999999</v>
      </c>
      <c r="K487" s="99">
        <v>0</v>
      </c>
      <c r="L487" s="165">
        <f>SUM(BabycareRaw[[#This Row],[2022]:[YTD 24]])</f>
        <v>0.35320000000000001</v>
      </c>
    </row>
    <row r="488" spans="1:12" ht="15" customHeight="1" x14ac:dyDescent="0.2">
      <c r="A488" s="34" t="s">
        <v>408</v>
      </c>
      <c r="B488" s="32" t="s">
        <v>8</v>
      </c>
      <c r="C488" s="32" t="s">
        <v>9</v>
      </c>
      <c r="D488" s="33" t="s">
        <v>64</v>
      </c>
      <c r="E488" s="70" t="s">
        <v>34</v>
      </c>
      <c r="F488" s="97">
        <v>0.1139</v>
      </c>
      <c r="G488" s="98">
        <v>4.0300000000000002E-2</v>
      </c>
      <c r="H488" s="99">
        <v>0</v>
      </c>
      <c r="I488" s="100">
        <v>0.85599999999999998</v>
      </c>
      <c r="J488" s="99">
        <v>0.30399999999999999</v>
      </c>
      <c r="K488" s="99">
        <v>0</v>
      </c>
      <c r="L488" s="165">
        <f>SUM(BabycareRaw[[#This Row],[2022]:[YTD 24]])</f>
        <v>0.1542</v>
      </c>
    </row>
    <row r="489" spans="1:12" ht="15" customHeight="1" x14ac:dyDescent="0.2">
      <c r="A489" s="34" t="s">
        <v>409</v>
      </c>
      <c r="B489" s="32" t="s">
        <v>8</v>
      </c>
      <c r="C489" s="32" t="s">
        <v>9</v>
      </c>
      <c r="D489" s="33" t="s">
        <v>64</v>
      </c>
      <c r="E489" s="70" t="s">
        <v>34</v>
      </c>
      <c r="F489" s="97">
        <v>0.19919999999999999</v>
      </c>
      <c r="G489" s="98">
        <v>0</v>
      </c>
      <c r="H489" s="99">
        <v>0</v>
      </c>
      <c r="I489" s="100">
        <v>1.496</v>
      </c>
      <c r="J489" s="99">
        <v>0</v>
      </c>
      <c r="K489" s="99">
        <v>0</v>
      </c>
      <c r="L489" s="165">
        <f>SUM(BabycareRaw[[#This Row],[2022]:[YTD 24]])</f>
        <v>0.19919999999999999</v>
      </c>
    </row>
    <row r="490" spans="1:12" ht="15" customHeight="1" x14ac:dyDescent="0.2">
      <c r="A490" s="27" t="s">
        <v>777</v>
      </c>
      <c r="B490" s="28" t="s">
        <v>5</v>
      </c>
      <c r="C490" s="28"/>
      <c r="D490" s="29"/>
      <c r="E490" s="68"/>
      <c r="F490" s="101">
        <v>131.49090000000001</v>
      </c>
      <c r="G490" s="102">
        <v>246.0711</v>
      </c>
      <c r="H490" s="103">
        <v>78.181899999999999</v>
      </c>
      <c r="I490" s="104">
        <v>7528.2015000000001</v>
      </c>
      <c r="J490" s="103">
        <v>14073.58</v>
      </c>
      <c r="K490" s="103">
        <v>4344.6674999999996</v>
      </c>
      <c r="L490" s="169">
        <f>SUM(BabycareRaw[[#This Row],[2022]:[YTD 24]])</f>
        <v>455.7439</v>
      </c>
    </row>
    <row r="491" spans="1:12" ht="14.25" customHeight="1" x14ac:dyDescent="0.2">
      <c r="A491" s="30" t="s">
        <v>410</v>
      </c>
      <c r="B491" s="31" t="s">
        <v>6</v>
      </c>
      <c r="C491" s="32"/>
      <c r="D491" s="33"/>
      <c r="E491" s="70"/>
      <c r="F491" s="97">
        <v>17.142399999999999</v>
      </c>
      <c r="G491" s="98">
        <v>6.4819000000000004</v>
      </c>
      <c r="H491" s="99">
        <v>0.25540000000000002</v>
      </c>
      <c r="I491" s="100">
        <v>938.0729</v>
      </c>
      <c r="J491" s="99">
        <v>380.07749999999999</v>
      </c>
      <c r="K491" s="99">
        <v>12.7729</v>
      </c>
      <c r="L491" s="165">
        <f>SUM(BabycareRaw[[#This Row],[2022]:[YTD 24]])</f>
        <v>23.8797</v>
      </c>
    </row>
    <row r="492" spans="1:12" ht="15" customHeight="1" x14ac:dyDescent="0.2">
      <c r="A492" s="34" t="s">
        <v>411</v>
      </c>
      <c r="B492" s="32" t="s">
        <v>8</v>
      </c>
      <c r="C492" s="32" t="s">
        <v>9</v>
      </c>
      <c r="D492" s="33" t="s">
        <v>30</v>
      </c>
      <c r="E492" s="70" t="s">
        <v>21</v>
      </c>
      <c r="F492" s="97">
        <v>4.4461000000000004</v>
      </c>
      <c r="G492" s="98">
        <v>2.0626000000000002</v>
      </c>
      <c r="H492" s="99">
        <v>0</v>
      </c>
      <c r="I492" s="100">
        <v>234.7319</v>
      </c>
      <c r="J492" s="99">
        <v>137.5095</v>
      </c>
      <c r="K492" s="99">
        <v>0</v>
      </c>
      <c r="L492" s="165">
        <f>SUM(BabycareRaw[[#This Row],[2022]:[YTD 24]])</f>
        <v>6.508700000000001</v>
      </c>
    </row>
    <row r="493" spans="1:12" ht="15" customHeight="1" x14ac:dyDescent="0.2">
      <c r="A493" s="34" t="s">
        <v>412</v>
      </c>
      <c r="B493" s="32" t="s">
        <v>8</v>
      </c>
      <c r="C493" s="32" t="s">
        <v>9</v>
      </c>
      <c r="D493" s="33" t="s">
        <v>20</v>
      </c>
      <c r="E493" s="70" t="s">
        <v>26</v>
      </c>
      <c r="F493" s="97">
        <v>0.15609999999999999</v>
      </c>
      <c r="G493" s="98">
        <v>2.98E-2</v>
      </c>
      <c r="H493" s="99">
        <v>0.25540000000000002</v>
      </c>
      <c r="I493" s="100">
        <v>9.3703000000000003</v>
      </c>
      <c r="J493" s="99">
        <v>1.4905999999999999</v>
      </c>
      <c r="K493" s="99">
        <v>12.7729</v>
      </c>
      <c r="L493" s="165">
        <f>SUM(BabycareRaw[[#This Row],[2022]:[YTD 24]])</f>
        <v>0.44130000000000003</v>
      </c>
    </row>
    <row r="494" spans="1:12" ht="15" customHeight="1" x14ac:dyDescent="0.2">
      <c r="A494" s="34" t="s">
        <v>413</v>
      </c>
      <c r="B494" s="32" t="s">
        <v>8</v>
      </c>
      <c r="C494" s="32" t="s">
        <v>9</v>
      </c>
      <c r="D494" s="33" t="s">
        <v>10</v>
      </c>
      <c r="E494" s="70" t="s">
        <v>99</v>
      </c>
      <c r="F494" s="97">
        <v>1.8445</v>
      </c>
      <c r="G494" s="98">
        <v>0</v>
      </c>
      <c r="H494" s="99">
        <v>0</v>
      </c>
      <c r="I494" s="100">
        <v>41.871899999999997</v>
      </c>
      <c r="J494" s="99">
        <v>0</v>
      </c>
      <c r="K494" s="99">
        <v>0</v>
      </c>
      <c r="L494" s="165">
        <f>SUM(BabycareRaw[[#This Row],[2022]:[YTD 24]])</f>
        <v>1.8445</v>
      </c>
    </row>
    <row r="495" spans="1:12" ht="15" customHeight="1" x14ac:dyDescent="0.2">
      <c r="A495" s="34" t="s">
        <v>414</v>
      </c>
      <c r="B495" s="32" t="s">
        <v>8</v>
      </c>
      <c r="C495" s="32" t="s">
        <v>9</v>
      </c>
      <c r="D495" s="33" t="s">
        <v>20</v>
      </c>
      <c r="E495" s="70" t="s">
        <v>42</v>
      </c>
      <c r="F495" s="97">
        <v>0.57199999999999995</v>
      </c>
      <c r="G495" s="98">
        <v>0</v>
      </c>
      <c r="H495" s="99">
        <v>0</v>
      </c>
      <c r="I495" s="100">
        <v>34.318100000000001</v>
      </c>
      <c r="J495" s="99">
        <v>0</v>
      </c>
      <c r="K495" s="99">
        <v>0</v>
      </c>
      <c r="L495" s="165">
        <f>SUM(BabycareRaw[[#This Row],[2022]:[YTD 24]])</f>
        <v>0.57199999999999995</v>
      </c>
    </row>
    <row r="496" spans="1:12" ht="15" customHeight="1" x14ac:dyDescent="0.2">
      <c r="A496" s="34" t="s">
        <v>415</v>
      </c>
      <c r="B496" s="32" t="s">
        <v>8</v>
      </c>
      <c r="C496" s="32" t="s">
        <v>9</v>
      </c>
      <c r="D496" s="33" t="s">
        <v>20</v>
      </c>
      <c r="E496" s="70" t="s">
        <v>42</v>
      </c>
      <c r="F496" s="97">
        <v>10.123900000000001</v>
      </c>
      <c r="G496" s="98">
        <v>4.3895</v>
      </c>
      <c r="H496" s="99">
        <v>0</v>
      </c>
      <c r="I496" s="100">
        <v>617.78060000000005</v>
      </c>
      <c r="J496" s="99">
        <v>241.07740000000001</v>
      </c>
      <c r="K496" s="99">
        <v>0</v>
      </c>
      <c r="L496" s="165">
        <f>SUM(BabycareRaw[[#This Row],[2022]:[YTD 24]])</f>
        <v>14.513400000000001</v>
      </c>
    </row>
    <row r="497" spans="1:12" ht="15" customHeight="1" x14ac:dyDescent="0.2">
      <c r="A497" s="30" t="s">
        <v>416</v>
      </c>
      <c r="B497" s="31" t="s">
        <v>6</v>
      </c>
      <c r="C497" s="32"/>
      <c r="D497" s="33"/>
      <c r="E497" s="70"/>
      <c r="F497" s="97">
        <v>0</v>
      </c>
      <c r="G497" s="98">
        <v>71.560299999999998</v>
      </c>
      <c r="H497" s="99">
        <v>32.9009</v>
      </c>
      <c r="I497" s="100">
        <v>0</v>
      </c>
      <c r="J497" s="99">
        <v>4107.0888999999997</v>
      </c>
      <c r="K497" s="99">
        <v>1795.3303000000001</v>
      </c>
      <c r="L497" s="165">
        <f>SUM(BabycareRaw[[#This Row],[2022]:[YTD 24]])</f>
        <v>104.46119999999999</v>
      </c>
    </row>
    <row r="498" spans="1:12" ht="15" customHeight="1" x14ac:dyDescent="0.2">
      <c r="A498" s="34" t="s">
        <v>417</v>
      </c>
      <c r="B498" s="32" t="s">
        <v>8</v>
      </c>
      <c r="C498" s="32" t="s">
        <v>9</v>
      </c>
      <c r="D498" s="33" t="s">
        <v>64</v>
      </c>
      <c r="E498" s="70" t="s">
        <v>24</v>
      </c>
      <c r="F498" s="97">
        <v>0</v>
      </c>
      <c r="G498" s="98">
        <v>56.203800000000001</v>
      </c>
      <c r="H498" s="99">
        <v>22.180299999999999</v>
      </c>
      <c r="I498" s="100">
        <v>0</v>
      </c>
      <c r="J498" s="99">
        <v>3259.8697999999999</v>
      </c>
      <c r="K498" s="99">
        <v>1260.6195</v>
      </c>
      <c r="L498" s="165">
        <f>SUM(BabycareRaw[[#This Row],[2022]:[YTD 24]])</f>
        <v>78.384100000000004</v>
      </c>
    </row>
    <row r="499" spans="1:12" ht="15" customHeight="1" x14ac:dyDescent="0.2">
      <c r="A499" s="34" t="s">
        <v>418</v>
      </c>
      <c r="B499" s="32" t="s">
        <v>8</v>
      </c>
      <c r="C499" s="32" t="s">
        <v>9</v>
      </c>
      <c r="D499" s="33" t="s">
        <v>64</v>
      </c>
      <c r="E499" s="70" t="s">
        <v>42</v>
      </c>
      <c r="F499" s="97">
        <v>0</v>
      </c>
      <c r="G499" s="98">
        <v>15.356400000000001</v>
      </c>
      <c r="H499" s="99">
        <v>10.720599999999999</v>
      </c>
      <c r="I499" s="100">
        <v>0</v>
      </c>
      <c r="J499" s="99">
        <v>847.21910000000003</v>
      </c>
      <c r="K499" s="99">
        <v>534.71069999999997</v>
      </c>
      <c r="L499" s="165">
        <f>SUM(BabycareRaw[[#This Row],[2022]:[YTD 24]])</f>
        <v>26.076999999999998</v>
      </c>
    </row>
    <row r="500" spans="1:12" ht="15" customHeight="1" x14ac:dyDescent="0.2">
      <c r="A500" s="30" t="s">
        <v>419</v>
      </c>
      <c r="B500" s="31" t="s">
        <v>6</v>
      </c>
      <c r="C500" s="32"/>
      <c r="D500" s="33"/>
      <c r="E500" s="70"/>
      <c r="F500" s="97">
        <v>1.0731999999999999</v>
      </c>
      <c r="G500" s="98">
        <v>0</v>
      </c>
      <c r="H500" s="99">
        <v>0</v>
      </c>
      <c r="I500" s="100">
        <v>47.075600000000001</v>
      </c>
      <c r="J500" s="99">
        <v>0</v>
      </c>
      <c r="K500" s="99">
        <v>0</v>
      </c>
      <c r="L500" s="165">
        <f>SUM(BabycareRaw[[#This Row],[2022]:[YTD 24]])</f>
        <v>1.0731999999999999</v>
      </c>
    </row>
    <row r="501" spans="1:12" ht="15" customHeight="1" x14ac:dyDescent="0.2">
      <c r="A501" s="34" t="s">
        <v>420</v>
      </c>
      <c r="B501" s="32" t="s">
        <v>8</v>
      </c>
      <c r="C501" s="32" t="s">
        <v>9</v>
      </c>
      <c r="D501" s="33" t="s">
        <v>10</v>
      </c>
      <c r="E501" s="70" t="s">
        <v>17</v>
      </c>
      <c r="F501" s="97">
        <v>1.0731999999999999</v>
      </c>
      <c r="G501" s="98">
        <v>0</v>
      </c>
      <c r="H501" s="99">
        <v>0</v>
      </c>
      <c r="I501" s="100">
        <v>47.075600000000001</v>
      </c>
      <c r="J501" s="99">
        <v>0</v>
      </c>
      <c r="K501" s="99">
        <v>0</v>
      </c>
      <c r="L501" s="165">
        <f>SUM(BabycareRaw[[#This Row],[2022]:[YTD 24]])</f>
        <v>1.0731999999999999</v>
      </c>
    </row>
    <row r="502" spans="1:12" ht="15" customHeight="1" x14ac:dyDescent="0.2">
      <c r="A502" s="30" t="s">
        <v>421</v>
      </c>
      <c r="B502" s="31" t="s">
        <v>6</v>
      </c>
      <c r="C502" s="32"/>
      <c r="D502" s="33"/>
      <c r="E502" s="70"/>
      <c r="F502" s="97">
        <v>2.6486999999999998</v>
      </c>
      <c r="G502" s="98">
        <v>0</v>
      </c>
      <c r="H502" s="99">
        <v>0</v>
      </c>
      <c r="I502" s="100">
        <v>124.62050000000001</v>
      </c>
      <c r="J502" s="99">
        <v>0</v>
      </c>
      <c r="K502" s="99">
        <v>0</v>
      </c>
      <c r="L502" s="165">
        <f>SUM(BabycareRaw[[#This Row],[2022]:[YTD 24]])</f>
        <v>2.6486999999999998</v>
      </c>
    </row>
    <row r="503" spans="1:12" ht="15" customHeight="1" x14ac:dyDescent="0.2">
      <c r="A503" s="34" t="s">
        <v>422</v>
      </c>
      <c r="B503" s="32" t="s">
        <v>8</v>
      </c>
      <c r="C503" s="32" t="s">
        <v>9</v>
      </c>
      <c r="D503" s="33" t="s">
        <v>64</v>
      </c>
      <c r="E503" s="70" t="s">
        <v>423</v>
      </c>
      <c r="F503" s="97">
        <v>2.6486999999999998</v>
      </c>
      <c r="G503" s="98">
        <v>0</v>
      </c>
      <c r="H503" s="99">
        <v>0</v>
      </c>
      <c r="I503" s="100">
        <v>124.62050000000001</v>
      </c>
      <c r="J503" s="99">
        <v>0</v>
      </c>
      <c r="K503" s="99">
        <v>0</v>
      </c>
      <c r="L503" s="165">
        <f>SUM(BabycareRaw[[#This Row],[2022]:[YTD 24]])</f>
        <v>2.6486999999999998</v>
      </c>
    </row>
    <row r="504" spans="1:12" ht="15" customHeight="1" x14ac:dyDescent="0.2">
      <c r="A504" s="30" t="s">
        <v>424</v>
      </c>
      <c r="B504" s="31" t="s">
        <v>6</v>
      </c>
      <c r="C504" s="32"/>
      <c r="D504" s="33"/>
      <c r="E504" s="70"/>
      <c r="F504" s="97">
        <v>110.6263</v>
      </c>
      <c r="G504" s="98">
        <v>168.029</v>
      </c>
      <c r="H504" s="99">
        <v>45.025399999999998</v>
      </c>
      <c r="I504" s="100">
        <v>6418.4327000000003</v>
      </c>
      <c r="J504" s="99">
        <v>9586.4138000000003</v>
      </c>
      <c r="K504" s="99">
        <v>2536.5643</v>
      </c>
      <c r="L504" s="165">
        <f>SUM(BabycareRaw[[#This Row],[2022]:[YTD 24]])</f>
        <v>323.6807</v>
      </c>
    </row>
    <row r="505" spans="1:12" ht="15" customHeight="1" x14ac:dyDescent="0.2">
      <c r="A505" s="34" t="s">
        <v>425</v>
      </c>
      <c r="B505" s="32" t="s">
        <v>8</v>
      </c>
      <c r="C505" s="32" t="s">
        <v>9</v>
      </c>
      <c r="D505" s="33" t="s">
        <v>20</v>
      </c>
      <c r="E505" s="70" t="s">
        <v>24</v>
      </c>
      <c r="F505" s="97">
        <v>84.095799999999997</v>
      </c>
      <c r="G505" s="98">
        <v>151.49979999999999</v>
      </c>
      <c r="H505" s="99">
        <v>39.488900000000001</v>
      </c>
      <c r="I505" s="100">
        <v>4863.5491000000002</v>
      </c>
      <c r="J505" s="99">
        <v>8687.4974999999995</v>
      </c>
      <c r="K505" s="99">
        <v>2240.9688000000001</v>
      </c>
      <c r="L505" s="165">
        <f>SUM(BabycareRaw[[#This Row],[2022]:[YTD 24]])</f>
        <v>275.08449999999999</v>
      </c>
    </row>
    <row r="506" spans="1:12" ht="15" customHeight="1" x14ac:dyDescent="0.2">
      <c r="A506" s="34" t="s">
        <v>426</v>
      </c>
      <c r="B506" s="32" t="s">
        <v>8</v>
      </c>
      <c r="C506" s="32" t="s">
        <v>9</v>
      </c>
      <c r="D506" s="33" t="s">
        <v>20</v>
      </c>
      <c r="E506" s="70" t="s">
        <v>42</v>
      </c>
      <c r="F506" s="97">
        <v>24.440899999999999</v>
      </c>
      <c r="G506" s="98">
        <v>13.931900000000001</v>
      </c>
      <c r="H506" s="99">
        <v>5.4257</v>
      </c>
      <c r="I506" s="100">
        <v>1419.3269</v>
      </c>
      <c r="J506" s="99">
        <v>757.8877</v>
      </c>
      <c r="K506" s="99">
        <v>289.12630000000001</v>
      </c>
      <c r="L506" s="165">
        <f>SUM(BabycareRaw[[#This Row],[2022]:[YTD 24]])</f>
        <v>43.798499999999997</v>
      </c>
    </row>
    <row r="507" spans="1:12" ht="15" customHeight="1" x14ac:dyDescent="0.2">
      <c r="A507" s="34" t="s">
        <v>427</v>
      </c>
      <c r="B507" s="32" t="s">
        <v>8</v>
      </c>
      <c r="C507" s="32" t="s">
        <v>9</v>
      </c>
      <c r="D507" s="33" t="s">
        <v>20</v>
      </c>
      <c r="E507" s="70" t="s">
        <v>42</v>
      </c>
      <c r="F507" s="97">
        <v>2.0893000000000002</v>
      </c>
      <c r="G507" s="98">
        <v>2.5973000000000002</v>
      </c>
      <c r="H507" s="99">
        <v>0.1109</v>
      </c>
      <c r="I507" s="100">
        <v>135.5565</v>
      </c>
      <c r="J507" s="99">
        <v>141.02850000000001</v>
      </c>
      <c r="K507" s="99">
        <v>6.4691999999999998</v>
      </c>
      <c r="L507" s="165">
        <f>SUM(BabycareRaw[[#This Row],[2022]:[YTD 24]])</f>
        <v>4.7975000000000003</v>
      </c>
    </row>
    <row r="508" spans="1:12" ht="15" customHeight="1" x14ac:dyDescent="0.2">
      <c r="A508" s="27" t="s">
        <v>778</v>
      </c>
      <c r="B508" s="28" t="s">
        <v>5</v>
      </c>
      <c r="C508" s="28"/>
      <c r="D508" s="29"/>
      <c r="E508" s="68"/>
      <c r="F508" s="101">
        <v>8.7314000000000007</v>
      </c>
      <c r="G508" s="102">
        <v>3.2120000000000002</v>
      </c>
      <c r="H508" s="103">
        <v>0</v>
      </c>
      <c r="I508" s="104">
        <v>524.32740000000001</v>
      </c>
      <c r="J508" s="103">
        <v>172.9468</v>
      </c>
      <c r="K508" s="103">
        <v>0</v>
      </c>
      <c r="L508" s="169">
        <f>SUM(BabycareRaw[[#This Row],[2022]:[YTD 24]])</f>
        <v>11.9434</v>
      </c>
    </row>
    <row r="509" spans="1:12" ht="14.25" customHeight="1" x14ac:dyDescent="0.2">
      <c r="A509" s="30" t="s">
        <v>428</v>
      </c>
      <c r="B509" s="31" t="s">
        <v>6</v>
      </c>
      <c r="C509" s="32"/>
      <c r="D509" s="33"/>
      <c r="E509" s="70"/>
      <c r="F509" s="97">
        <v>6.1833</v>
      </c>
      <c r="G509" s="98">
        <v>0.61119999999999997</v>
      </c>
      <c r="H509" s="99">
        <v>0</v>
      </c>
      <c r="I509" s="100">
        <v>392.1592</v>
      </c>
      <c r="J509" s="99">
        <v>31.181999999999999</v>
      </c>
      <c r="K509" s="99">
        <v>0</v>
      </c>
      <c r="L509" s="165">
        <f>SUM(BabycareRaw[[#This Row],[2022]:[YTD 24]])</f>
        <v>6.7945000000000002</v>
      </c>
    </row>
    <row r="510" spans="1:12" ht="15" customHeight="1" x14ac:dyDescent="0.2">
      <c r="A510" s="34" t="s">
        <v>429</v>
      </c>
      <c r="B510" s="32" t="s">
        <v>8</v>
      </c>
      <c r="C510" s="32" t="s">
        <v>9</v>
      </c>
      <c r="D510" s="33" t="s">
        <v>20</v>
      </c>
      <c r="E510" s="70" t="s">
        <v>24</v>
      </c>
      <c r="F510" s="97">
        <v>6.1833</v>
      </c>
      <c r="G510" s="98">
        <v>0.61119999999999997</v>
      </c>
      <c r="H510" s="99">
        <v>0</v>
      </c>
      <c r="I510" s="100">
        <v>392.1592</v>
      </c>
      <c r="J510" s="99">
        <v>31.181999999999999</v>
      </c>
      <c r="K510" s="99">
        <v>0</v>
      </c>
      <c r="L510" s="165">
        <f>SUM(BabycareRaw[[#This Row],[2022]:[YTD 24]])</f>
        <v>6.7945000000000002</v>
      </c>
    </row>
    <row r="511" spans="1:12" ht="15" customHeight="1" x14ac:dyDescent="0.2">
      <c r="A511" s="30" t="s">
        <v>430</v>
      </c>
      <c r="B511" s="31" t="s">
        <v>6</v>
      </c>
      <c r="C511" s="32"/>
      <c r="D511" s="33"/>
      <c r="E511" s="70"/>
      <c r="F511" s="97">
        <v>0</v>
      </c>
      <c r="G511" s="98">
        <v>0</v>
      </c>
      <c r="H511" s="99">
        <v>0</v>
      </c>
      <c r="I511" s="100">
        <v>0</v>
      </c>
      <c r="J511" s="99">
        <v>0</v>
      </c>
      <c r="K511" s="99">
        <v>0</v>
      </c>
      <c r="L511" s="165">
        <f>SUM(BabycareRaw[[#This Row],[2022]:[YTD 24]])</f>
        <v>0</v>
      </c>
    </row>
    <row r="512" spans="1:12" ht="15" customHeight="1" x14ac:dyDescent="0.2">
      <c r="A512" s="34" t="s">
        <v>431</v>
      </c>
      <c r="B512" s="32" t="s">
        <v>8</v>
      </c>
      <c r="C512" s="32" t="s">
        <v>9</v>
      </c>
      <c r="D512" s="33" t="s">
        <v>20</v>
      </c>
      <c r="E512" s="70" t="s">
        <v>42</v>
      </c>
      <c r="F512" s="97">
        <v>0</v>
      </c>
      <c r="G512" s="98">
        <v>0</v>
      </c>
      <c r="H512" s="99">
        <v>0</v>
      </c>
      <c r="I512" s="100">
        <v>0</v>
      </c>
      <c r="J512" s="99">
        <v>0</v>
      </c>
      <c r="K512" s="99">
        <v>0</v>
      </c>
      <c r="L512" s="165">
        <f>SUM(BabycareRaw[[#This Row],[2022]:[YTD 24]])</f>
        <v>0</v>
      </c>
    </row>
    <row r="513" spans="1:12" ht="15" customHeight="1" x14ac:dyDescent="0.2">
      <c r="A513" s="30" t="s">
        <v>432</v>
      </c>
      <c r="B513" s="31" t="s">
        <v>6</v>
      </c>
      <c r="C513" s="32"/>
      <c r="D513" s="33"/>
      <c r="E513" s="70"/>
      <c r="F513" s="97">
        <v>2.5480999999999998</v>
      </c>
      <c r="G513" s="98">
        <v>2.6009000000000002</v>
      </c>
      <c r="H513" s="99">
        <v>0</v>
      </c>
      <c r="I513" s="100">
        <v>132.16820000000001</v>
      </c>
      <c r="J513" s="99">
        <v>141.76490000000001</v>
      </c>
      <c r="K513" s="99">
        <v>0</v>
      </c>
      <c r="L513" s="165">
        <f>SUM(BabycareRaw[[#This Row],[2022]:[YTD 24]])</f>
        <v>5.149</v>
      </c>
    </row>
    <row r="514" spans="1:12" ht="15" customHeight="1" x14ac:dyDescent="0.2">
      <c r="A514" s="34" t="s">
        <v>433</v>
      </c>
      <c r="B514" s="32" t="s">
        <v>8</v>
      </c>
      <c r="C514" s="32" t="s">
        <v>9</v>
      </c>
      <c r="D514" s="33" t="s">
        <v>20</v>
      </c>
      <c r="E514" s="70" t="s">
        <v>24</v>
      </c>
      <c r="F514" s="97">
        <v>2.5480999999999998</v>
      </c>
      <c r="G514" s="98">
        <v>2.6009000000000002</v>
      </c>
      <c r="H514" s="99">
        <v>0</v>
      </c>
      <c r="I514" s="100">
        <v>132.16820000000001</v>
      </c>
      <c r="J514" s="99">
        <v>141.76490000000001</v>
      </c>
      <c r="K514" s="99">
        <v>0</v>
      </c>
      <c r="L514" s="165">
        <f>SUM(BabycareRaw[[#This Row],[2022]:[YTD 24]])</f>
        <v>5.149</v>
      </c>
    </row>
    <row r="515" spans="1:12" ht="15" customHeight="1" x14ac:dyDescent="0.2">
      <c r="A515" s="27" t="s">
        <v>779</v>
      </c>
      <c r="B515" s="28" t="s">
        <v>5</v>
      </c>
      <c r="C515" s="28"/>
      <c r="D515" s="29"/>
      <c r="E515" s="68"/>
      <c r="F515" s="101">
        <v>0.15809999999999999</v>
      </c>
      <c r="G515" s="102">
        <v>2E-3</v>
      </c>
      <c r="H515" s="103">
        <v>1E-3</v>
      </c>
      <c r="I515" s="104">
        <v>2.1</v>
      </c>
      <c r="J515" s="103">
        <v>0.02</v>
      </c>
      <c r="K515" s="103">
        <v>0.02</v>
      </c>
      <c r="L515" s="169">
        <f>SUM(BabycareRaw[[#This Row],[2022]:[YTD 24]])</f>
        <v>0.16109999999999999</v>
      </c>
    </row>
    <row r="516" spans="1:12" ht="14.25" customHeight="1" x14ac:dyDescent="0.2">
      <c r="A516" s="30" t="s">
        <v>434</v>
      </c>
      <c r="B516" s="31" t="s">
        <v>6</v>
      </c>
      <c r="C516" s="32"/>
      <c r="D516" s="33"/>
      <c r="E516" s="70"/>
      <c r="F516" s="97">
        <v>0.15809999999999999</v>
      </c>
      <c r="G516" s="98">
        <v>2E-3</v>
      </c>
      <c r="H516" s="99">
        <v>1E-3</v>
      </c>
      <c r="I516" s="100">
        <v>2.1</v>
      </c>
      <c r="J516" s="99">
        <v>0.02</v>
      </c>
      <c r="K516" s="99">
        <v>0.02</v>
      </c>
      <c r="L516" s="165">
        <f>SUM(BabycareRaw[[#This Row],[2022]:[YTD 24]])</f>
        <v>0.16109999999999999</v>
      </c>
    </row>
    <row r="517" spans="1:12" ht="15" customHeight="1" x14ac:dyDescent="0.2">
      <c r="A517" s="34" t="s">
        <v>435</v>
      </c>
      <c r="B517" s="32" t="s">
        <v>8</v>
      </c>
      <c r="C517" s="32" t="s">
        <v>9</v>
      </c>
      <c r="D517" s="33" t="s">
        <v>69</v>
      </c>
      <c r="E517" s="70" t="s">
        <v>11</v>
      </c>
      <c r="F517" s="97">
        <v>0.15809999999999999</v>
      </c>
      <c r="G517" s="98">
        <v>2E-3</v>
      </c>
      <c r="H517" s="99">
        <v>1E-3</v>
      </c>
      <c r="I517" s="100">
        <v>2.1</v>
      </c>
      <c r="J517" s="99">
        <v>0.02</v>
      </c>
      <c r="K517" s="99">
        <v>0.02</v>
      </c>
      <c r="L517" s="165">
        <f>SUM(BabycareRaw[[#This Row],[2022]:[YTD 24]])</f>
        <v>0.16109999999999999</v>
      </c>
    </row>
    <row r="518" spans="1:12" ht="15" customHeight="1" x14ac:dyDescent="0.2">
      <c r="A518" s="27" t="s">
        <v>780</v>
      </c>
      <c r="B518" s="28" t="s">
        <v>5</v>
      </c>
      <c r="C518" s="28"/>
      <c r="D518" s="29"/>
      <c r="E518" s="68"/>
      <c r="F518" s="101">
        <v>6.0000000000000001E-3</v>
      </c>
      <c r="G518" s="102">
        <v>0.35439999999999999</v>
      </c>
      <c r="H518" s="103">
        <v>0</v>
      </c>
      <c r="I518" s="104">
        <v>0.33839999999999998</v>
      </c>
      <c r="J518" s="103">
        <v>16.541699999999999</v>
      </c>
      <c r="K518" s="103">
        <v>0</v>
      </c>
      <c r="L518" s="169">
        <f>SUM(BabycareRaw[[#This Row],[2022]:[YTD 24]])</f>
        <v>0.3604</v>
      </c>
    </row>
    <row r="519" spans="1:12" ht="14.25" customHeight="1" x14ac:dyDescent="0.2">
      <c r="A519" s="30" t="s">
        <v>436</v>
      </c>
      <c r="B519" s="31" t="s">
        <v>6</v>
      </c>
      <c r="C519" s="32"/>
      <c r="D519" s="33"/>
      <c r="E519" s="70"/>
      <c r="F519" s="97">
        <v>6.0000000000000001E-3</v>
      </c>
      <c r="G519" s="98">
        <v>0.35439999999999999</v>
      </c>
      <c r="H519" s="99">
        <v>0</v>
      </c>
      <c r="I519" s="100">
        <v>0.33839999999999998</v>
      </c>
      <c r="J519" s="99">
        <v>16.541699999999999</v>
      </c>
      <c r="K519" s="99">
        <v>0</v>
      </c>
      <c r="L519" s="165">
        <f>SUM(BabycareRaw[[#This Row],[2022]:[YTD 24]])</f>
        <v>0.3604</v>
      </c>
    </row>
    <row r="520" spans="1:12" ht="15" customHeight="1" x14ac:dyDescent="0.2">
      <c r="A520" s="34" t="s">
        <v>437</v>
      </c>
      <c r="B520" s="32" t="s">
        <v>8</v>
      </c>
      <c r="C520" s="32" t="s">
        <v>9</v>
      </c>
      <c r="D520" s="33" t="s">
        <v>30</v>
      </c>
      <c r="E520" s="70" t="s">
        <v>34</v>
      </c>
      <c r="F520" s="97">
        <v>6.0000000000000001E-3</v>
      </c>
      <c r="G520" s="98">
        <v>0.35439999999999999</v>
      </c>
      <c r="H520" s="99">
        <v>0</v>
      </c>
      <c r="I520" s="100">
        <v>0.33839999999999998</v>
      </c>
      <c r="J520" s="99">
        <v>16.541699999999999</v>
      </c>
      <c r="K520" s="99">
        <v>0</v>
      </c>
      <c r="L520" s="165">
        <f>SUM(BabycareRaw[[#This Row],[2022]:[YTD 24]])</f>
        <v>0.3604</v>
      </c>
    </row>
    <row r="521" spans="1:12" ht="15" customHeight="1" x14ac:dyDescent="0.2">
      <c r="A521" s="27" t="s">
        <v>781</v>
      </c>
      <c r="B521" s="28" t="s">
        <v>5</v>
      </c>
      <c r="C521" s="28"/>
      <c r="D521" s="29"/>
      <c r="E521" s="68"/>
      <c r="F521" s="101">
        <v>0</v>
      </c>
      <c r="G521" s="102">
        <v>0</v>
      </c>
      <c r="H521" s="103">
        <v>0</v>
      </c>
      <c r="I521" s="104">
        <v>0</v>
      </c>
      <c r="J521" s="103">
        <v>0</v>
      </c>
      <c r="K521" s="103">
        <v>0</v>
      </c>
      <c r="L521" s="169">
        <f>SUM(BabycareRaw[[#This Row],[2022]:[YTD 24]])</f>
        <v>0</v>
      </c>
    </row>
    <row r="522" spans="1:12" ht="14.25" customHeight="1" x14ac:dyDescent="0.2">
      <c r="A522" s="30" t="s">
        <v>438</v>
      </c>
      <c r="B522" s="31" t="s">
        <v>6</v>
      </c>
      <c r="C522" s="32"/>
      <c r="D522" s="33"/>
      <c r="E522" s="70"/>
      <c r="F522" s="97">
        <v>0</v>
      </c>
      <c r="G522" s="98">
        <v>0</v>
      </c>
      <c r="H522" s="99">
        <v>0</v>
      </c>
      <c r="I522" s="100">
        <v>0</v>
      </c>
      <c r="J522" s="99">
        <v>0</v>
      </c>
      <c r="K522" s="99">
        <v>0</v>
      </c>
      <c r="L522" s="165">
        <f>SUM(BabycareRaw[[#This Row],[2022]:[YTD 24]])</f>
        <v>0</v>
      </c>
    </row>
    <row r="523" spans="1:12" ht="15" customHeight="1" x14ac:dyDescent="0.2">
      <c r="A523" s="34" t="s">
        <v>439</v>
      </c>
      <c r="B523" s="32" t="s">
        <v>8</v>
      </c>
      <c r="C523" s="32" t="s">
        <v>9</v>
      </c>
      <c r="D523" s="33" t="s">
        <v>20</v>
      </c>
      <c r="E523" s="70" t="s">
        <v>24</v>
      </c>
      <c r="F523" s="97">
        <v>0</v>
      </c>
      <c r="G523" s="98">
        <v>0</v>
      </c>
      <c r="H523" s="99">
        <v>0</v>
      </c>
      <c r="I523" s="100">
        <v>0</v>
      </c>
      <c r="J523" s="99">
        <v>0</v>
      </c>
      <c r="K523" s="99">
        <v>0</v>
      </c>
      <c r="L523" s="165">
        <f>SUM(BabycareRaw[[#This Row],[2022]:[YTD 24]])</f>
        <v>0</v>
      </c>
    </row>
    <row r="524" spans="1:12" ht="15" customHeight="1" x14ac:dyDescent="0.2">
      <c r="A524" s="27" t="s">
        <v>782</v>
      </c>
      <c r="B524" s="28" t="s">
        <v>5</v>
      </c>
      <c r="C524" s="28"/>
      <c r="D524" s="29"/>
      <c r="E524" s="68"/>
      <c r="F524" s="101">
        <v>0</v>
      </c>
      <c r="G524" s="102">
        <v>0</v>
      </c>
      <c r="H524" s="103">
        <v>9.8000000000000004E-2</v>
      </c>
      <c r="I524" s="104">
        <v>0</v>
      </c>
      <c r="J524" s="103">
        <v>0</v>
      </c>
      <c r="K524" s="103">
        <v>3.3592</v>
      </c>
      <c r="L524" s="169">
        <f>SUM(BabycareRaw[[#This Row],[2022]:[YTD 24]])</f>
        <v>9.8000000000000004E-2</v>
      </c>
    </row>
    <row r="525" spans="1:12" ht="14.25" customHeight="1" x14ac:dyDescent="0.2">
      <c r="A525" s="30" t="s">
        <v>440</v>
      </c>
      <c r="B525" s="31" t="s">
        <v>6</v>
      </c>
      <c r="C525" s="32"/>
      <c r="D525" s="33"/>
      <c r="E525" s="70"/>
      <c r="F525" s="97">
        <v>0</v>
      </c>
      <c r="G525" s="98">
        <v>0</v>
      </c>
      <c r="H525" s="99">
        <v>9.8000000000000004E-2</v>
      </c>
      <c r="I525" s="100">
        <v>0</v>
      </c>
      <c r="J525" s="99">
        <v>0</v>
      </c>
      <c r="K525" s="99">
        <v>3.3592</v>
      </c>
      <c r="L525" s="165">
        <f>SUM(BabycareRaw[[#This Row],[2022]:[YTD 24]])</f>
        <v>9.8000000000000004E-2</v>
      </c>
    </row>
    <row r="526" spans="1:12" ht="15" customHeight="1" x14ac:dyDescent="0.2">
      <c r="A526" s="34" t="s">
        <v>824</v>
      </c>
      <c r="B526" s="32" t="s">
        <v>8</v>
      </c>
      <c r="C526" s="32" t="s">
        <v>9</v>
      </c>
      <c r="D526" s="33" t="s">
        <v>20</v>
      </c>
      <c r="E526" s="70" t="s">
        <v>42</v>
      </c>
      <c r="F526" s="97">
        <v>0</v>
      </c>
      <c r="G526" s="98">
        <v>0</v>
      </c>
      <c r="H526" s="99">
        <v>9.8000000000000004E-2</v>
      </c>
      <c r="I526" s="100">
        <v>0</v>
      </c>
      <c r="J526" s="99">
        <v>0</v>
      </c>
      <c r="K526" s="99">
        <v>3.3592</v>
      </c>
      <c r="L526" s="165">
        <f>SUM(BabycareRaw[[#This Row],[2022]:[YTD 24]])</f>
        <v>9.8000000000000004E-2</v>
      </c>
    </row>
    <row r="527" spans="1:12" ht="15" customHeight="1" x14ac:dyDescent="0.2">
      <c r="A527" s="27" t="s">
        <v>783</v>
      </c>
      <c r="B527" s="28" t="s">
        <v>5</v>
      </c>
      <c r="C527" s="28"/>
      <c r="D527" s="29"/>
      <c r="E527" s="68"/>
      <c r="F527" s="101">
        <v>0</v>
      </c>
      <c r="G527" s="102">
        <v>0.79349999999999998</v>
      </c>
      <c r="H527" s="103">
        <v>0.7298</v>
      </c>
      <c r="I527" s="104">
        <v>0</v>
      </c>
      <c r="J527" s="103">
        <v>47.268799999999999</v>
      </c>
      <c r="K527" s="103">
        <v>43.602699999999999</v>
      </c>
      <c r="L527" s="169">
        <f>SUM(BabycareRaw[[#This Row],[2022]:[YTD 24]])</f>
        <v>1.5232999999999999</v>
      </c>
    </row>
    <row r="528" spans="1:12" ht="14.25" customHeight="1" x14ac:dyDescent="0.2">
      <c r="A528" s="30" t="s">
        <v>441</v>
      </c>
      <c r="B528" s="31" t="s">
        <v>6</v>
      </c>
      <c r="C528" s="32"/>
      <c r="D528" s="33"/>
      <c r="E528" s="70"/>
      <c r="F528" s="97">
        <v>0</v>
      </c>
      <c r="G528" s="98">
        <v>0.79349999999999998</v>
      </c>
      <c r="H528" s="99">
        <v>0.7298</v>
      </c>
      <c r="I528" s="100">
        <v>0</v>
      </c>
      <c r="J528" s="99">
        <v>47.268799999999999</v>
      </c>
      <c r="K528" s="99">
        <v>43.602699999999999</v>
      </c>
      <c r="L528" s="165">
        <f>SUM(BabycareRaw[[#This Row],[2022]:[YTD 24]])</f>
        <v>1.5232999999999999</v>
      </c>
    </row>
    <row r="529" spans="1:12" ht="15" customHeight="1" x14ac:dyDescent="0.2">
      <c r="A529" s="34" t="s">
        <v>442</v>
      </c>
      <c r="B529" s="32" t="s">
        <v>8</v>
      </c>
      <c r="C529" s="32" t="s">
        <v>9</v>
      </c>
      <c r="D529" s="33" t="s">
        <v>20</v>
      </c>
      <c r="E529" s="70" t="s">
        <v>21</v>
      </c>
      <c r="F529" s="97">
        <v>0</v>
      </c>
      <c r="G529" s="98">
        <v>0</v>
      </c>
      <c r="H529" s="99">
        <v>0</v>
      </c>
      <c r="I529" s="100">
        <v>0</v>
      </c>
      <c r="J529" s="99">
        <v>0</v>
      </c>
      <c r="K529" s="99">
        <v>0</v>
      </c>
      <c r="L529" s="165">
        <f>SUM(BabycareRaw[[#This Row],[2022]:[YTD 24]])</f>
        <v>0</v>
      </c>
    </row>
    <row r="530" spans="1:12" ht="15" customHeight="1" x14ac:dyDescent="0.2">
      <c r="A530" s="34" t="s">
        <v>443</v>
      </c>
      <c r="B530" s="32" t="s">
        <v>8</v>
      </c>
      <c r="C530" s="32" t="s">
        <v>9</v>
      </c>
      <c r="D530" s="33" t="s">
        <v>10</v>
      </c>
      <c r="E530" s="70" t="s">
        <v>42</v>
      </c>
      <c r="F530" s="97">
        <v>0</v>
      </c>
      <c r="G530" s="98">
        <v>0.79349999999999998</v>
      </c>
      <c r="H530" s="99">
        <v>0.7298</v>
      </c>
      <c r="I530" s="100">
        <v>0</v>
      </c>
      <c r="J530" s="99">
        <v>47.268799999999999</v>
      </c>
      <c r="K530" s="99">
        <v>43.602699999999999</v>
      </c>
      <c r="L530" s="165">
        <f>SUM(BabycareRaw[[#This Row],[2022]:[YTD 24]])</f>
        <v>1.5232999999999999</v>
      </c>
    </row>
    <row r="531" spans="1:12" ht="15" customHeight="1" x14ac:dyDescent="0.2">
      <c r="A531" s="27" t="s">
        <v>784</v>
      </c>
      <c r="B531" s="28" t="s">
        <v>5</v>
      </c>
      <c r="C531" s="28"/>
      <c r="D531" s="29"/>
      <c r="E531" s="68"/>
      <c r="F531" s="101">
        <v>0.36020000000000002</v>
      </c>
      <c r="G531" s="102">
        <v>5.21E-2</v>
      </c>
      <c r="H531" s="103">
        <v>9.4000000000000004E-3</v>
      </c>
      <c r="I531" s="104">
        <v>19.065100000000001</v>
      </c>
      <c r="J531" s="103">
        <v>2.6206</v>
      </c>
      <c r="K531" s="103">
        <v>0.48</v>
      </c>
      <c r="L531" s="169">
        <f>SUM(BabycareRaw[[#This Row],[2022]:[YTD 24]])</f>
        <v>0.42170000000000002</v>
      </c>
    </row>
    <row r="532" spans="1:12" ht="14.25" customHeight="1" x14ac:dyDescent="0.2">
      <c r="A532" s="30" t="s">
        <v>444</v>
      </c>
      <c r="B532" s="31" t="s">
        <v>6</v>
      </c>
      <c r="C532" s="32"/>
      <c r="D532" s="33"/>
      <c r="E532" s="70"/>
      <c r="F532" s="97">
        <v>0.36020000000000002</v>
      </c>
      <c r="G532" s="98">
        <v>5.21E-2</v>
      </c>
      <c r="H532" s="99">
        <v>9.4000000000000004E-3</v>
      </c>
      <c r="I532" s="100">
        <v>19.065100000000001</v>
      </c>
      <c r="J532" s="99">
        <v>2.6206</v>
      </c>
      <c r="K532" s="99">
        <v>0.48</v>
      </c>
      <c r="L532" s="165">
        <f>SUM(BabycareRaw[[#This Row],[2022]:[YTD 24]])</f>
        <v>0.42170000000000002</v>
      </c>
    </row>
    <row r="533" spans="1:12" ht="15" customHeight="1" x14ac:dyDescent="0.2">
      <c r="A533" s="34" t="s">
        <v>445</v>
      </c>
      <c r="B533" s="32" t="s">
        <v>8</v>
      </c>
      <c r="C533" s="32" t="s">
        <v>9</v>
      </c>
      <c r="D533" s="33" t="s">
        <v>20</v>
      </c>
      <c r="E533" s="70" t="s">
        <v>68</v>
      </c>
      <c r="F533" s="97">
        <v>0.36020000000000002</v>
      </c>
      <c r="G533" s="98">
        <v>5.21E-2</v>
      </c>
      <c r="H533" s="99">
        <v>9.4000000000000004E-3</v>
      </c>
      <c r="I533" s="100">
        <v>19.065100000000001</v>
      </c>
      <c r="J533" s="99">
        <v>2.6206</v>
      </c>
      <c r="K533" s="99">
        <v>0.48</v>
      </c>
      <c r="L533" s="165">
        <f>SUM(BabycareRaw[[#This Row],[2022]:[YTD 24]])</f>
        <v>0.42170000000000002</v>
      </c>
    </row>
    <row r="534" spans="1:12" ht="15" customHeight="1" x14ac:dyDescent="0.2">
      <c r="A534" s="27" t="s">
        <v>785</v>
      </c>
      <c r="B534" s="28" t="s">
        <v>5</v>
      </c>
      <c r="C534" s="28"/>
      <c r="D534" s="29"/>
      <c r="E534" s="68"/>
      <c r="F534" s="101">
        <v>0</v>
      </c>
      <c r="G534" s="102">
        <v>0</v>
      </c>
      <c r="H534" s="103">
        <v>2.0999999999999999E-3</v>
      </c>
      <c r="I534" s="104">
        <v>0</v>
      </c>
      <c r="J534" s="103">
        <v>0</v>
      </c>
      <c r="K534" s="103">
        <v>0.17710000000000001</v>
      </c>
      <c r="L534" s="169">
        <f>SUM(BabycareRaw[[#This Row],[2022]:[YTD 24]])</f>
        <v>2.0999999999999999E-3</v>
      </c>
    </row>
    <row r="535" spans="1:12" ht="14.25" customHeight="1" x14ac:dyDescent="0.2">
      <c r="A535" s="30" t="s">
        <v>446</v>
      </c>
      <c r="B535" s="31" t="s">
        <v>6</v>
      </c>
      <c r="C535" s="32"/>
      <c r="D535" s="33"/>
      <c r="E535" s="70"/>
      <c r="F535" s="97">
        <v>0</v>
      </c>
      <c r="G535" s="98">
        <v>0</v>
      </c>
      <c r="H535" s="99">
        <v>2.0999999999999999E-3</v>
      </c>
      <c r="I535" s="100">
        <v>0</v>
      </c>
      <c r="J535" s="99">
        <v>0</v>
      </c>
      <c r="K535" s="99">
        <v>0.17710000000000001</v>
      </c>
      <c r="L535" s="165">
        <f>SUM(BabycareRaw[[#This Row],[2022]:[YTD 24]])</f>
        <v>2.0999999999999999E-3</v>
      </c>
    </row>
    <row r="536" spans="1:12" ht="15" customHeight="1" x14ac:dyDescent="0.2">
      <c r="A536" s="34" t="s">
        <v>447</v>
      </c>
      <c r="B536" s="32" t="s">
        <v>8</v>
      </c>
      <c r="C536" s="32" t="s">
        <v>9</v>
      </c>
      <c r="D536" s="33" t="s">
        <v>20</v>
      </c>
      <c r="E536" s="70" t="s">
        <v>17</v>
      </c>
      <c r="F536" s="97">
        <v>0</v>
      </c>
      <c r="G536" s="98">
        <v>0</v>
      </c>
      <c r="H536" s="99">
        <v>2.0999999999999999E-3</v>
      </c>
      <c r="I536" s="100">
        <v>0</v>
      </c>
      <c r="J536" s="99">
        <v>0</v>
      </c>
      <c r="K536" s="99">
        <v>0.17710000000000001</v>
      </c>
      <c r="L536" s="165">
        <f>SUM(BabycareRaw[[#This Row],[2022]:[YTD 24]])</f>
        <v>2.0999999999999999E-3</v>
      </c>
    </row>
    <row r="537" spans="1:12" ht="15" customHeight="1" x14ac:dyDescent="0.2">
      <c r="A537" s="27" t="s">
        <v>786</v>
      </c>
      <c r="B537" s="28" t="s">
        <v>5</v>
      </c>
      <c r="C537" s="28"/>
      <c r="D537" s="29"/>
      <c r="E537" s="68"/>
      <c r="F537" s="101">
        <v>2.1507000000000001</v>
      </c>
      <c r="G537" s="102">
        <v>0.15629999999999999</v>
      </c>
      <c r="H537" s="103">
        <v>5.8099999999999999E-2</v>
      </c>
      <c r="I537" s="104">
        <v>55.849800000000002</v>
      </c>
      <c r="J537" s="103">
        <v>3.1030000000000002</v>
      </c>
      <c r="K537" s="103">
        <v>1.1613</v>
      </c>
      <c r="L537" s="169">
        <f>SUM(BabycareRaw[[#This Row],[2022]:[YTD 24]])</f>
        <v>2.3651</v>
      </c>
    </row>
    <row r="538" spans="1:12" ht="14.25" customHeight="1" x14ac:dyDescent="0.2">
      <c r="A538" s="30" t="s">
        <v>448</v>
      </c>
      <c r="B538" s="31" t="s">
        <v>6</v>
      </c>
      <c r="C538" s="32"/>
      <c r="D538" s="33"/>
      <c r="E538" s="70"/>
      <c r="F538" s="97">
        <v>2.1507000000000001</v>
      </c>
      <c r="G538" s="98">
        <v>0.15629999999999999</v>
      </c>
      <c r="H538" s="99">
        <v>5.8099999999999999E-2</v>
      </c>
      <c r="I538" s="100">
        <v>55.849800000000002</v>
      </c>
      <c r="J538" s="99">
        <v>3.1030000000000002</v>
      </c>
      <c r="K538" s="99">
        <v>1.1613</v>
      </c>
      <c r="L538" s="165">
        <f>SUM(BabycareRaw[[#This Row],[2022]:[YTD 24]])</f>
        <v>2.3651</v>
      </c>
    </row>
    <row r="539" spans="1:12" ht="15" customHeight="1" x14ac:dyDescent="0.2">
      <c r="A539" s="34" t="s">
        <v>449</v>
      </c>
      <c r="B539" s="32" t="s">
        <v>8</v>
      </c>
      <c r="C539" s="32" t="s">
        <v>9</v>
      </c>
      <c r="D539" s="33" t="s">
        <v>30</v>
      </c>
      <c r="E539" s="70" t="s">
        <v>118</v>
      </c>
      <c r="F539" s="97">
        <v>1.4545999999999999</v>
      </c>
      <c r="G539" s="98">
        <v>0.15629999999999999</v>
      </c>
      <c r="H539" s="99">
        <v>5.8099999999999999E-2</v>
      </c>
      <c r="I539" s="100">
        <v>31.957999999999998</v>
      </c>
      <c r="J539" s="99">
        <v>3.1030000000000002</v>
      </c>
      <c r="K539" s="99">
        <v>1.1613</v>
      </c>
      <c r="L539" s="165">
        <f>SUM(BabycareRaw[[#This Row],[2022]:[YTD 24]])</f>
        <v>1.669</v>
      </c>
    </row>
    <row r="540" spans="1:12" ht="15" customHeight="1" x14ac:dyDescent="0.2">
      <c r="A540" s="34" t="s">
        <v>450</v>
      </c>
      <c r="B540" s="32" t="s">
        <v>8</v>
      </c>
      <c r="C540" s="32" t="s">
        <v>9</v>
      </c>
      <c r="D540" s="33" t="s">
        <v>30</v>
      </c>
      <c r="E540" s="70" t="s">
        <v>42</v>
      </c>
      <c r="F540" s="97">
        <v>0.69610000000000005</v>
      </c>
      <c r="G540" s="98">
        <v>0</v>
      </c>
      <c r="H540" s="99">
        <v>0</v>
      </c>
      <c r="I540" s="100">
        <v>23.8918</v>
      </c>
      <c r="J540" s="99">
        <v>0</v>
      </c>
      <c r="K540" s="99">
        <v>0</v>
      </c>
      <c r="L540" s="165">
        <f>SUM(BabycareRaw[[#This Row],[2022]:[YTD 24]])</f>
        <v>0.69610000000000005</v>
      </c>
    </row>
    <row r="541" spans="1:12" ht="15" customHeight="1" x14ac:dyDescent="0.2">
      <c r="A541" s="27" t="s">
        <v>787</v>
      </c>
      <c r="B541" s="28" t="s">
        <v>5</v>
      </c>
      <c r="C541" s="28"/>
      <c r="D541" s="29"/>
      <c r="E541" s="68"/>
      <c r="F541" s="101">
        <v>1.4567000000000001</v>
      </c>
      <c r="G541" s="102">
        <v>0.9708</v>
      </c>
      <c r="H541" s="103">
        <v>0.44130000000000003</v>
      </c>
      <c r="I541" s="104">
        <v>8.1128999999999998</v>
      </c>
      <c r="J541" s="103">
        <v>4.8048999999999999</v>
      </c>
      <c r="K541" s="103">
        <v>2.4375</v>
      </c>
      <c r="L541" s="169">
        <f>SUM(BabycareRaw[[#This Row],[2022]:[YTD 24]])</f>
        <v>2.8688000000000002</v>
      </c>
    </row>
    <row r="542" spans="1:12" ht="14.25" customHeight="1" x14ac:dyDescent="0.2">
      <c r="A542" s="30" t="s">
        <v>451</v>
      </c>
      <c r="B542" s="31" t="s">
        <v>6</v>
      </c>
      <c r="C542" s="32"/>
      <c r="D542" s="33"/>
      <c r="E542" s="70"/>
      <c r="F542" s="97">
        <v>1.4567000000000001</v>
      </c>
      <c r="G542" s="98">
        <v>0.9708</v>
      </c>
      <c r="H542" s="99">
        <v>0.44130000000000003</v>
      </c>
      <c r="I542" s="100">
        <v>8.1128999999999998</v>
      </c>
      <c r="J542" s="99">
        <v>4.8048999999999999</v>
      </c>
      <c r="K542" s="99">
        <v>2.4375</v>
      </c>
      <c r="L542" s="165">
        <f>SUM(BabycareRaw[[#This Row],[2022]:[YTD 24]])</f>
        <v>2.8688000000000002</v>
      </c>
    </row>
    <row r="543" spans="1:12" ht="15" customHeight="1" x14ac:dyDescent="0.2">
      <c r="A543" s="34" t="s">
        <v>452</v>
      </c>
      <c r="B543" s="32" t="s">
        <v>8</v>
      </c>
      <c r="C543" s="32" t="s">
        <v>9</v>
      </c>
      <c r="D543" s="33" t="s">
        <v>30</v>
      </c>
      <c r="E543" s="70" t="s">
        <v>88</v>
      </c>
      <c r="F543" s="97">
        <v>0.83640000000000003</v>
      </c>
      <c r="G543" s="98">
        <v>0.55679999999999996</v>
      </c>
      <c r="H543" s="99">
        <v>0.16950000000000001</v>
      </c>
      <c r="I543" s="100">
        <v>3.2871000000000001</v>
      </c>
      <c r="J543" s="99">
        <v>1.9970000000000001</v>
      </c>
      <c r="K543" s="99">
        <v>0.75749999999999995</v>
      </c>
      <c r="L543" s="165">
        <f>SUM(BabycareRaw[[#This Row],[2022]:[YTD 24]])</f>
        <v>1.5627</v>
      </c>
    </row>
    <row r="544" spans="1:12" ht="15" customHeight="1" x14ac:dyDescent="0.2">
      <c r="A544" s="34" t="s">
        <v>453</v>
      </c>
      <c r="B544" s="32" t="s">
        <v>8</v>
      </c>
      <c r="C544" s="32" t="s">
        <v>9</v>
      </c>
      <c r="D544" s="33" t="s">
        <v>30</v>
      </c>
      <c r="E544" s="70" t="s">
        <v>103</v>
      </c>
      <c r="F544" s="97">
        <v>1.8599999999999998E-2</v>
      </c>
      <c r="G544" s="98">
        <v>0</v>
      </c>
      <c r="H544" s="99">
        <v>0</v>
      </c>
      <c r="I544" s="100">
        <v>0.14000000000000001</v>
      </c>
      <c r="J544" s="99">
        <v>0</v>
      </c>
      <c r="K544" s="99">
        <v>0</v>
      </c>
      <c r="L544" s="165">
        <f>SUM(BabycareRaw[[#This Row],[2022]:[YTD 24]])</f>
        <v>1.8599999999999998E-2</v>
      </c>
    </row>
    <row r="545" spans="1:12" ht="15" customHeight="1" x14ac:dyDescent="0.2">
      <c r="A545" s="34" t="s">
        <v>454</v>
      </c>
      <c r="B545" s="32" t="s">
        <v>8</v>
      </c>
      <c r="C545" s="32" t="s">
        <v>9</v>
      </c>
      <c r="D545" s="33" t="s">
        <v>30</v>
      </c>
      <c r="E545" s="70" t="s">
        <v>103</v>
      </c>
      <c r="F545" s="97">
        <v>0.34599999999999997</v>
      </c>
      <c r="G545" s="98">
        <v>0.3881</v>
      </c>
      <c r="H545" s="99">
        <v>0.2717</v>
      </c>
      <c r="I545" s="100">
        <v>2.4157999999999999</v>
      </c>
      <c r="J545" s="99">
        <v>2.4979</v>
      </c>
      <c r="K545" s="99">
        <v>1.68</v>
      </c>
      <c r="L545" s="165">
        <f>SUM(BabycareRaw[[#This Row],[2022]:[YTD 24]])</f>
        <v>1.0058</v>
      </c>
    </row>
    <row r="546" spans="1:12" ht="15" customHeight="1" x14ac:dyDescent="0.2">
      <c r="A546" s="34" t="s">
        <v>455</v>
      </c>
      <c r="B546" s="32" t="s">
        <v>8</v>
      </c>
      <c r="C546" s="32" t="s">
        <v>9</v>
      </c>
      <c r="D546" s="33" t="s">
        <v>30</v>
      </c>
      <c r="E546" s="70" t="s">
        <v>103</v>
      </c>
      <c r="F546" s="97">
        <v>0.25569999999999998</v>
      </c>
      <c r="G546" s="98">
        <v>2.6200000000000001E-2</v>
      </c>
      <c r="H546" s="99">
        <v>0</v>
      </c>
      <c r="I546" s="100">
        <v>2.27</v>
      </c>
      <c r="J546" s="99">
        <v>0.31</v>
      </c>
      <c r="K546" s="99">
        <v>0</v>
      </c>
      <c r="L546" s="165">
        <f>SUM(BabycareRaw[[#This Row],[2022]:[YTD 24]])</f>
        <v>0.28189999999999998</v>
      </c>
    </row>
    <row r="547" spans="1:12" ht="15" customHeight="1" x14ac:dyDescent="0.2">
      <c r="A547" s="27" t="s">
        <v>788</v>
      </c>
      <c r="B547" s="28" t="s">
        <v>5</v>
      </c>
      <c r="C547" s="28"/>
      <c r="D547" s="29"/>
      <c r="E547" s="68"/>
      <c r="F547" s="101">
        <v>26.606400000000001</v>
      </c>
      <c r="G547" s="102">
        <v>12.7163</v>
      </c>
      <c r="H547" s="103">
        <v>6.1870000000000003</v>
      </c>
      <c r="I547" s="104">
        <v>773.97839999999997</v>
      </c>
      <c r="J547" s="103">
        <v>348.9753</v>
      </c>
      <c r="K547" s="103">
        <v>165.18170000000001</v>
      </c>
      <c r="L547" s="169">
        <f>SUM(BabycareRaw[[#This Row],[2022]:[YTD 24]])</f>
        <v>45.509699999999995</v>
      </c>
    </row>
    <row r="548" spans="1:12" ht="14.25" customHeight="1" x14ac:dyDescent="0.2">
      <c r="A548" s="30" t="s">
        <v>456</v>
      </c>
      <c r="B548" s="31" t="s">
        <v>6</v>
      </c>
      <c r="C548" s="32"/>
      <c r="D548" s="33"/>
      <c r="E548" s="70"/>
      <c r="F548" s="97">
        <v>26.606400000000001</v>
      </c>
      <c r="G548" s="98">
        <v>12.7163</v>
      </c>
      <c r="H548" s="99">
        <v>6.1870000000000003</v>
      </c>
      <c r="I548" s="100">
        <v>773.97839999999997</v>
      </c>
      <c r="J548" s="99">
        <v>348.9753</v>
      </c>
      <c r="K548" s="99">
        <v>165.18170000000001</v>
      </c>
      <c r="L548" s="165">
        <f>SUM(BabycareRaw[[#This Row],[2022]:[YTD 24]])</f>
        <v>45.509699999999995</v>
      </c>
    </row>
    <row r="549" spans="1:12" ht="15" customHeight="1" x14ac:dyDescent="0.2">
      <c r="A549" s="34" t="s">
        <v>457</v>
      </c>
      <c r="B549" s="32" t="s">
        <v>8</v>
      </c>
      <c r="C549" s="32" t="s">
        <v>9</v>
      </c>
      <c r="D549" s="33" t="s">
        <v>20</v>
      </c>
      <c r="E549" s="70" t="s">
        <v>99</v>
      </c>
      <c r="F549" s="97">
        <v>4.2514000000000003</v>
      </c>
      <c r="G549" s="98">
        <v>9.5349000000000004</v>
      </c>
      <c r="H549" s="99">
        <v>4.3247999999999998</v>
      </c>
      <c r="I549" s="100">
        <v>118.9742</v>
      </c>
      <c r="J549" s="99">
        <v>264.43900000000002</v>
      </c>
      <c r="K549" s="99">
        <v>116.2043</v>
      </c>
      <c r="L549" s="165">
        <f>SUM(BabycareRaw[[#This Row],[2022]:[YTD 24]])</f>
        <v>18.1111</v>
      </c>
    </row>
    <row r="550" spans="1:12" ht="15" customHeight="1" x14ac:dyDescent="0.2">
      <c r="A550" s="34" t="s">
        <v>458</v>
      </c>
      <c r="B550" s="32" t="s">
        <v>8</v>
      </c>
      <c r="C550" s="32" t="s">
        <v>9</v>
      </c>
      <c r="D550" s="33" t="s">
        <v>20</v>
      </c>
      <c r="E550" s="70" t="s">
        <v>99</v>
      </c>
      <c r="F550" s="97">
        <v>0</v>
      </c>
      <c r="G550" s="98">
        <v>3.1814</v>
      </c>
      <c r="H550" s="99">
        <v>1.8621000000000001</v>
      </c>
      <c r="I550" s="100">
        <v>0</v>
      </c>
      <c r="J550" s="99">
        <v>84.536500000000004</v>
      </c>
      <c r="K550" s="99">
        <v>48.9773</v>
      </c>
      <c r="L550" s="165">
        <f>SUM(BabycareRaw[[#This Row],[2022]:[YTD 24]])</f>
        <v>5.0434999999999999</v>
      </c>
    </row>
    <row r="551" spans="1:12" ht="15" customHeight="1" x14ac:dyDescent="0.2">
      <c r="A551" s="34" t="s">
        <v>459</v>
      </c>
      <c r="B551" s="32" t="s">
        <v>8</v>
      </c>
      <c r="C551" s="32" t="s">
        <v>9</v>
      </c>
      <c r="D551" s="33" t="s">
        <v>10</v>
      </c>
      <c r="E551" s="70" t="s">
        <v>99</v>
      </c>
      <c r="F551" s="97">
        <v>9.6434999999999995</v>
      </c>
      <c r="G551" s="98">
        <v>0</v>
      </c>
      <c r="H551" s="99">
        <v>0</v>
      </c>
      <c r="I551" s="100">
        <v>280.5643</v>
      </c>
      <c r="J551" s="99">
        <v>0</v>
      </c>
      <c r="K551" s="99">
        <v>0</v>
      </c>
      <c r="L551" s="165">
        <f>SUM(BabycareRaw[[#This Row],[2022]:[YTD 24]])</f>
        <v>9.6434999999999995</v>
      </c>
    </row>
    <row r="552" spans="1:12" ht="15" customHeight="1" x14ac:dyDescent="0.2">
      <c r="A552" s="34" t="s">
        <v>460</v>
      </c>
      <c r="B552" s="32" t="s">
        <v>8</v>
      </c>
      <c r="C552" s="32" t="s">
        <v>9</v>
      </c>
      <c r="D552" s="33" t="s">
        <v>10</v>
      </c>
      <c r="E552" s="70" t="s">
        <v>99</v>
      </c>
      <c r="F552" s="97">
        <v>12.711499999999999</v>
      </c>
      <c r="G552" s="98">
        <v>0</v>
      </c>
      <c r="H552" s="99">
        <v>0</v>
      </c>
      <c r="I552" s="100">
        <v>374.43990000000002</v>
      </c>
      <c r="J552" s="99">
        <v>0</v>
      </c>
      <c r="K552" s="99">
        <v>0</v>
      </c>
      <c r="L552" s="165">
        <f>SUM(BabycareRaw[[#This Row],[2022]:[YTD 24]])</f>
        <v>12.711499999999999</v>
      </c>
    </row>
    <row r="553" spans="1:12" ht="15" customHeight="1" x14ac:dyDescent="0.2">
      <c r="A553" s="27" t="s">
        <v>789</v>
      </c>
      <c r="B553" s="28" t="s">
        <v>5</v>
      </c>
      <c r="C553" s="28"/>
      <c r="D553" s="29"/>
      <c r="E553" s="68"/>
      <c r="F553" s="101">
        <v>0</v>
      </c>
      <c r="G553" s="102">
        <v>0</v>
      </c>
      <c r="H553" s="103">
        <v>0.624</v>
      </c>
      <c r="I553" s="104">
        <v>0</v>
      </c>
      <c r="J553" s="103">
        <v>0</v>
      </c>
      <c r="K553" s="103">
        <v>34.035699999999999</v>
      </c>
      <c r="L553" s="169">
        <f>SUM(BabycareRaw[[#This Row],[2022]:[YTD 24]])</f>
        <v>0.624</v>
      </c>
    </row>
    <row r="554" spans="1:12" ht="14.25" customHeight="1" x14ac:dyDescent="0.2">
      <c r="A554" s="30" t="s">
        <v>461</v>
      </c>
      <c r="B554" s="31" t="s">
        <v>6</v>
      </c>
      <c r="C554" s="32"/>
      <c r="D554" s="33"/>
      <c r="E554" s="70"/>
      <c r="F554" s="97">
        <v>0</v>
      </c>
      <c r="G554" s="98">
        <v>0</v>
      </c>
      <c r="H554" s="99">
        <v>0.624</v>
      </c>
      <c r="I554" s="100">
        <v>0</v>
      </c>
      <c r="J554" s="99">
        <v>0</v>
      </c>
      <c r="K554" s="99">
        <v>34.035699999999999</v>
      </c>
      <c r="L554" s="165">
        <f>SUM(BabycareRaw[[#This Row],[2022]:[YTD 24]])</f>
        <v>0.624</v>
      </c>
    </row>
    <row r="555" spans="1:12" ht="15" customHeight="1" x14ac:dyDescent="0.2">
      <c r="A555" s="34" t="s">
        <v>462</v>
      </c>
      <c r="B555" s="32" t="s">
        <v>8</v>
      </c>
      <c r="C555" s="32" t="s">
        <v>9</v>
      </c>
      <c r="D555" s="33" t="s">
        <v>64</v>
      </c>
      <c r="E555" s="70" t="s">
        <v>24</v>
      </c>
      <c r="F555" s="97">
        <v>0</v>
      </c>
      <c r="G555" s="98">
        <v>0</v>
      </c>
      <c r="H555" s="99">
        <v>0.624</v>
      </c>
      <c r="I555" s="100">
        <v>0</v>
      </c>
      <c r="J555" s="99">
        <v>0</v>
      </c>
      <c r="K555" s="99">
        <v>34.035699999999999</v>
      </c>
      <c r="L555" s="165">
        <f>SUM(BabycareRaw[[#This Row],[2022]:[YTD 24]])</f>
        <v>0.624</v>
      </c>
    </row>
    <row r="556" spans="1:12" ht="15" customHeight="1" x14ac:dyDescent="0.2">
      <c r="A556" s="27" t="s">
        <v>790</v>
      </c>
      <c r="B556" s="28" t="s">
        <v>5</v>
      </c>
      <c r="C556" s="28"/>
      <c r="D556" s="29"/>
      <c r="E556" s="68"/>
      <c r="F556" s="101">
        <v>192.72300000000001</v>
      </c>
      <c r="G556" s="102">
        <v>183.24340000000001</v>
      </c>
      <c r="H556" s="103">
        <v>97.209599999999995</v>
      </c>
      <c r="I556" s="104">
        <v>7900.9691000000003</v>
      </c>
      <c r="J556" s="103">
        <v>6838.8454000000002</v>
      </c>
      <c r="K556" s="103">
        <v>3264.5805999999998</v>
      </c>
      <c r="L556" s="169">
        <f>SUM(BabycareRaw[[#This Row],[2022]:[YTD 24]])</f>
        <v>473.17600000000004</v>
      </c>
    </row>
    <row r="557" spans="1:12" ht="14.25" customHeight="1" x14ac:dyDescent="0.2">
      <c r="A557" s="30" t="s">
        <v>463</v>
      </c>
      <c r="B557" s="31" t="s">
        <v>6</v>
      </c>
      <c r="C557" s="32"/>
      <c r="D557" s="33"/>
      <c r="E557" s="70"/>
      <c r="F557" s="97">
        <v>192.72300000000001</v>
      </c>
      <c r="G557" s="98">
        <v>183.24340000000001</v>
      </c>
      <c r="H557" s="99">
        <v>97.209599999999995</v>
      </c>
      <c r="I557" s="100">
        <v>7900.9691000000003</v>
      </c>
      <c r="J557" s="99">
        <v>6838.8454000000002</v>
      </c>
      <c r="K557" s="99">
        <v>3264.5805999999998</v>
      </c>
      <c r="L557" s="165">
        <f>SUM(BabycareRaw[[#This Row],[2022]:[YTD 24]])</f>
        <v>473.17600000000004</v>
      </c>
    </row>
    <row r="558" spans="1:12" ht="15" customHeight="1" x14ac:dyDescent="0.2">
      <c r="A558" s="34" t="s">
        <v>464</v>
      </c>
      <c r="B558" s="32" t="s">
        <v>8</v>
      </c>
      <c r="C558" s="32" t="s">
        <v>9</v>
      </c>
      <c r="D558" s="33" t="s">
        <v>10</v>
      </c>
      <c r="E558" s="70" t="s">
        <v>37</v>
      </c>
      <c r="F558" s="97">
        <v>192.72300000000001</v>
      </c>
      <c r="G558" s="98">
        <v>183.24340000000001</v>
      </c>
      <c r="H558" s="99">
        <v>97.209599999999995</v>
      </c>
      <c r="I558" s="100">
        <v>7900.9691000000003</v>
      </c>
      <c r="J558" s="99">
        <v>6838.8454000000002</v>
      </c>
      <c r="K558" s="99">
        <v>3264.5805999999998</v>
      </c>
      <c r="L558" s="165">
        <f>SUM(BabycareRaw[[#This Row],[2022]:[YTD 24]])</f>
        <v>473.17600000000004</v>
      </c>
    </row>
    <row r="559" spans="1:12" ht="15" customHeight="1" x14ac:dyDescent="0.2">
      <c r="A559" s="27" t="s">
        <v>791</v>
      </c>
      <c r="B559" s="28" t="s">
        <v>5</v>
      </c>
      <c r="C559" s="28"/>
      <c r="D559" s="29"/>
      <c r="E559" s="68"/>
      <c r="F559" s="101">
        <v>1818.5395000000001</v>
      </c>
      <c r="G559" s="102">
        <v>2101.7049999999999</v>
      </c>
      <c r="H559" s="103">
        <v>1233.5607</v>
      </c>
      <c r="I559" s="104">
        <v>45983.127500000002</v>
      </c>
      <c r="J559" s="103">
        <v>53803.2785</v>
      </c>
      <c r="K559" s="103">
        <v>29897.358</v>
      </c>
      <c r="L559" s="169">
        <f>SUM(BabycareRaw[[#This Row],[2022]:[YTD 24]])</f>
        <v>5153.8051999999998</v>
      </c>
    </row>
    <row r="560" spans="1:12" ht="14.25" customHeight="1" x14ac:dyDescent="0.2">
      <c r="A560" s="30" t="s">
        <v>465</v>
      </c>
      <c r="B560" s="31" t="s">
        <v>6</v>
      </c>
      <c r="C560" s="32"/>
      <c r="D560" s="33"/>
      <c r="E560" s="70"/>
      <c r="F560" s="97">
        <v>1818.1666</v>
      </c>
      <c r="G560" s="98">
        <v>2101.6939000000002</v>
      </c>
      <c r="H560" s="99">
        <v>1233.5607</v>
      </c>
      <c r="I560" s="100">
        <v>45975.839</v>
      </c>
      <c r="J560" s="99">
        <v>53803.039499999999</v>
      </c>
      <c r="K560" s="99">
        <v>29897.358</v>
      </c>
      <c r="L560" s="165">
        <f>SUM(BabycareRaw[[#This Row],[2022]:[YTD 24]])</f>
        <v>5153.4212000000007</v>
      </c>
    </row>
    <row r="561" spans="1:12" ht="15" customHeight="1" x14ac:dyDescent="0.2">
      <c r="A561" s="34" t="s">
        <v>466</v>
      </c>
      <c r="B561" s="32" t="s">
        <v>8</v>
      </c>
      <c r="C561" s="32" t="s">
        <v>9</v>
      </c>
      <c r="D561" s="33" t="s">
        <v>30</v>
      </c>
      <c r="E561" s="70" t="s">
        <v>376</v>
      </c>
      <c r="F561" s="97">
        <v>6.59E-2</v>
      </c>
      <c r="G561" s="98">
        <v>0.95820000000000005</v>
      </c>
      <c r="H561" s="99">
        <v>0</v>
      </c>
      <c r="I561" s="100">
        <v>0.18509999999999999</v>
      </c>
      <c r="J561" s="99">
        <v>3.0327999999999999</v>
      </c>
      <c r="K561" s="99">
        <v>0</v>
      </c>
      <c r="L561" s="165">
        <f>SUM(BabycareRaw[[#This Row],[2022]:[YTD 24]])</f>
        <v>1.0241</v>
      </c>
    </row>
    <row r="562" spans="1:12" ht="15" customHeight="1" x14ac:dyDescent="0.2">
      <c r="A562" s="34" t="s">
        <v>467</v>
      </c>
      <c r="B562" s="32" t="s">
        <v>8</v>
      </c>
      <c r="C562" s="32" t="s">
        <v>9</v>
      </c>
      <c r="D562" s="33" t="s">
        <v>30</v>
      </c>
      <c r="E562" s="70" t="s">
        <v>376</v>
      </c>
      <c r="F562" s="97">
        <v>5.1000000000000004E-3</v>
      </c>
      <c r="G562" s="98">
        <v>0.40570000000000001</v>
      </c>
      <c r="H562" s="99">
        <v>0</v>
      </c>
      <c r="I562" s="100">
        <v>1.37E-2</v>
      </c>
      <c r="J562" s="99">
        <v>1.3527</v>
      </c>
      <c r="K562" s="99">
        <v>0</v>
      </c>
      <c r="L562" s="165">
        <f>SUM(BabycareRaw[[#This Row],[2022]:[YTD 24]])</f>
        <v>0.4108</v>
      </c>
    </row>
    <row r="563" spans="1:12" ht="15" customHeight="1" x14ac:dyDescent="0.2">
      <c r="A563" s="34" t="s">
        <v>468</v>
      </c>
      <c r="B563" s="32" t="s">
        <v>8</v>
      </c>
      <c r="C563" s="32" t="s">
        <v>9</v>
      </c>
      <c r="D563" s="33" t="s">
        <v>30</v>
      </c>
      <c r="E563" s="70" t="s">
        <v>376</v>
      </c>
      <c r="F563" s="97">
        <v>0.1182</v>
      </c>
      <c r="G563" s="98">
        <v>1.0884</v>
      </c>
      <c r="H563" s="99">
        <v>0</v>
      </c>
      <c r="I563" s="100">
        <v>0.31890000000000002</v>
      </c>
      <c r="J563" s="99">
        <v>3.3033999999999999</v>
      </c>
      <c r="K563" s="99">
        <v>0</v>
      </c>
      <c r="L563" s="165">
        <f>SUM(BabycareRaw[[#This Row],[2022]:[YTD 24]])</f>
        <v>1.2066000000000001</v>
      </c>
    </row>
    <row r="564" spans="1:12" ht="15" customHeight="1" x14ac:dyDescent="0.2">
      <c r="A564" s="34" t="s">
        <v>469</v>
      </c>
      <c r="B564" s="32" t="s">
        <v>8</v>
      </c>
      <c r="C564" s="32" t="s">
        <v>9</v>
      </c>
      <c r="D564" s="33" t="s">
        <v>64</v>
      </c>
      <c r="E564" s="70" t="s">
        <v>376</v>
      </c>
      <c r="F564" s="97">
        <v>0.87180000000000002</v>
      </c>
      <c r="G564" s="98">
        <v>4.3999999999999997E-2</v>
      </c>
      <c r="H564" s="99">
        <v>0</v>
      </c>
      <c r="I564" s="100">
        <v>8.5823999999999998</v>
      </c>
      <c r="J564" s="99">
        <v>0.58599999999999997</v>
      </c>
      <c r="K564" s="99">
        <v>0</v>
      </c>
      <c r="L564" s="165">
        <f>SUM(BabycareRaw[[#This Row],[2022]:[YTD 24]])</f>
        <v>0.91580000000000006</v>
      </c>
    </row>
    <row r="565" spans="1:12" ht="15" customHeight="1" x14ac:dyDescent="0.2">
      <c r="A565" s="34" t="s">
        <v>470</v>
      </c>
      <c r="B565" s="32" t="s">
        <v>8</v>
      </c>
      <c r="C565" s="32" t="s">
        <v>9</v>
      </c>
      <c r="D565" s="33" t="s">
        <v>64</v>
      </c>
      <c r="E565" s="70" t="s">
        <v>376</v>
      </c>
      <c r="F565" s="97">
        <v>5.4508000000000001</v>
      </c>
      <c r="G565" s="98">
        <v>2.1189</v>
      </c>
      <c r="H565" s="99">
        <v>0.77749999999999997</v>
      </c>
      <c r="I565" s="100">
        <v>70.866600000000005</v>
      </c>
      <c r="J565" s="99">
        <v>26.7118</v>
      </c>
      <c r="K565" s="99">
        <v>8.9403000000000006</v>
      </c>
      <c r="L565" s="165">
        <f>SUM(BabycareRaw[[#This Row],[2022]:[YTD 24]])</f>
        <v>8.3472000000000008</v>
      </c>
    </row>
    <row r="566" spans="1:12" ht="15" customHeight="1" x14ac:dyDescent="0.2">
      <c r="A566" s="34" t="s">
        <v>471</v>
      </c>
      <c r="B566" s="32" t="s">
        <v>8</v>
      </c>
      <c r="C566" s="32" t="s">
        <v>9</v>
      </c>
      <c r="D566" s="33" t="s">
        <v>64</v>
      </c>
      <c r="E566" s="70" t="s">
        <v>376</v>
      </c>
      <c r="F566" s="97">
        <v>0</v>
      </c>
      <c r="G566" s="98">
        <v>0</v>
      </c>
      <c r="H566" s="99">
        <v>0</v>
      </c>
      <c r="I566" s="100">
        <v>0</v>
      </c>
      <c r="J566" s="99">
        <v>0</v>
      </c>
      <c r="K566" s="99">
        <v>0</v>
      </c>
      <c r="L566" s="165">
        <f>SUM(BabycareRaw[[#This Row],[2022]:[YTD 24]])</f>
        <v>0</v>
      </c>
    </row>
    <row r="567" spans="1:12" ht="15" customHeight="1" x14ac:dyDescent="0.2">
      <c r="A567" s="34" t="s">
        <v>472</v>
      </c>
      <c r="B567" s="32" t="s">
        <v>8</v>
      </c>
      <c r="C567" s="32" t="s">
        <v>9</v>
      </c>
      <c r="D567" s="33" t="s">
        <v>30</v>
      </c>
      <c r="E567" s="70" t="s">
        <v>118</v>
      </c>
      <c r="F567" s="97">
        <v>9.06E-2</v>
      </c>
      <c r="G567" s="98">
        <v>0</v>
      </c>
      <c r="H567" s="99">
        <v>0</v>
      </c>
      <c r="I567" s="100">
        <v>1.3372999999999999</v>
      </c>
      <c r="J567" s="99">
        <v>0</v>
      </c>
      <c r="K567" s="99">
        <v>0</v>
      </c>
      <c r="L567" s="165">
        <f>SUM(BabycareRaw[[#This Row],[2022]:[YTD 24]])</f>
        <v>9.06E-2</v>
      </c>
    </row>
    <row r="568" spans="1:12" ht="15" customHeight="1" x14ac:dyDescent="0.2">
      <c r="A568" s="34" t="s">
        <v>473</v>
      </c>
      <c r="B568" s="32" t="s">
        <v>8</v>
      </c>
      <c r="C568" s="32" t="s">
        <v>9</v>
      </c>
      <c r="D568" s="33" t="s">
        <v>10</v>
      </c>
      <c r="E568" s="70" t="s">
        <v>474</v>
      </c>
      <c r="F568" s="97">
        <v>1.3827</v>
      </c>
      <c r="G568" s="98">
        <v>0.7681</v>
      </c>
      <c r="H568" s="99">
        <v>2.3199999999999998E-2</v>
      </c>
      <c r="I568" s="100">
        <v>23.328099999999999</v>
      </c>
      <c r="J568" s="99">
        <v>13.2523</v>
      </c>
      <c r="K568" s="99">
        <v>0.52669999999999995</v>
      </c>
      <c r="L568" s="165">
        <f>SUM(BabycareRaw[[#This Row],[2022]:[YTD 24]])</f>
        <v>2.1740000000000004</v>
      </c>
    </row>
    <row r="569" spans="1:12" ht="15" customHeight="1" x14ac:dyDescent="0.2">
      <c r="A569" s="34" t="s">
        <v>475</v>
      </c>
      <c r="B569" s="32" t="s">
        <v>8</v>
      </c>
      <c r="C569" s="32" t="s">
        <v>9</v>
      </c>
      <c r="D569" s="33" t="s">
        <v>30</v>
      </c>
      <c r="E569" s="70" t="s">
        <v>476</v>
      </c>
      <c r="F569" s="97">
        <v>0</v>
      </c>
      <c r="G569" s="98">
        <v>0</v>
      </c>
      <c r="H569" s="99">
        <v>20.740400000000001</v>
      </c>
      <c r="I569" s="100">
        <v>0</v>
      </c>
      <c r="J569" s="99">
        <v>0</v>
      </c>
      <c r="K569" s="99">
        <v>310.0301</v>
      </c>
      <c r="L569" s="165">
        <f>SUM(BabycareRaw[[#This Row],[2022]:[YTD 24]])</f>
        <v>20.740400000000001</v>
      </c>
    </row>
    <row r="570" spans="1:12" ht="15" customHeight="1" x14ac:dyDescent="0.2">
      <c r="A570" s="34" t="s">
        <v>477</v>
      </c>
      <c r="B570" s="32" t="s">
        <v>8</v>
      </c>
      <c r="C570" s="32" t="s">
        <v>9</v>
      </c>
      <c r="D570" s="33" t="s">
        <v>30</v>
      </c>
      <c r="E570" s="70" t="s">
        <v>476</v>
      </c>
      <c r="F570" s="97">
        <v>0</v>
      </c>
      <c r="G570" s="98">
        <v>0</v>
      </c>
      <c r="H570" s="99">
        <v>1.2435</v>
      </c>
      <c r="I570" s="100">
        <v>0</v>
      </c>
      <c r="J570" s="99">
        <v>0</v>
      </c>
      <c r="K570" s="99">
        <v>17.1813</v>
      </c>
      <c r="L570" s="165">
        <f>SUM(BabycareRaw[[#This Row],[2022]:[YTD 24]])</f>
        <v>1.2435</v>
      </c>
    </row>
    <row r="571" spans="1:12" ht="15" customHeight="1" x14ac:dyDescent="0.2">
      <c r="A571" s="34" t="s">
        <v>478</v>
      </c>
      <c r="B571" s="32" t="s">
        <v>8</v>
      </c>
      <c r="C571" s="32" t="s">
        <v>9</v>
      </c>
      <c r="D571" s="33" t="s">
        <v>30</v>
      </c>
      <c r="E571" s="70" t="s">
        <v>476</v>
      </c>
      <c r="F571" s="97">
        <v>4.0780000000000003</v>
      </c>
      <c r="G571" s="98">
        <v>35.126199999999997</v>
      </c>
      <c r="H571" s="99">
        <v>26.273900000000001</v>
      </c>
      <c r="I571" s="100">
        <v>71.718599999999995</v>
      </c>
      <c r="J571" s="99">
        <v>592.5693</v>
      </c>
      <c r="K571" s="99">
        <v>441.30500000000001</v>
      </c>
      <c r="L571" s="165">
        <f>SUM(BabycareRaw[[#This Row],[2022]:[YTD 24]])</f>
        <v>65.478099999999998</v>
      </c>
    </row>
    <row r="572" spans="1:12" ht="15" customHeight="1" x14ac:dyDescent="0.2">
      <c r="A572" s="34" t="s">
        <v>479</v>
      </c>
      <c r="B572" s="32" t="s">
        <v>8</v>
      </c>
      <c r="C572" s="32" t="s">
        <v>9</v>
      </c>
      <c r="D572" s="33" t="s">
        <v>30</v>
      </c>
      <c r="E572" s="70" t="s">
        <v>476</v>
      </c>
      <c r="F572" s="97">
        <v>264.06810000000002</v>
      </c>
      <c r="G572" s="98">
        <v>329.44319999999999</v>
      </c>
      <c r="H572" s="99">
        <v>205.9486</v>
      </c>
      <c r="I572" s="100">
        <v>3958.0279</v>
      </c>
      <c r="J572" s="99">
        <v>5113.9928</v>
      </c>
      <c r="K572" s="99">
        <v>2876.5592000000001</v>
      </c>
      <c r="L572" s="165">
        <f>SUM(BabycareRaw[[#This Row],[2022]:[YTD 24]])</f>
        <v>799.45990000000006</v>
      </c>
    </row>
    <row r="573" spans="1:12" ht="15" customHeight="1" x14ac:dyDescent="0.2">
      <c r="A573" s="34" t="s">
        <v>480</v>
      </c>
      <c r="B573" s="32" t="s">
        <v>8</v>
      </c>
      <c r="C573" s="32" t="s">
        <v>9</v>
      </c>
      <c r="D573" s="33" t="s">
        <v>64</v>
      </c>
      <c r="E573" s="70" t="s">
        <v>15</v>
      </c>
      <c r="F573" s="97">
        <v>0</v>
      </c>
      <c r="G573" s="98">
        <v>0</v>
      </c>
      <c r="H573" s="99">
        <v>0</v>
      </c>
      <c r="I573" s="100">
        <v>0</v>
      </c>
      <c r="J573" s="99">
        <v>0</v>
      </c>
      <c r="K573" s="99">
        <v>0</v>
      </c>
      <c r="L573" s="165">
        <f>SUM(BabycareRaw[[#This Row],[2022]:[YTD 24]])</f>
        <v>0</v>
      </c>
    </row>
    <row r="574" spans="1:12" ht="15" customHeight="1" x14ac:dyDescent="0.2">
      <c r="A574" s="34" t="s">
        <v>481</v>
      </c>
      <c r="B574" s="32" t="s">
        <v>8</v>
      </c>
      <c r="C574" s="32" t="s">
        <v>9</v>
      </c>
      <c r="D574" s="33" t="s">
        <v>30</v>
      </c>
      <c r="E574" s="70" t="s">
        <v>256</v>
      </c>
      <c r="F574" s="97">
        <v>8.5046999999999997</v>
      </c>
      <c r="G574" s="98">
        <v>12.872299999999999</v>
      </c>
      <c r="H574" s="99">
        <v>4.3821000000000003</v>
      </c>
      <c r="I574" s="100">
        <v>194.4057</v>
      </c>
      <c r="J574" s="99">
        <v>338.25259999999997</v>
      </c>
      <c r="K574" s="99">
        <v>110.48520000000001</v>
      </c>
      <c r="L574" s="165">
        <f>SUM(BabycareRaw[[#This Row],[2022]:[YTD 24]])</f>
        <v>25.7591</v>
      </c>
    </row>
    <row r="575" spans="1:12" ht="15" customHeight="1" x14ac:dyDescent="0.2">
      <c r="A575" s="34" t="s">
        <v>482</v>
      </c>
      <c r="B575" s="32" t="s">
        <v>8</v>
      </c>
      <c r="C575" s="32" t="s">
        <v>9</v>
      </c>
      <c r="D575" s="33" t="s">
        <v>30</v>
      </c>
      <c r="E575" s="70" t="s">
        <v>256</v>
      </c>
      <c r="F575" s="97">
        <v>171.4581</v>
      </c>
      <c r="G575" s="98">
        <v>146.56880000000001</v>
      </c>
      <c r="H575" s="99">
        <v>94.527100000000004</v>
      </c>
      <c r="I575" s="100">
        <v>5827.8176999999996</v>
      </c>
      <c r="J575" s="99">
        <v>5036.4476000000004</v>
      </c>
      <c r="K575" s="99">
        <v>3121.8564000000001</v>
      </c>
      <c r="L575" s="165">
        <f>SUM(BabycareRaw[[#This Row],[2022]:[YTD 24]])</f>
        <v>412.55400000000003</v>
      </c>
    </row>
    <row r="576" spans="1:12" ht="15" customHeight="1" x14ac:dyDescent="0.2">
      <c r="A576" s="34" t="s">
        <v>483</v>
      </c>
      <c r="B576" s="32" t="s">
        <v>8</v>
      </c>
      <c r="C576" s="32" t="s">
        <v>9</v>
      </c>
      <c r="D576" s="33" t="s">
        <v>30</v>
      </c>
      <c r="E576" s="70" t="s">
        <v>256</v>
      </c>
      <c r="F576" s="97">
        <v>195.73400000000001</v>
      </c>
      <c r="G576" s="98">
        <v>242.5813</v>
      </c>
      <c r="H576" s="99">
        <v>163.20820000000001</v>
      </c>
      <c r="I576" s="100">
        <v>3936.1988000000001</v>
      </c>
      <c r="J576" s="99">
        <v>5003.2757000000001</v>
      </c>
      <c r="K576" s="99">
        <v>3062.0891000000001</v>
      </c>
      <c r="L576" s="165">
        <f>SUM(BabycareRaw[[#This Row],[2022]:[YTD 24]])</f>
        <v>601.52350000000001</v>
      </c>
    </row>
    <row r="577" spans="1:12" ht="15" customHeight="1" x14ac:dyDescent="0.2">
      <c r="A577" s="34" t="s">
        <v>484</v>
      </c>
      <c r="B577" s="32" t="s">
        <v>8</v>
      </c>
      <c r="C577" s="32" t="s">
        <v>9</v>
      </c>
      <c r="D577" s="33" t="s">
        <v>30</v>
      </c>
      <c r="E577" s="70" t="s">
        <v>256</v>
      </c>
      <c r="F577" s="97">
        <v>0.2492</v>
      </c>
      <c r="G577" s="98">
        <v>5.8500000000000003E-2</v>
      </c>
      <c r="H577" s="99">
        <v>0</v>
      </c>
      <c r="I577" s="100">
        <v>4.6970000000000001</v>
      </c>
      <c r="J577" s="99">
        <v>1.1557999999999999</v>
      </c>
      <c r="K577" s="99">
        <v>0</v>
      </c>
      <c r="L577" s="165">
        <f>SUM(BabycareRaw[[#This Row],[2022]:[YTD 24]])</f>
        <v>0.30770000000000003</v>
      </c>
    </row>
    <row r="578" spans="1:12" ht="15" customHeight="1" x14ac:dyDescent="0.2">
      <c r="A578" s="34" t="s">
        <v>485</v>
      </c>
      <c r="B578" s="32" t="s">
        <v>8</v>
      </c>
      <c r="C578" s="32" t="s">
        <v>9</v>
      </c>
      <c r="D578" s="33" t="s">
        <v>30</v>
      </c>
      <c r="E578" s="70" t="s">
        <v>256</v>
      </c>
      <c r="F578" s="97">
        <v>0.97950000000000004</v>
      </c>
      <c r="G578" s="98">
        <v>0</v>
      </c>
      <c r="H578" s="99">
        <v>0</v>
      </c>
      <c r="I578" s="100">
        <v>23.239000000000001</v>
      </c>
      <c r="J578" s="99">
        <v>0</v>
      </c>
      <c r="K578" s="99">
        <v>0</v>
      </c>
      <c r="L578" s="165">
        <f>SUM(BabycareRaw[[#This Row],[2022]:[YTD 24]])</f>
        <v>0.97950000000000004</v>
      </c>
    </row>
    <row r="579" spans="1:12" ht="15" customHeight="1" x14ac:dyDescent="0.2">
      <c r="A579" s="34" t="s">
        <v>486</v>
      </c>
      <c r="B579" s="32" t="s">
        <v>8</v>
      </c>
      <c r="C579" s="32" t="s">
        <v>9</v>
      </c>
      <c r="D579" s="33" t="s">
        <v>30</v>
      </c>
      <c r="E579" s="70" t="s">
        <v>256</v>
      </c>
      <c r="F579" s="97">
        <v>1.0518000000000001</v>
      </c>
      <c r="G579" s="98">
        <v>0</v>
      </c>
      <c r="H579" s="99">
        <v>0</v>
      </c>
      <c r="I579" s="100">
        <v>15.4772</v>
      </c>
      <c r="J579" s="99">
        <v>0</v>
      </c>
      <c r="K579" s="99">
        <v>0</v>
      </c>
      <c r="L579" s="165">
        <f>SUM(BabycareRaw[[#This Row],[2022]:[YTD 24]])</f>
        <v>1.0518000000000001</v>
      </c>
    </row>
    <row r="580" spans="1:12" ht="15" customHeight="1" x14ac:dyDescent="0.2">
      <c r="A580" s="34" t="s">
        <v>487</v>
      </c>
      <c r="B580" s="32" t="s">
        <v>8</v>
      </c>
      <c r="C580" s="32" t="s">
        <v>9</v>
      </c>
      <c r="D580" s="33" t="s">
        <v>30</v>
      </c>
      <c r="E580" s="70" t="s">
        <v>256</v>
      </c>
      <c r="F580" s="97">
        <v>1.23</v>
      </c>
      <c r="G580" s="98">
        <v>5.5100000000000003E-2</v>
      </c>
      <c r="H580" s="99">
        <v>0</v>
      </c>
      <c r="I580" s="100">
        <v>22.518699999999999</v>
      </c>
      <c r="J580" s="99">
        <v>1.0911</v>
      </c>
      <c r="K580" s="99">
        <v>0</v>
      </c>
      <c r="L580" s="165">
        <f>SUM(BabycareRaw[[#This Row],[2022]:[YTD 24]])</f>
        <v>1.2850999999999999</v>
      </c>
    </row>
    <row r="581" spans="1:12" ht="15" customHeight="1" x14ac:dyDescent="0.2">
      <c r="A581" s="34" t="s">
        <v>488</v>
      </c>
      <c r="B581" s="32" t="s">
        <v>8</v>
      </c>
      <c r="C581" s="32" t="s">
        <v>9</v>
      </c>
      <c r="D581" s="33" t="s">
        <v>30</v>
      </c>
      <c r="E581" s="70" t="s">
        <v>256</v>
      </c>
      <c r="F581" s="97">
        <v>0.64070000000000005</v>
      </c>
      <c r="G581" s="98">
        <v>0</v>
      </c>
      <c r="H581" s="99">
        <v>0</v>
      </c>
      <c r="I581" s="100">
        <v>15.170299999999999</v>
      </c>
      <c r="J581" s="99">
        <v>0</v>
      </c>
      <c r="K581" s="99">
        <v>0</v>
      </c>
      <c r="L581" s="165">
        <f>SUM(BabycareRaw[[#This Row],[2022]:[YTD 24]])</f>
        <v>0.64070000000000005</v>
      </c>
    </row>
    <row r="582" spans="1:12" ht="15" customHeight="1" x14ac:dyDescent="0.2">
      <c r="A582" s="34" t="s">
        <v>489</v>
      </c>
      <c r="B582" s="32" t="s">
        <v>8</v>
      </c>
      <c r="C582" s="32" t="s">
        <v>9</v>
      </c>
      <c r="D582" s="33" t="s">
        <v>30</v>
      </c>
      <c r="E582" s="70" t="s">
        <v>256</v>
      </c>
      <c r="F582" s="97">
        <v>0.8125</v>
      </c>
      <c r="G582" s="98">
        <v>2.2100000000000002E-2</v>
      </c>
      <c r="H582" s="99">
        <v>0</v>
      </c>
      <c r="I582" s="100">
        <v>14.451000000000001</v>
      </c>
      <c r="J582" s="99">
        <v>0.38290000000000002</v>
      </c>
      <c r="K582" s="99">
        <v>0</v>
      </c>
      <c r="L582" s="165">
        <f>SUM(BabycareRaw[[#This Row],[2022]:[YTD 24]])</f>
        <v>0.83460000000000001</v>
      </c>
    </row>
    <row r="583" spans="1:12" ht="15" customHeight="1" x14ac:dyDescent="0.2">
      <c r="A583" s="34" t="s">
        <v>490</v>
      </c>
      <c r="B583" s="32" t="s">
        <v>8</v>
      </c>
      <c r="C583" s="32" t="s">
        <v>9</v>
      </c>
      <c r="D583" s="33" t="s">
        <v>30</v>
      </c>
      <c r="E583" s="70" t="s">
        <v>256</v>
      </c>
      <c r="F583" s="97">
        <v>0.40889999999999999</v>
      </c>
      <c r="G583" s="98">
        <v>7.7899999999999997E-2</v>
      </c>
      <c r="H583" s="99">
        <v>0</v>
      </c>
      <c r="I583" s="100">
        <v>9.6999999999999993</v>
      </c>
      <c r="J583" s="99">
        <v>1.9962</v>
      </c>
      <c r="K583" s="99">
        <v>0</v>
      </c>
      <c r="L583" s="165">
        <f>SUM(BabycareRaw[[#This Row],[2022]:[YTD 24]])</f>
        <v>0.48680000000000001</v>
      </c>
    </row>
    <row r="584" spans="1:12" ht="15" customHeight="1" x14ac:dyDescent="0.2">
      <c r="A584" s="34" t="s">
        <v>491</v>
      </c>
      <c r="B584" s="32" t="s">
        <v>8</v>
      </c>
      <c r="C584" s="32" t="s">
        <v>9</v>
      </c>
      <c r="D584" s="33" t="s">
        <v>30</v>
      </c>
      <c r="E584" s="70" t="s">
        <v>256</v>
      </c>
      <c r="F584" s="97">
        <v>1.716</v>
      </c>
      <c r="G584" s="98">
        <v>0</v>
      </c>
      <c r="H584" s="99">
        <v>0</v>
      </c>
      <c r="I584" s="100">
        <v>43.815600000000003</v>
      </c>
      <c r="J584" s="99">
        <v>0</v>
      </c>
      <c r="K584" s="99">
        <v>0</v>
      </c>
      <c r="L584" s="165">
        <f>SUM(BabycareRaw[[#This Row],[2022]:[YTD 24]])</f>
        <v>1.716</v>
      </c>
    </row>
    <row r="585" spans="1:12" ht="15" customHeight="1" x14ac:dyDescent="0.2">
      <c r="A585" s="34" t="s">
        <v>492</v>
      </c>
      <c r="B585" s="32" t="s">
        <v>8</v>
      </c>
      <c r="C585" s="32" t="s">
        <v>9</v>
      </c>
      <c r="D585" s="33" t="s">
        <v>30</v>
      </c>
      <c r="E585" s="70" t="s">
        <v>256</v>
      </c>
      <c r="F585" s="97">
        <v>0.17050000000000001</v>
      </c>
      <c r="G585" s="98">
        <v>7.7700000000000005E-2</v>
      </c>
      <c r="H585" s="99">
        <v>0</v>
      </c>
      <c r="I585" s="100">
        <v>3.5674000000000001</v>
      </c>
      <c r="J585" s="99">
        <v>1.7087000000000001</v>
      </c>
      <c r="K585" s="99">
        <v>0</v>
      </c>
      <c r="L585" s="165">
        <f>SUM(BabycareRaw[[#This Row],[2022]:[YTD 24]])</f>
        <v>0.24820000000000003</v>
      </c>
    </row>
    <row r="586" spans="1:12" ht="15" customHeight="1" x14ac:dyDescent="0.2">
      <c r="A586" s="34" t="s">
        <v>493</v>
      </c>
      <c r="B586" s="32" t="s">
        <v>8</v>
      </c>
      <c r="C586" s="32" t="s">
        <v>9</v>
      </c>
      <c r="D586" s="33" t="s">
        <v>30</v>
      </c>
      <c r="E586" s="70" t="s">
        <v>256</v>
      </c>
      <c r="F586" s="97">
        <v>1.5501</v>
      </c>
      <c r="G586" s="98">
        <v>0.42659999999999998</v>
      </c>
      <c r="H586" s="99">
        <v>0.12859999999999999</v>
      </c>
      <c r="I586" s="100">
        <v>28.959800000000001</v>
      </c>
      <c r="J586" s="99">
        <v>8.7736999999999998</v>
      </c>
      <c r="K586" s="99">
        <v>2.5320999999999998</v>
      </c>
      <c r="L586" s="165">
        <f>SUM(BabycareRaw[[#This Row],[2022]:[YTD 24]])</f>
        <v>2.1053000000000002</v>
      </c>
    </row>
    <row r="587" spans="1:12" ht="15" customHeight="1" x14ac:dyDescent="0.2">
      <c r="A587" s="34" t="s">
        <v>494</v>
      </c>
      <c r="B587" s="32" t="s">
        <v>8</v>
      </c>
      <c r="C587" s="32" t="s">
        <v>9</v>
      </c>
      <c r="D587" s="33" t="s">
        <v>30</v>
      </c>
      <c r="E587" s="70" t="s">
        <v>256</v>
      </c>
      <c r="F587" s="97">
        <v>0.83640000000000003</v>
      </c>
      <c r="G587" s="98">
        <v>0.51139999999999997</v>
      </c>
      <c r="H587" s="99">
        <v>0</v>
      </c>
      <c r="I587" s="100">
        <v>18.6389</v>
      </c>
      <c r="J587" s="99">
        <v>9.5508000000000006</v>
      </c>
      <c r="K587" s="99">
        <v>0</v>
      </c>
      <c r="L587" s="165">
        <f>SUM(BabycareRaw[[#This Row],[2022]:[YTD 24]])</f>
        <v>1.3477999999999999</v>
      </c>
    </row>
    <row r="588" spans="1:12" ht="15" customHeight="1" x14ac:dyDescent="0.2">
      <c r="A588" s="34" t="s">
        <v>495</v>
      </c>
      <c r="B588" s="32" t="s">
        <v>8</v>
      </c>
      <c r="C588" s="32" t="s">
        <v>9</v>
      </c>
      <c r="D588" s="33" t="s">
        <v>30</v>
      </c>
      <c r="E588" s="70" t="s">
        <v>256</v>
      </c>
      <c r="F588" s="97">
        <v>0.72089999999999999</v>
      </c>
      <c r="G588" s="98">
        <v>0</v>
      </c>
      <c r="H588" s="99">
        <v>0</v>
      </c>
      <c r="I588" s="100">
        <v>9.8262</v>
      </c>
      <c r="J588" s="99">
        <v>0</v>
      </c>
      <c r="K588" s="99">
        <v>0</v>
      </c>
      <c r="L588" s="165">
        <f>SUM(BabycareRaw[[#This Row],[2022]:[YTD 24]])</f>
        <v>0.72089999999999999</v>
      </c>
    </row>
    <row r="589" spans="1:12" ht="15" customHeight="1" x14ac:dyDescent="0.2">
      <c r="A589" s="34" t="s">
        <v>496</v>
      </c>
      <c r="B589" s="32" t="s">
        <v>8</v>
      </c>
      <c r="C589" s="32" t="s">
        <v>9</v>
      </c>
      <c r="D589" s="33" t="s">
        <v>30</v>
      </c>
      <c r="E589" s="70" t="s">
        <v>256</v>
      </c>
      <c r="F589" s="97">
        <v>0.48470000000000002</v>
      </c>
      <c r="G589" s="98">
        <v>0</v>
      </c>
      <c r="H589" s="99">
        <v>0</v>
      </c>
      <c r="I589" s="100">
        <v>10.088699999999999</v>
      </c>
      <c r="J589" s="99">
        <v>0</v>
      </c>
      <c r="K589" s="99">
        <v>0</v>
      </c>
      <c r="L589" s="165">
        <f>SUM(BabycareRaw[[#This Row],[2022]:[YTD 24]])</f>
        <v>0.48470000000000002</v>
      </c>
    </row>
    <row r="590" spans="1:12" ht="15" customHeight="1" x14ac:dyDescent="0.2">
      <c r="A590" s="34" t="s">
        <v>497</v>
      </c>
      <c r="B590" s="32" t="s">
        <v>8</v>
      </c>
      <c r="C590" s="32" t="s">
        <v>9</v>
      </c>
      <c r="D590" s="33" t="s">
        <v>30</v>
      </c>
      <c r="E590" s="70" t="s">
        <v>256</v>
      </c>
      <c r="F590" s="97">
        <v>1.3634999999999999</v>
      </c>
      <c r="G590" s="98">
        <v>2.1999999999999999E-2</v>
      </c>
      <c r="H590" s="99">
        <v>0</v>
      </c>
      <c r="I590" s="100">
        <v>21.971299999999999</v>
      </c>
      <c r="J590" s="99">
        <v>0.34660000000000002</v>
      </c>
      <c r="K590" s="99">
        <v>0</v>
      </c>
      <c r="L590" s="165">
        <f>SUM(BabycareRaw[[#This Row],[2022]:[YTD 24]])</f>
        <v>1.3855</v>
      </c>
    </row>
    <row r="591" spans="1:12" ht="15" customHeight="1" x14ac:dyDescent="0.2">
      <c r="A591" s="34" t="s">
        <v>498</v>
      </c>
      <c r="B591" s="32" t="s">
        <v>8</v>
      </c>
      <c r="C591" s="32" t="s">
        <v>9</v>
      </c>
      <c r="D591" s="33" t="s">
        <v>30</v>
      </c>
      <c r="E591" s="70" t="s">
        <v>256</v>
      </c>
      <c r="F591" s="97">
        <v>0.2001</v>
      </c>
      <c r="G591" s="98">
        <v>0</v>
      </c>
      <c r="H591" s="99">
        <v>0</v>
      </c>
      <c r="I591" s="100">
        <v>3.1530999999999998</v>
      </c>
      <c r="J591" s="99">
        <v>0</v>
      </c>
      <c r="K591" s="99">
        <v>0</v>
      </c>
      <c r="L591" s="165">
        <f>SUM(BabycareRaw[[#This Row],[2022]:[YTD 24]])</f>
        <v>0.2001</v>
      </c>
    </row>
    <row r="592" spans="1:12" ht="15" customHeight="1" x14ac:dyDescent="0.2">
      <c r="A592" s="34" t="s">
        <v>499</v>
      </c>
      <c r="B592" s="32" t="s">
        <v>8</v>
      </c>
      <c r="C592" s="32" t="s">
        <v>9</v>
      </c>
      <c r="D592" s="33" t="s">
        <v>30</v>
      </c>
      <c r="E592" s="70" t="s">
        <v>256</v>
      </c>
      <c r="F592" s="97">
        <v>0.30409999999999998</v>
      </c>
      <c r="G592" s="98">
        <v>0</v>
      </c>
      <c r="H592" s="99">
        <v>0</v>
      </c>
      <c r="I592" s="100">
        <v>4.4311999999999996</v>
      </c>
      <c r="J592" s="99">
        <v>0</v>
      </c>
      <c r="K592" s="99">
        <v>0</v>
      </c>
      <c r="L592" s="165">
        <f>SUM(BabycareRaw[[#This Row],[2022]:[YTD 24]])</f>
        <v>0.30409999999999998</v>
      </c>
    </row>
    <row r="593" spans="1:12" ht="15" customHeight="1" x14ac:dyDescent="0.2">
      <c r="A593" s="34" t="s">
        <v>500</v>
      </c>
      <c r="B593" s="32" t="s">
        <v>8</v>
      </c>
      <c r="C593" s="32" t="s">
        <v>9</v>
      </c>
      <c r="D593" s="33" t="s">
        <v>30</v>
      </c>
      <c r="E593" s="70" t="s">
        <v>256</v>
      </c>
      <c r="F593" s="97">
        <v>1.4756</v>
      </c>
      <c r="G593" s="98">
        <v>0.29549999999999998</v>
      </c>
      <c r="H593" s="99">
        <v>0.13869999999999999</v>
      </c>
      <c r="I593" s="100">
        <v>38.575499999999998</v>
      </c>
      <c r="J593" s="99">
        <v>5.6929999999999996</v>
      </c>
      <c r="K593" s="99">
        <v>2.5320999999999998</v>
      </c>
      <c r="L593" s="165">
        <f>SUM(BabycareRaw[[#This Row],[2022]:[YTD 24]])</f>
        <v>1.9098000000000002</v>
      </c>
    </row>
    <row r="594" spans="1:12" ht="15" customHeight="1" x14ac:dyDescent="0.2">
      <c r="A594" s="34" t="s">
        <v>501</v>
      </c>
      <c r="B594" s="32" t="s">
        <v>8</v>
      </c>
      <c r="C594" s="32" t="s">
        <v>9</v>
      </c>
      <c r="D594" s="33" t="s">
        <v>30</v>
      </c>
      <c r="E594" s="70" t="s">
        <v>256</v>
      </c>
      <c r="F594" s="97">
        <v>0.92279999999999995</v>
      </c>
      <c r="G594" s="98">
        <v>0</v>
      </c>
      <c r="H594" s="99">
        <v>0</v>
      </c>
      <c r="I594" s="100">
        <v>21.822199999999999</v>
      </c>
      <c r="J594" s="99">
        <v>0</v>
      </c>
      <c r="K594" s="99">
        <v>0</v>
      </c>
      <c r="L594" s="165">
        <f>SUM(BabycareRaw[[#This Row],[2022]:[YTD 24]])</f>
        <v>0.92279999999999995</v>
      </c>
    </row>
    <row r="595" spans="1:12" ht="15" customHeight="1" x14ac:dyDescent="0.2">
      <c r="A595" s="34" t="s">
        <v>502</v>
      </c>
      <c r="B595" s="32" t="s">
        <v>8</v>
      </c>
      <c r="C595" s="32" t="s">
        <v>9</v>
      </c>
      <c r="D595" s="33" t="s">
        <v>30</v>
      </c>
      <c r="E595" s="70" t="s">
        <v>256</v>
      </c>
      <c r="F595" s="97">
        <v>105.723</v>
      </c>
      <c r="G595" s="98">
        <v>231.39109999999999</v>
      </c>
      <c r="H595" s="99">
        <v>190.30779999999999</v>
      </c>
      <c r="I595" s="100">
        <v>3632.1455999999998</v>
      </c>
      <c r="J595" s="99">
        <v>7878.6941999999999</v>
      </c>
      <c r="K595" s="99">
        <v>6167.0902999999998</v>
      </c>
      <c r="L595" s="165">
        <f>SUM(BabycareRaw[[#This Row],[2022]:[YTD 24]])</f>
        <v>527.42190000000005</v>
      </c>
    </row>
    <row r="596" spans="1:12" ht="15" customHeight="1" x14ac:dyDescent="0.2">
      <c r="A596" s="34" t="s">
        <v>503</v>
      </c>
      <c r="B596" s="32" t="s">
        <v>8</v>
      </c>
      <c r="C596" s="32" t="s">
        <v>9</v>
      </c>
      <c r="D596" s="33" t="s">
        <v>30</v>
      </c>
      <c r="E596" s="70" t="s">
        <v>256</v>
      </c>
      <c r="F596" s="97">
        <v>0.97140000000000004</v>
      </c>
      <c r="G596" s="98">
        <v>3.1E-2</v>
      </c>
      <c r="H596" s="99">
        <v>0</v>
      </c>
      <c r="I596" s="100">
        <v>22.952100000000002</v>
      </c>
      <c r="J596" s="99">
        <v>0.70540000000000003</v>
      </c>
      <c r="K596" s="99">
        <v>0</v>
      </c>
      <c r="L596" s="165">
        <f>SUM(BabycareRaw[[#This Row],[2022]:[YTD 24]])</f>
        <v>1.0024</v>
      </c>
    </row>
    <row r="597" spans="1:12" ht="15" customHeight="1" x14ac:dyDescent="0.2">
      <c r="A597" s="34" t="s">
        <v>504</v>
      </c>
      <c r="B597" s="32" t="s">
        <v>8</v>
      </c>
      <c r="C597" s="32" t="s">
        <v>9</v>
      </c>
      <c r="D597" s="33" t="s">
        <v>30</v>
      </c>
      <c r="E597" s="70" t="s">
        <v>256</v>
      </c>
      <c r="F597" s="97">
        <v>0.23680000000000001</v>
      </c>
      <c r="G597" s="98">
        <v>0</v>
      </c>
      <c r="H597" s="99">
        <v>0</v>
      </c>
      <c r="I597" s="100">
        <v>4.3052000000000001</v>
      </c>
      <c r="J597" s="99">
        <v>0</v>
      </c>
      <c r="K597" s="99">
        <v>0</v>
      </c>
      <c r="L597" s="165">
        <f>SUM(BabycareRaw[[#This Row],[2022]:[YTD 24]])</f>
        <v>0.23680000000000001</v>
      </c>
    </row>
    <row r="598" spans="1:12" ht="15" customHeight="1" x14ac:dyDescent="0.2">
      <c r="A598" s="34" t="s">
        <v>505</v>
      </c>
      <c r="B598" s="32" t="s">
        <v>8</v>
      </c>
      <c r="C598" s="32" t="s">
        <v>9</v>
      </c>
      <c r="D598" s="33" t="s">
        <v>64</v>
      </c>
      <c r="E598" s="70" t="s">
        <v>256</v>
      </c>
      <c r="F598" s="97">
        <v>40.155500000000004</v>
      </c>
      <c r="G598" s="98">
        <v>53.039099999999998</v>
      </c>
      <c r="H598" s="99">
        <v>19.640599999999999</v>
      </c>
      <c r="I598" s="100">
        <v>809.24120000000005</v>
      </c>
      <c r="J598" s="99">
        <v>1117.5988</v>
      </c>
      <c r="K598" s="99">
        <v>353.57029999999997</v>
      </c>
      <c r="L598" s="165">
        <f>SUM(BabycareRaw[[#This Row],[2022]:[YTD 24]])</f>
        <v>112.83520000000001</v>
      </c>
    </row>
    <row r="599" spans="1:12" ht="15" customHeight="1" x14ac:dyDescent="0.2">
      <c r="A599" s="34" t="s">
        <v>506</v>
      </c>
      <c r="B599" s="32" t="s">
        <v>8</v>
      </c>
      <c r="C599" s="32" t="s">
        <v>9</v>
      </c>
      <c r="D599" s="33" t="s">
        <v>64</v>
      </c>
      <c r="E599" s="70" t="s">
        <v>256</v>
      </c>
      <c r="F599" s="97">
        <v>124.0141</v>
      </c>
      <c r="G599" s="98">
        <v>119.1621</v>
      </c>
      <c r="H599" s="99">
        <v>72.991100000000003</v>
      </c>
      <c r="I599" s="100">
        <v>4179.8078999999998</v>
      </c>
      <c r="J599" s="99">
        <v>4057.9854</v>
      </c>
      <c r="K599" s="99">
        <v>2439.5360000000001</v>
      </c>
      <c r="L599" s="165">
        <f>SUM(BabycareRaw[[#This Row],[2022]:[YTD 24]])</f>
        <v>316.16730000000001</v>
      </c>
    </row>
    <row r="600" spans="1:12" ht="15" customHeight="1" x14ac:dyDescent="0.2">
      <c r="A600" s="34" t="s">
        <v>507</v>
      </c>
      <c r="B600" s="32" t="s">
        <v>8</v>
      </c>
      <c r="C600" s="32" t="s">
        <v>9</v>
      </c>
      <c r="D600" s="33" t="s">
        <v>64</v>
      </c>
      <c r="E600" s="70" t="s">
        <v>256</v>
      </c>
      <c r="F600" s="97">
        <v>126.2456</v>
      </c>
      <c r="G600" s="98">
        <v>161.7927</v>
      </c>
      <c r="H600" s="99">
        <v>82.616799999999998</v>
      </c>
      <c r="I600" s="100">
        <v>2585.6873000000001</v>
      </c>
      <c r="J600" s="99">
        <v>3416.431</v>
      </c>
      <c r="K600" s="99">
        <v>1611.8206</v>
      </c>
      <c r="L600" s="165">
        <f>SUM(BabycareRaw[[#This Row],[2022]:[YTD 24]])</f>
        <v>370.6551</v>
      </c>
    </row>
    <row r="601" spans="1:12" ht="15" customHeight="1" x14ac:dyDescent="0.2">
      <c r="A601" s="34" t="s">
        <v>508</v>
      </c>
      <c r="B601" s="32" t="s">
        <v>8</v>
      </c>
      <c r="C601" s="32" t="s">
        <v>9</v>
      </c>
      <c r="D601" s="33" t="s">
        <v>64</v>
      </c>
      <c r="E601" s="70" t="s">
        <v>256</v>
      </c>
      <c r="F601" s="97">
        <v>95.148099999999999</v>
      </c>
      <c r="G601" s="98">
        <v>213.16730000000001</v>
      </c>
      <c r="H601" s="99">
        <v>155.60400000000001</v>
      </c>
      <c r="I601" s="100">
        <v>3171.4767999999999</v>
      </c>
      <c r="J601" s="99">
        <v>7264.2154</v>
      </c>
      <c r="K601" s="99">
        <v>5013.7686000000003</v>
      </c>
      <c r="L601" s="165">
        <f>SUM(BabycareRaw[[#This Row],[2022]:[YTD 24]])</f>
        <v>463.9194</v>
      </c>
    </row>
    <row r="602" spans="1:12" ht="15" customHeight="1" x14ac:dyDescent="0.2">
      <c r="A602" s="34" t="s">
        <v>509</v>
      </c>
      <c r="B602" s="32" t="s">
        <v>8</v>
      </c>
      <c r="C602" s="32" t="s">
        <v>9</v>
      </c>
      <c r="D602" s="33" t="s">
        <v>64</v>
      </c>
      <c r="E602" s="70" t="s">
        <v>363</v>
      </c>
      <c r="F602" s="97">
        <v>19.249199999999998</v>
      </c>
      <c r="G602" s="98">
        <v>1.4004000000000001</v>
      </c>
      <c r="H602" s="99">
        <v>0</v>
      </c>
      <c r="I602" s="100">
        <v>316.69850000000002</v>
      </c>
      <c r="J602" s="99">
        <v>25.215900000000001</v>
      </c>
      <c r="K602" s="99">
        <v>0</v>
      </c>
      <c r="L602" s="165">
        <f>SUM(BabycareRaw[[#This Row],[2022]:[YTD 24]])</f>
        <v>20.6496</v>
      </c>
    </row>
    <row r="603" spans="1:12" ht="15" customHeight="1" x14ac:dyDescent="0.2">
      <c r="A603" s="34" t="s">
        <v>510</v>
      </c>
      <c r="B603" s="32" t="s">
        <v>8</v>
      </c>
      <c r="C603" s="32" t="s">
        <v>9</v>
      </c>
      <c r="D603" s="33" t="s">
        <v>64</v>
      </c>
      <c r="E603" s="70" t="s">
        <v>34</v>
      </c>
      <c r="F603" s="97">
        <v>0.76639999999999997</v>
      </c>
      <c r="G603" s="98">
        <v>3.6499999999999998E-2</v>
      </c>
      <c r="H603" s="99">
        <v>0</v>
      </c>
      <c r="I603" s="100">
        <v>14.48</v>
      </c>
      <c r="J603" s="99">
        <v>0.67200000000000004</v>
      </c>
      <c r="K603" s="99">
        <v>0</v>
      </c>
      <c r="L603" s="165">
        <f>SUM(BabycareRaw[[#This Row],[2022]:[YTD 24]])</f>
        <v>0.80289999999999995</v>
      </c>
    </row>
    <row r="604" spans="1:12" ht="15" customHeight="1" x14ac:dyDescent="0.2">
      <c r="A604" s="34" t="s">
        <v>511</v>
      </c>
      <c r="B604" s="32" t="s">
        <v>8</v>
      </c>
      <c r="C604" s="32" t="s">
        <v>9</v>
      </c>
      <c r="D604" s="33" t="s">
        <v>64</v>
      </c>
      <c r="E604" s="70" t="s">
        <v>34</v>
      </c>
      <c r="F604" s="97">
        <v>0.17649999999999999</v>
      </c>
      <c r="G604" s="98">
        <v>0</v>
      </c>
      <c r="H604" s="99">
        <v>0</v>
      </c>
      <c r="I604" s="100">
        <v>2.9144999999999999</v>
      </c>
      <c r="J604" s="99">
        <v>0</v>
      </c>
      <c r="K604" s="99">
        <v>0</v>
      </c>
      <c r="L604" s="165">
        <f>SUM(BabycareRaw[[#This Row],[2022]:[YTD 24]])</f>
        <v>0.17649999999999999</v>
      </c>
    </row>
    <row r="605" spans="1:12" ht="15" customHeight="1" x14ac:dyDescent="0.2">
      <c r="A605" s="34" t="s">
        <v>512</v>
      </c>
      <c r="B605" s="32" t="s">
        <v>8</v>
      </c>
      <c r="C605" s="32" t="s">
        <v>9</v>
      </c>
      <c r="D605" s="33" t="s">
        <v>64</v>
      </c>
      <c r="E605" s="70" t="s">
        <v>34</v>
      </c>
      <c r="F605" s="97">
        <v>3.9998</v>
      </c>
      <c r="G605" s="98">
        <v>2.0327000000000002</v>
      </c>
      <c r="H605" s="99">
        <v>0.44619999999999999</v>
      </c>
      <c r="I605" s="100">
        <v>76.599100000000007</v>
      </c>
      <c r="J605" s="99">
        <v>45.206499999999998</v>
      </c>
      <c r="K605" s="99">
        <v>9.7993000000000006</v>
      </c>
      <c r="L605" s="165">
        <f>SUM(BabycareRaw[[#This Row],[2022]:[YTD 24]])</f>
        <v>6.4787000000000008</v>
      </c>
    </row>
    <row r="606" spans="1:12" ht="15" customHeight="1" x14ac:dyDescent="0.2">
      <c r="A606" s="34" t="s">
        <v>513</v>
      </c>
      <c r="B606" s="32" t="s">
        <v>8</v>
      </c>
      <c r="C606" s="32" t="s">
        <v>9</v>
      </c>
      <c r="D606" s="33" t="s">
        <v>64</v>
      </c>
      <c r="E606" s="70" t="s">
        <v>34</v>
      </c>
      <c r="F606" s="97">
        <v>3.4256000000000002</v>
      </c>
      <c r="G606" s="98">
        <v>0.1051</v>
      </c>
      <c r="H606" s="99">
        <v>0</v>
      </c>
      <c r="I606" s="100">
        <v>52.9163</v>
      </c>
      <c r="J606" s="99">
        <v>1.5987</v>
      </c>
      <c r="K606" s="99">
        <v>0</v>
      </c>
      <c r="L606" s="165">
        <f>SUM(BabycareRaw[[#This Row],[2022]:[YTD 24]])</f>
        <v>3.5307000000000004</v>
      </c>
    </row>
    <row r="607" spans="1:12" ht="15" customHeight="1" x14ac:dyDescent="0.2">
      <c r="A607" s="34" t="s">
        <v>514</v>
      </c>
      <c r="B607" s="32" t="s">
        <v>8</v>
      </c>
      <c r="C607" s="32" t="s">
        <v>9</v>
      </c>
      <c r="D607" s="33" t="s">
        <v>64</v>
      </c>
      <c r="E607" s="70" t="s">
        <v>34</v>
      </c>
      <c r="F607" s="97">
        <v>2.7799999999999998E-2</v>
      </c>
      <c r="G607" s="98">
        <v>0</v>
      </c>
      <c r="H607" s="99">
        <v>0</v>
      </c>
      <c r="I607" s="100">
        <v>0.59</v>
      </c>
      <c r="J607" s="99">
        <v>0</v>
      </c>
      <c r="K607" s="99">
        <v>0</v>
      </c>
      <c r="L607" s="165">
        <f>SUM(BabycareRaw[[#This Row],[2022]:[YTD 24]])</f>
        <v>2.7799999999999998E-2</v>
      </c>
    </row>
    <row r="608" spans="1:12" ht="15" customHeight="1" x14ac:dyDescent="0.2">
      <c r="A608" s="34" t="s">
        <v>515</v>
      </c>
      <c r="B608" s="32" t="s">
        <v>8</v>
      </c>
      <c r="C608" s="32" t="s">
        <v>9</v>
      </c>
      <c r="D608" s="33" t="s">
        <v>64</v>
      </c>
      <c r="E608" s="70" t="s">
        <v>34</v>
      </c>
      <c r="F608" s="97">
        <v>2.0205000000000002</v>
      </c>
      <c r="G608" s="98">
        <v>6.1100000000000002E-2</v>
      </c>
      <c r="H608" s="99">
        <v>4.3E-3</v>
      </c>
      <c r="I608" s="100">
        <v>30.746600000000001</v>
      </c>
      <c r="J608" s="99">
        <v>0.89600000000000002</v>
      </c>
      <c r="K608" s="99">
        <v>5.6000000000000001E-2</v>
      </c>
      <c r="L608" s="165">
        <f>SUM(BabycareRaw[[#This Row],[2022]:[YTD 24]])</f>
        <v>2.0859000000000005</v>
      </c>
    </row>
    <row r="609" spans="1:12" ht="15" customHeight="1" x14ac:dyDescent="0.2">
      <c r="A609" s="34" t="s">
        <v>516</v>
      </c>
      <c r="B609" s="32" t="s">
        <v>8</v>
      </c>
      <c r="C609" s="32" t="s">
        <v>9</v>
      </c>
      <c r="D609" s="33" t="s">
        <v>64</v>
      </c>
      <c r="E609" s="70" t="s">
        <v>34</v>
      </c>
      <c r="F609" s="97">
        <v>0</v>
      </c>
      <c r="G609" s="98">
        <v>0</v>
      </c>
      <c r="H609" s="99">
        <v>0</v>
      </c>
      <c r="I609" s="100">
        <v>0</v>
      </c>
      <c r="J609" s="99">
        <v>0</v>
      </c>
      <c r="K609" s="99">
        <v>0</v>
      </c>
      <c r="L609" s="165">
        <f>SUM(BabycareRaw[[#This Row],[2022]:[YTD 24]])</f>
        <v>0</v>
      </c>
    </row>
    <row r="610" spans="1:12" ht="15" customHeight="1" x14ac:dyDescent="0.2">
      <c r="A610" s="34" t="s">
        <v>517</v>
      </c>
      <c r="B610" s="32" t="s">
        <v>8</v>
      </c>
      <c r="C610" s="32" t="s">
        <v>9</v>
      </c>
      <c r="D610" s="33" t="s">
        <v>64</v>
      </c>
      <c r="E610" s="70" t="s">
        <v>34</v>
      </c>
      <c r="F610" s="97">
        <v>2.1128999999999998</v>
      </c>
      <c r="G610" s="98">
        <v>3.0200000000000001E-2</v>
      </c>
      <c r="H610" s="99">
        <v>0</v>
      </c>
      <c r="I610" s="100">
        <v>32.116500000000002</v>
      </c>
      <c r="J610" s="99">
        <v>0.44800000000000001</v>
      </c>
      <c r="K610" s="99">
        <v>0</v>
      </c>
      <c r="L610" s="165">
        <f>SUM(BabycareRaw[[#This Row],[2022]:[YTD 24]])</f>
        <v>2.1430999999999996</v>
      </c>
    </row>
    <row r="611" spans="1:12" ht="15" customHeight="1" x14ac:dyDescent="0.2">
      <c r="A611" s="34" t="s">
        <v>518</v>
      </c>
      <c r="B611" s="32" t="s">
        <v>8</v>
      </c>
      <c r="C611" s="32" t="s">
        <v>9</v>
      </c>
      <c r="D611" s="33" t="s">
        <v>64</v>
      </c>
      <c r="E611" s="70" t="s">
        <v>34</v>
      </c>
      <c r="F611" s="97">
        <v>0</v>
      </c>
      <c r="G611" s="98">
        <v>0</v>
      </c>
      <c r="H611" s="99">
        <v>0</v>
      </c>
      <c r="I611" s="100">
        <v>0</v>
      </c>
      <c r="J611" s="99">
        <v>0</v>
      </c>
      <c r="K611" s="99">
        <v>0</v>
      </c>
      <c r="L611" s="165">
        <f>SUM(BabycareRaw[[#This Row],[2022]:[YTD 24]])</f>
        <v>0</v>
      </c>
    </row>
    <row r="612" spans="1:12" ht="15" customHeight="1" x14ac:dyDescent="0.2">
      <c r="A612" s="34" t="s">
        <v>519</v>
      </c>
      <c r="B612" s="32" t="s">
        <v>8</v>
      </c>
      <c r="C612" s="32" t="s">
        <v>9</v>
      </c>
      <c r="D612" s="33" t="s">
        <v>64</v>
      </c>
      <c r="E612" s="70" t="s">
        <v>34</v>
      </c>
      <c r="F612" s="97">
        <v>0.03</v>
      </c>
      <c r="G612" s="98">
        <v>5.8999999999999999E-3</v>
      </c>
      <c r="H612" s="99">
        <v>0</v>
      </c>
      <c r="I612" s="100">
        <v>0.67200000000000004</v>
      </c>
      <c r="J612" s="99">
        <v>0.16800000000000001</v>
      </c>
      <c r="K612" s="99">
        <v>0</v>
      </c>
      <c r="L612" s="165">
        <f>SUM(BabycareRaw[[#This Row],[2022]:[YTD 24]])</f>
        <v>3.5900000000000001E-2</v>
      </c>
    </row>
    <row r="613" spans="1:12" ht="15" customHeight="1" x14ac:dyDescent="0.2">
      <c r="A613" s="34" t="s">
        <v>520</v>
      </c>
      <c r="B613" s="32" t="s">
        <v>8</v>
      </c>
      <c r="C613" s="32" t="s">
        <v>9</v>
      </c>
      <c r="D613" s="33" t="s">
        <v>64</v>
      </c>
      <c r="E613" s="70" t="s">
        <v>34</v>
      </c>
      <c r="F613" s="97">
        <v>3.5200000000000002E-2</v>
      </c>
      <c r="G613" s="98">
        <v>0</v>
      </c>
      <c r="H613" s="99">
        <v>0</v>
      </c>
      <c r="I613" s="100">
        <v>0.65949999999999998</v>
      </c>
      <c r="J613" s="99">
        <v>0</v>
      </c>
      <c r="K613" s="99">
        <v>0</v>
      </c>
      <c r="L613" s="165">
        <f>SUM(BabycareRaw[[#This Row],[2022]:[YTD 24]])</f>
        <v>3.5200000000000002E-2</v>
      </c>
    </row>
    <row r="614" spans="1:12" ht="15" customHeight="1" x14ac:dyDescent="0.2">
      <c r="A614" s="34" t="s">
        <v>521</v>
      </c>
      <c r="B614" s="32" t="s">
        <v>8</v>
      </c>
      <c r="C614" s="32" t="s">
        <v>9</v>
      </c>
      <c r="D614" s="33" t="s">
        <v>64</v>
      </c>
      <c r="E614" s="70" t="s">
        <v>34</v>
      </c>
      <c r="F614" s="97">
        <v>0.17460000000000001</v>
      </c>
      <c r="G614" s="98">
        <v>5.2699999999999997E-2</v>
      </c>
      <c r="H614" s="99">
        <v>1.09E-2</v>
      </c>
      <c r="I614" s="100">
        <v>3.8159000000000001</v>
      </c>
      <c r="J614" s="99">
        <v>1.4</v>
      </c>
      <c r="K614" s="99">
        <v>0.28000000000000003</v>
      </c>
      <c r="L614" s="165">
        <f>SUM(BabycareRaw[[#This Row],[2022]:[YTD 24]])</f>
        <v>0.2382</v>
      </c>
    </row>
    <row r="615" spans="1:12" ht="15" customHeight="1" x14ac:dyDescent="0.2">
      <c r="A615" s="34" t="s">
        <v>522</v>
      </c>
      <c r="B615" s="32" t="s">
        <v>8</v>
      </c>
      <c r="C615" s="32" t="s">
        <v>9</v>
      </c>
      <c r="D615" s="33" t="s">
        <v>64</v>
      </c>
      <c r="E615" s="70" t="s">
        <v>34</v>
      </c>
      <c r="F615" s="97">
        <v>0</v>
      </c>
      <c r="G615" s="98">
        <v>0</v>
      </c>
      <c r="H615" s="99">
        <v>0</v>
      </c>
      <c r="I615" s="100">
        <v>0</v>
      </c>
      <c r="J615" s="99">
        <v>0</v>
      </c>
      <c r="K615" s="99">
        <v>0</v>
      </c>
      <c r="L615" s="165">
        <f>SUM(BabycareRaw[[#This Row],[2022]:[YTD 24]])</f>
        <v>0</v>
      </c>
    </row>
    <row r="616" spans="1:12" ht="15" customHeight="1" x14ac:dyDescent="0.2">
      <c r="A616" s="34" t="s">
        <v>523</v>
      </c>
      <c r="B616" s="32" t="s">
        <v>8</v>
      </c>
      <c r="C616" s="32" t="s">
        <v>9</v>
      </c>
      <c r="D616" s="33" t="s">
        <v>64</v>
      </c>
      <c r="E616" s="70" t="s">
        <v>34</v>
      </c>
      <c r="F616" s="97">
        <v>1.0412999999999999</v>
      </c>
      <c r="G616" s="98">
        <v>0</v>
      </c>
      <c r="H616" s="99">
        <v>0</v>
      </c>
      <c r="I616" s="100">
        <v>23.5031</v>
      </c>
      <c r="J616" s="99">
        <v>0</v>
      </c>
      <c r="K616" s="99">
        <v>0</v>
      </c>
      <c r="L616" s="165">
        <f>SUM(BabycareRaw[[#This Row],[2022]:[YTD 24]])</f>
        <v>1.0412999999999999</v>
      </c>
    </row>
    <row r="617" spans="1:12" ht="15" customHeight="1" x14ac:dyDescent="0.2">
      <c r="A617" s="34" t="s">
        <v>524</v>
      </c>
      <c r="B617" s="32" t="s">
        <v>8</v>
      </c>
      <c r="C617" s="32" t="s">
        <v>9</v>
      </c>
      <c r="D617" s="33" t="s">
        <v>64</v>
      </c>
      <c r="E617" s="70" t="s">
        <v>34</v>
      </c>
      <c r="F617" s="97">
        <v>3.8100000000000002E-2</v>
      </c>
      <c r="G617" s="98">
        <v>7.4000000000000003E-3</v>
      </c>
      <c r="H617" s="99">
        <v>1.11E-2</v>
      </c>
      <c r="I617" s="100">
        <v>0.67200000000000004</v>
      </c>
      <c r="J617" s="99">
        <v>0.112</v>
      </c>
      <c r="K617" s="99">
        <v>0.16800000000000001</v>
      </c>
      <c r="L617" s="165">
        <f>SUM(BabycareRaw[[#This Row],[2022]:[YTD 24]])</f>
        <v>5.6599999999999998E-2</v>
      </c>
    </row>
    <row r="618" spans="1:12" ht="15" customHeight="1" x14ac:dyDescent="0.2">
      <c r="A618" s="34" t="s">
        <v>525</v>
      </c>
      <c r="B618" s="32" t="s">
        <v>8</v>
      </c>
      <c r="C618" s="32" t="s">
        <v>9</v>
      </c>
      <c r="D618" s="33" t="s">
        <v>64</v>
      </c>
      <c r="E618" s="70" t="s">
        <v>34</v>
      </c>
      <c r="F618" s="97">
        <v>1.0855999999999999</v>
      </c>
      <c r="G618" s="98">
        <v>0.58120000000000005</v>
      </c>
      <c r="H618" s="99">
        <v>0</v>
      </c>
      <c r="I618" s="100">
        <v>19.170200000000001</v>
      </c>
      <c r="J618" s="99">
        <v>10.2963</v>
      </c>
      <c r="K618" s="99">
        <v>0</v>
      </c>
      <c r="L618" s="165">
        <f>SUM(BabycareRaw[[#This Row],[2022]:[YTD 24]])</f>
        <v>1.6667999999999998</v>
      </c>
    </row>
    <row r="619" spans="1:12" ht="15" customHeight="1" x14ac:dyDescent="0.2">
      <c r="A619" s="34" t="s">
        <v>526</v>
      </c>
      <c r="B619" s="32" t="s">
        <v>8</v>
      </c>
      <c r="C619" s="32" t="s">
        <v>9</v>
      </c>
      <c r="D619" s="33" t="s">
        <v>64</v>
      </c>
      <c r="E619" s="70" t="s">
        <v>34</v>
      </c>
      <c r="F619" s="97">
        <v>0.72109999999999996</v>
      </c>
      <c r="G619" s="98">
        <v>5.3105000000000002</v>
      </c>
      <c r="H619" s="99">
        <v>0</v>
      </c>
      <c r="I619" s="100">
        <v>13.8162</v>
      </c>
      <c r="J619" s="99">
        <v>130.43450000000001</v>
      </c>
      <c r="K619" s="99">
        <v>0</v>
      </c>
      <c r="L619" s="165">
        <f>SUM(BabycareRaw[[#This Row],[2022]:[YTD 24]])</f>
        <v>6.0316000000000001</v>
      </c>
    </row>
    <row r="620" spans="1:12" ht="15" customHeight="1" x14ac:dyDescent="0.2">
      <c r="A620" s="34" t="s">
        <v>527</v>
      </c>
      <c r="B620" s="32" t="s">
        <v>8</v>
      </c>
      <c r="C620" s="32" t="s">
        <v>9</v>
      </c>
      <c r="D620" s="33" t="s">
        <v>64</v>
      </c>
      <c r="E620" s="70" t="s">
        <v>34</v>
      </c>
      <c r="F620" s="97">
        <v>0.80620000000000003</v>
      </c>
      <c r="G620" s="98">
        <v>0</v>
      </c>
      <c r="H620" s="99">
        <v>0</v>
      </c>
      <c r="I620" s="100">
        <v>18.060500000000001</v>
      </c>
      <c r="J620" s="99">
        <v>0</v>
      </c>
      <c r="K620" s="99">
        <v>0</v>
      </c>
      <c r="L620" s="165">
        <f>SUM(BabycareRaw[[#This Row],[2022]:[YTD 24]])</f>
        <v>0.80620000000000003</v>
      </c>
    </row>
    <row r="621" spans="1:12" ht="15" customHeight="1" x14ac:dyDescent="0.2">
      <c r="A621" s="34" t="s">
        <v>528</v>
      </c>
      <c r="B621" s="32" t="s">
        <v>8</v>
      </c>
      <c r="C621" s="32" t="s">
        <v>9</v>
      </c>
      <c r="D621" s="33" t="s">
        <v>30</v>
      </c>
      <c r="E621" s="70" t="s">
        <v>37</v>
      </c>
      <c r="F621" s="97">
        <v>15.5359</v>
      </c>
      <c r="G621" s="98">
        <v>0.67789999999999995</v>
      </c>
      <c r="H621" s="99">
        <v>0</v>
      </c>
      <c r="I621" s="100">
        <v>345.3125</v>
      </c>
      <c r="J621" s="99">
        <v>13.0631</v>
      </c>
      <c r="K621" s="99">
        <v>0</v>
      </c>
      <c r="L621" s="165">
        <f>SUM(BabycareRaw[[#This Row],[2022]:[YTD 24]])</f>
        <v>16.213799999999999</v>
      </c>
    </row>
    <row r="622" spans="1:12" ht="15" customHeight="1" x14ac:dyDescent="0.2">
      <c r="A622" s="34" t="s">
        <v>529</v>
      </c>
      <c r="B622" s="32" t="s">
        <v>8</v>
      </c>
      <c r="C622" s="32" t="s">
        <v>9</v>
      </c>
      <c r="D622" s="33" t="s">
        <v>10</v>
      </c>
      <c r="E622" s="70" t="s">
        <v>37</v>
      </c>
      <c r="F622" s="97">
        <v>0.33579999999999999</v>
      </c>
      <c r="G622" s="98">
        <v>0</v>
      </c>
      <c r="H622" s="99">
        <v>0</v>
      </c>
      <c r="I622" s="100">
        <v>9.1472999999999995</v>
      </c>
      <c r="J622" s="99">
        <v>0</v>
      </c>
      <c r="K622" s="99">
        <v>0</v>
      </c>
      <c r="L622" s="165">
        <f>SUM(BabycareRaw[[#This Row],[2022]:[YTD 24]])</f>
        <v>0.33579999999999999</v>
      </c>
    </row>
    <row r="623" spans="1:12" ht="15" customHeight="1" x14ac:dyDescent="0.2">
      <c r="A623" s="34" t="s">
        <v>530</v>
      </c>
      <c r="B623" s="32" t="s">
        <v>8</v>
      </c>
      <c r="C623" s="32" t="s">
        <v>9</v>
      </c>
      <c r="D623" s="33" t="s">
        <v>10</v>
      </c>
      <c r="E623" s="70" t="s">
        <v>37</v>
      </c>
      <c r="F623" s="97">
        <v>27.901900000000001</v>
      </c>
      <c r="G623" s="98">
        <v>8.1903000000000006</v>
      </c>
      <c r="H623" s="99">
        <v>0.88470000000000004</v>
      </c>
      <c r="I623" s="100">
        <v>618.1096</v>
      </c>
      <c r="J623" s="99">
        <v>185.2071</v>
      </c>
      <c r="K623" s="99">
        <v>18.353999999999999</v>
      </c>
      <c r="L623" s="165">
        <f>SUM(BabycareRaw[[#This Row],[2022]:[YTD 24]])</f>
        <v>36.976900000000008</v>
      </c>
    </row>
    <row r="624" spans="1:12" ht="15" customHeight="1" x14ac:dyDescent="0.2">
      <c r="A624" s="34" t="s">
        <v>531</v>
      </c>
      <c r="B624" s="32" t="s">
        <v>8</v>
      </c>
      <c r="C624" s="32" t="s">
        <v>9</v>
      </c>
      <c r="D624" s="33" t="s">
        <v>10</v>
      </c>
      <c r="E624" s="70" t="s">
        <v>37</v>
      </c>
      <c r="F624" s="97">
        <v>2.58E-2</v>
      </c>
      <c r="G624" s="98">
        <v>7.9000000000000008E-3</v>
      </c>
      <c r="H624" s="99">
        <v>0</v>
      </c>
      <c r="I624" s="100">
        <v>0.57599999999999996</v>
      </c>
      <c r="J624" s="99">
        <v>0.38400000000000001</v>
      </c>
      <c r="K624" s="99">
        <v>0</v>
      </c>
      <c r="L624" s="165">
        <f>SUM(BabycareRaw[[#This Row],[2022]:[YTD 24]])</f>
        <v>3.3700000000000001E-2</v>
      </c>
    </row>
    <row r="625" spans="1:12" ht="15" customHeight="1" x14ac:dyDescent="0.2">
      <c r="A625" s="34" t="s">
        <v>532</v>
      </c>
      <c r="B625" s="32" t="s">
        <v>8</v>
      </c>
      <c r="C625" s="32" t="s">
        <v>9</v>
      </c>
      <c r="D625" s="33" t="s">
        <v>10</v>
      </c>
      <c r="E625" s="70" t="s">
        <v>37</v>
      </c>
      <c r="F625" s="97">
        <v>0</v>
      </c>
      <c r="G625" s="98">
        <v>0</v>
      </c>
      <c r="H625" s="99">
        <v>0</v>
      </c>
      <c r="I625" s="100">
        <v>0</v>
      </c>
      <c r="J625" s="99">
        <v>0</v>
      </c>
      <c r="K625" s="99">
        <v>0</v>
      </c>
      <c r="L625" s="165">
        <f>SUM(BabycareRaw[[#This Row],[2022]:[YTD 24]])</f>
        <v>0</v>
      </c>
    </row>
    <row r="626" spans="1:12" ht="15" customHeight="1" x14ac:dyDescent="0.2">
      <c r="A626" s="34" t="s">
        <v>533</v>
      </c>
      <c r="B626" s="32" t="s">
        <v>8</v>
      </c>
      <c r="C626" s="32" t="s">
        <v>9</v>
      </c>
      <c r="D626" s="33" t="s">
        <v>10</v>
      </c>
      <c r="E626" s="70" t="s">
        <v>37</v>
      </c>
      <c r="F626" s="97">
        <v>0.55289999999999995</v>
      </c>
      <c r="G626" s="98">
        <v>0.47820000000000001</v>
      </c>
      <c r="H626" s="99">
        <v>8.14E-2</v>
      </c>
      <c r="I626" s="100">
        <v>17.2395</v>
      </c>
      <c r="J626" s="99">
        <v>16.416799999999999</v>
      </c>
      <c r="K626" s="99">
        <v>2.5183</v>
      </c>
      <c r="L626" s="165">
        <f>SUM(BabycareRaw[[#This Row],[2022]:[YTD 24]])</f>
        <v>1.1124999999999998</v>
      </c>
    </row>
    <row r="627" spans="1:12" ht="15" customHeight="1" x14ac:dyDescent="0.2">
      <c r="A627" s="34" t="s">
        <v>534</v>
      </c>
      <c r="B627" s="32" t="s">
        <v>8</v>
      </c>
      <c r="C627" s="32" t="s">
        <v>9</v>
      </c>
      <c r="D627" s="33" t="s">
        <v>10</v>
      </c>
      <c r="E627" s="70" t="s">
        <v>37</v>
      </c>
      <c r="F627" s="97">
        <v>3.53</v>
      </c>
      <c r="G627" s="98">
        <v>1.6247</v>
      </c>
      <c r="H627" s="99">
        <v>0</v>
      </c>
      <c r="I627" s="100">
        <v>92.468000000000004</v>
      </c>
      <c r="J627" s="99">
        <v>38.321599999999997</v>
      </c>
      <c r="K627" s="99">
        <v>0</v>
      </c>
      <c r="L627" s="165">
        <f>SUM(BabycareRaw[[#This Row],[2022]:[YTD 24]])</f>
        <v>5.1547000000000001</v>
      </c>
    </row>
    <row r="628" spans="1:12" ht="15" customHeight="1" x14ac:dyDescent="0.2">
      <c r="A628" s="34" t="s">
        <v>535</v>
      </c>
      <c r="B628" s="32" t="s">
        <v>8</v>
      </c>
      <c r="C628" s="32" t="s">
        <v>9</v>
      </c>
      <c r="D628" s="33" t="s">
        <v>30</v>
      </c>
      <c r="E628" s="70" t="s">
        <v>37</v>
      </c>
      <c r="F628" s="97">
        <v>0.42930000000000001</v>
      </c>
      <c r="G628" s="98">
        <v>0.67159999999999997</v>
      </c>
      <c r="H628" s="99">
        <v>0</v>
      </c>
      <c r="I628" s="100">
        <v>9.3439999999999994</v>
      </c>
      <c r="J628" s="99">
        <v>12.986599999999999</v>
      </c>
      <c r="K628" s="99">
        <v>0</v>
      </c>
      <c r="L628" s="165">
        <f>SUM(BabycareRaw[[#This Row],[2022]:[YTD 24]])</f>
        <v>1.1009</v>
      </c>
    </row>
    <row r="629" spans="1:12" ht="15" customHeight="1" x14ac:dyDescent="0.2">
      <c r="A629" s="34" t="s">
        <v>536</v>
      </c>
      <c r="B629" s="32" t="s">
        <v>8</v>
      </c>
      <c r="C629" s="32" t="s">
        <v>9</v>
      </c>
      <c r="D629" s="33" t="s">
        <v>10</v>
      </c>
      <c r="E629" s="70" t="s">
        <v>37</v>
      </c>
      <c r="F629" s="97">
        <v>0.48170000000000002</v>
      </c>
      <c r="G629" s="98">
        <v>0</v>
      </c>
      <c r="H629" s="99">
        <v>0</v>
      </c>
      <c r="I629" s="100">
        <v>13.007199999999999</v>
      </c>
      <c r="J629" s="99">
        <v>0</v>
      </c>
      <c r="K629" s="99">
        <v>0</v>
      </c>
      <c r="L629" s="165">
        <f>SUM(BabycareRaw[[#This Row],[2022]:[YTD 24]])</f>
        <v>0.48170000000000002</v>
      </c>
    </row>
    <row r="630" spans="1:12" ht="15" customHeight="1" x14ac:dyDescent="0.2">
      <c r="A630" s="34" t="s">
        <v>537</v>
      </c>
      <c r="B630" s="32" t="s">
        <v>8</v>
      </c>
      <c r="C630" s="32" t="s">
        <v>9</v>
      </c>
      <c r="D630" s="33" t="s">
        <v>10</v>
      </c>
      <c r="E630" s="70" t="s">
        <v>37</v>
      </c>
      <c r="F630" s="97">
        <v>0</v>
      </c>
      <c r="G630" s="98">
        <v>0</v>
      </c>
      <c r="H630" s="99">
        <v>8.9800000000000005E-2</v>
      </c>
      <c r="I630" s="100">
        <v>0</v>
      </c>
      <c r="J630" s="99">
        <v>0</v>
      </c>
      <c r="K630" s="99">
        <v>1.9842</v>
      </c>
      <c r="L630" s="165">
        <f>SUM(BabycareRaw[[#This Row],[2022]:[YTD 24]])</f>
        <v>8.9800000000000005E-2</v>
      </c>
    </row>
    <row r="631" spans="1:12" ht="15" customHeight="1" x14ac:dyDescent="0.2">
      <c r="A631" s="34" t="s">
        <v>538</v>
      </c>
      <c r="B631" s="32" t="s">
        <v>8</v>
      </c>
      <c r="C631" s="32" t="s">
        <v>9</v>
      </c>
      <c r="D631" s="33" t="s">
        <v>10</v>
      </c>
      <c r="E631" s="70" t="s">
        <v>37</v>
      </c>
      <c r="F631" s="97">
        <v>0</v>
      </c>
      <c r="G631" s="98">
        <v>0</v>
      </c>
      <c r="H631" s="99">
        <v>0</v>
      </c>
      <c r="I631" s="100">
        <v>0</v>
      </c>
      <c r="J631" s="99">
        <v>0</v>
      </c>
      <c r="K631" s="99">
        <v>0</v>
      </c>
      <c r="L631" s="165">
        <f>SUM(BabycareRaw[[#This Row],[2022]:[YTD 24]])</f>
        <v>0</v>
      </c>
    </row>
    <row r="632" spans="1:12" ht="15" customHeight="1" x14ac:dyDescent="0.2">
      <c r="A632" s="34" t="s">
        <v>539</v>
      </c>
      <c r="B632" s="32" t="s">
        <v>8</v>
      </c>
      <c r="C632" s="32" t="s">
        <v>9</v>
      </c>
      <c r="D632" s="33" t="s">
        <v>10</v>
      </c>
      <c r="E632" s="70" t="s">
        <v>37</v>
      </c>
      <c r="F632" s="97">
        <v>0</v>
      </c>
      <c r="G632" s="98">
        <v>0</v>
      </c>
      <c r="H632" s="99">
        <v>0.16889999999999999</v>
      </c>
      <c r="I632" s="100">
        <v>0</v>
      </c>
      <c r="J632" s="99">
        <v>0</v>
      </c>
      <c r="K632" s="99">
        <v>4.3247</v>
      </c>
      <c r="L632" s="165">
        <f>SUM(BabycareRaw[[#This Row],[2022]:[YTD 24]])</f>
        <v>0.16889999999999999</v>
      </c>
    </row>
    <row r="633" spans="1:12" ht="15" customHeight="1" x14ac:dyDescent="0.2">
      <c r="A633" s="34" t="s">
        <v>540</v>
      </c>
      <c r="B633" s="32" t="s">
        <v>8</v>
      </c>
      <c r="C633" s="32" t="s">
        <v>9</v>
      </c>
      <c r="D633" s="33" t="s">
        <v>10</v>
      </c>
      <c r="E633" s="70" t="s">
        <v>37</v>
      </c>
      <c r="F633" s="97">
        <v>4.2949000000000002</v>
      </c>
      <c r="G633" s="98">
        <v>0.33839999999999998</v>
      </c>
      <c r="H633" s="99">
        <v>0</v>
      </c>
      <c r="I633" s="100">
        <v>87.926599999999993</v>
      </c>
      <c r="J633" s="99">
        <v>6.2496999999999998</v>
      </c>
      <c r="K633" s="99">
        <v>0</v>
      </c>
      <c r="L633" s="165">
        <f>SUM(BabycareRaw[[#This Row],[2022]:[YTD 24]])</f>
        <v>4.6333000000000002</v>
      </c>
    </row>
    <row r="634" spans="1:12" ht="15" customHeight="1" x14ac:dyDescent="0.2">
      <c r="A634" s="34" t="s">
        <v>541</v>
      </c>
      <c r="B634" s="32" t="s">
        <v>8</v>
      </c>
      <c r="C634" s="32" t="s">
        <v>9</v>
      </c>
      <c r="D634" s="33" t="s">
        <v>10</v>
      </c>
      <c r="E634" s="70" t="s">
        <v>37</v>
      </c>
      <c r="F634" s="97">
        <v>13.5303</v>
      </c>
      <c r="G634" s="98">
        <v>2.3972000000000002</v>
      </c>
      <c r="H634" s="99">
        <v>0.73670000000000002</v>
      </c>
      <c r="I634" s="100">
        <v>272.4522</v>
      </c>
      <c r="J634" s="99">
        <v>43.2258</v>
      </c>
      <c r="K634" s="99">
        <v>13.669700000000001</v>
      </c>
      <c r="L634" s="165">
        <f>SUM(BabycareRaw[[#This Row],[2022]:[YTD 24]])</f>
        <v>16.664200000000001</v>
      </c>
    </row>
    <row r="635" spans="1:12" ht="15" customHeight="1" x14ac:dyDescent="0.2">
      <c r="A635" s="34" t="s">
        <v>542</v>
      </c>
      <c r="B635" s="32" t="s">
        <v>8</v>
      </c>
      <c r="C635" s="32" t="s">
        <v>9</v>
      </c>
      <c r="D635" s="33" t="s">
        <v>10</v>
      </c>
      <c r="E635" s="70" t="s">
        <v>37</v>
      </c>
      <c r="F635" s="97">
        <v>8.9724000000000004</v>
      </c>
      <c r="G635" s="98">
        <v>2.3250000000000002</v>
      </c>
      <c r="H635" s="99">
        <v>9.6000000000000002E-2</v>
      </c>
      <c r="I635" s="100">
        <v>202.00700000000001</v>
      </c>
      <c r="J635" s="99">
        <v>55.267699999999998</v>
      </c>
      <c r="K635" s="99">
        <v>2.0488</v>
      </c>
      <c r="L635" s="165">
        <f>SUM(BabycareRaw[[#This Row],[2022]:[YTD 24]])</f>
        <v>11.3934</v>
      </c>
    </row>
    <row r="636" spans="1:12" ht="15" customHeight="1" x14ac:dyDescent="0.2">
      <c r="A636" s="34" t="s">
        <v>543</v>
      </c>
      <c r="B636" s="32" t="s">
        <v>8</v>
      </c>
      <c r="C636" s="32" t="s">
        <v>9</v>
      </c>
      <c r="D636" s="33" t="s">
        <v>10</v>
      </c>
      <c r="E636" s="70" t="s">
        <v>37</v>
      </c>
      <c r="F636" s="97">
        <v>0.24310000000000001</v>
      </c>
      <c r="G636" s="98">
        <v>0.1048</v>
      </c>
      <c r="H636" s="99">
        <v>0</v>
      </c>
      <c r="I636" s="100">
        <v>5.5039999999999996</v>
      </c>
      <c r="J636" s="99">
        <v>2.3589000000000002</v>
      </c>
      <c r="K636" s="99">
        <v>0</v>
      </c>
      <c r="L636" s="165">
        <f>SUM(BabycareRaw[[#This Row],[2022]:[YTD 24]])</f>
        <v>0.34789999999999999</v>
      </c>
    </row>
    <row r="637" spans="1:12" ht="15" customHeight="1" x14ac:dyDescent="0.2">
      <c r="A637" s="34" t="s">
        <v>544</v>
      </c>
      <c r="B637" s="32" t="s">
        <v>8</v>
      </c>
      <c r="C637" s="32" t="s">
        <v>9</v>
      </c>
      <c r="D637" s="33" t="s">
        <v>10</v>
      </c>
      <c r="E637" s="70" t="s">
        <v>37</v>
      </c>
      <c r="F637" s="97">
        <v>0</v>
      </c>
      <c r="G637" s="98">
        <v>0</v>
      </c>
      <c r="H637" s="99">
        <v>0</v>
      </c>
      <c r="I637" s="100">
        <v>0</v>
      </c>
      <c r="J637" s="99">
        <v>0</v>
      </c>
      <c r="K637" s="99">
        <v>0</v>
      </c>
      <c r="L637" s="165">
        <f>SUM(BabycareRaw[[#This Row],[2022]:[YTD 24]])</f>
        <v>0</v>
      </c>
    </row>
    <row r="638" spans="1:12" ht="15" customHeight="1" x14ac:dyDescent="0.2">
      <c r="A638" s="34" t="s">
        <v>545</v>
      </c>
      <c r="B638" s="32" t="s">
        <v>8</v>
      </c>
      <c r="C638" s="32" t="s">
        <v>9</v>
      </c>
      <c r="D638" s="33" t="s">
        <v>10</v>
      </c>
      <c r="E638" s="70" t="s">
        <v>37</v>
      </c>
      <c r="F638" s="97">
        <v>0</v>
      </c>
      <c r="G638" s="98">
        <v>0</v>
      </c>
      <c r="H638" s="99">
        <v>0</v>
      </c>
      <c r="I638" s="100">
        <v>0</v>
      </c>
      <c r="J638" s="99">
        <v>0</v>
      </c>
      <c r="K638" s="99">
        <v>0</v>
      </c>
      <c r="L638" s="165">
        <f>SUM(BabycareRaw[[#This Row],[2022]:[YTD 24]])</f>
        <v>0</v>
      </c>
    </row>
    <row r="639" spans="1:12" ht="15" customHeight="1" x14ac:dyDescent="0.2">
      <c r="A639" s="34" t="s">
        <v>546</v>
      </c>
      <c r="B639" s="32" t="s">
        <v>8</v>
      </c>
      <c r="C639" s="32" t="s">
        <v>9</v>
      </c>
      <c r="D639" s="33" t="s">
        <v>30</v>
      </c>
      <c r="E639" s="70" t="s">
        <v>17</v>
      </c>
      <c r="F639" s="97">
        <v>299.24509999999998</v>
      </c>
      <c r="G639" s="98">
        <v>239.40260000000001</v>
      </c>
      <c r="H639" s="99">
        <v>70.132900000000006</v>
      </c>
      <c r="I639" s="100">
        <v>8505.4575000000004</v>
      </c>
      <c r="J639" s="99">
        <v>6543.0663999999997</v>
      </c>
      <c r="K639" s="99">
        <v>1626.3281999999999</v>
      </c>
      <c r="L639" s="165">
        <f>SUM(BabycareRaw[[#This Row],[2022]:[YTD 24]])</f>
        <v>608.78060000000005</v>
      </c>
    </row>
    <row r="640" spans="1:12" ht="15" customHeight="1" x14ac:dyDescent="0.2">
      <c r="A640" s="34" t="s">
        <v>547</v>
      </c>
      <c r="B640" s="32" t="s">
        <v>8</v>
      </c>
      <c r="C640" s="32" t="s">
        <v>9</v>
      </c>
      <c r="D640" s="33" t="s">
        <v>64</v>
      </c>
      <c r="E640" s="70" t="s">
        <v>17</v>
      </c>
      <c r="F640" s="97">
        <v>228.9504</v>
      </c>
      <c r="G640" s="98">
        <v>220.107</v>
      </c>
      <c r="H640" s="99">
        <v>99.616699999999994</v>
      </c>
      <c r="I640" s="100">
        <v>6068.1558999999997</v>
      </c>
      <c r="J640" s="99">
        <v>5788.4287000000004</v>
      </c>
      <c r="K640" s="99">
        <v>2377.8838000000001</v>
      </c>
      <c r="L640" s="165">
        <f>SUM(BabycareRaw[[#This Row],[2022]:[YTD 24]])</f>
        <v>548.67410000000007</v>
      </c>
    </row>
    <row r="641" spans="1:12" ht="15" customHeight="1" x14ac:dyDescent="0.2">
      <c r="A641" s="34" t="s">
        <v>548</v>
      </c>
      <c r="B641" s="32" t="s">
        <v>8</v>
      </c>
      <c r="C641" s="32" t="s">
        <v>9</v>
      </c>
      <c r="D641" s="33" t="s">
        <v>30</v>
      </c>
      <c r="E641" s="70" t="s">
        <v>549</v>
      </c>
      <c r="F641" s="97">
        <v>0</v>
      </c>
      <c r="G641" s="98">
        <v>0</v>
      </c>
      <c r="H641" s="99">
        <v>4.2099999999999999E-2</v>
      </c>
      <c r="I641" s="100">
        <v>0</v>
      </c>
      <c r="J641" s="99">
        <v>0</v>
      </c>
      <c r="K641" s="99">
        <v>0.45</v>
      </c>
      <c r="L641" s="165">
        <f>SUM(BabycareRaw[[#This Row],[2022]:[YTD 24]])</f>
        <v>4.2099999999999999E-2</v>
      </c>
    </row>
    <row r="642" spans="1:12" ht="15" customHeight="1" x14ac:dyDescent="0.2">
      <c r="A642" s="34" t="s">
        <v>550</v>
      </c>
      <c r="B642" s="32" t="s">
        <v>8</v>
      </c>
      <c r="C642" s="32" t="s">
        <v>9</v>
      </c>
      <c r="D642" s="33" t="s">
        <v>30</v>
      </c>
      <c r="E642" s="70" t="s">
        <v>549</v>
      </c>
      <c r="F642" s="97">
        <v>0</v>
      </c>
      <c r="G642" s="98">
        <v>0</v>
      </c>
      <c r="H642" s="99">
        <v>0.3543</v>
      </c>
      <c r="I642" s="100">
        <v>0</v>
      </c>
      <c r="J642" s="99">
        <v>0</v>
      </c>
      <c r="K642" s="99">
        <v>4.1279000000000003</v>
      </c>
      <c r="L642" s="165">
        <f>SUM(BabycareRaw[[#This Row],[2022]:[YTD 24]])</f>
        <v>0.3543</v>
      </c>
    </row>
    <row r="643" spans="1:12" ht="15" customHeight="1" x14ac:dyDescent="0.2">
      <c r="A643" s="34" t="s">
        <v>551</v>
      </c>
      <c r="B643" s="32" t="s">
        <v>8</v>
      </c>
      <c r="C643" s="32" t="s">
        <v>9</v>
      </c>
      <c r="D643" s="33" t="s">
        <v>30</v>
      </c>
      <c r="E643" s="70" t="s">
        <v>549</v>
      </c>
      <c r="F643" s="97">
        <v>9.0039999999999996</v>
      </c>
      <c r="G643" s="98">
        <v>27.005199999999999</v>
      </c>
      <c r="H643" s="99">
        <v>7.3737000000000004</v>
      </c>
      <c r="I643" s="100">
        <v>168.55369999999999</v>
      </c>
      <c r="J643" s="99">
        <v>470.04379999999998</v>
      </c>
      <c r="K643" s="99">
        <v>117.492</v>
      </c>
      <c r="L643" s="165">
        <f>SUM(BabycareRaw[[#This Row],[2022]:[YTD 24]])</f>
        <v>43.382899999999999</v>
      </c>
    </row>
    <row r="644" spans="1:12" ht="15" customHeight="1" x14ac:dyDescent="0.2">
      <c r="A644" s="34" t="s">
        <v>552</v>
      </c>
      <c r="B644" s="32" t="s">
        <v>8</v>
      </c>
      <c r="C644" s="32" t="s">
        <v>9</v>
      </c>
      <c r="D644" s="33" t="s">
        <v>30</v>
      </c>
      <c r="E644" s="70" t="s">
        <v>549</v>
      </c>
      <c r="F644" s="97">
        <v>9.5648</v>
      </c>
      <c r="G644" s="98">
        <v>36.633899999999997</v>
      </c>
      <c r="H644" s="99">
        <v>14.959</v>
      </c>
      <c r="I644" s="100">
        <v>136.73179999999999</v>
      </c>
      <c r="J644" s="99">
        <v>512.46489999999994</v>
      </c>
      <c r="K644" s="99">
        <v>178.05029999999999</v>
      </c>
      <c r="L644" s="165">
        <f>SUM(BabycareRaw[[#This Row],[2022]:[YTD 24]])</f>
        <v>61.157699999999991</v>
      </c>
    </row>
    <row r="645" spans="1:12" ht="15" customHeight="1" x14ac:dyDescent="0.2">
      <c r="A645" s="34" t="s">
        <v>553</v>
      </c>
      <c r="B645" s="32" t="s">
        <v>8</v>
      </c>
      <c r="C645" s="32" t="s">
        <v>9</v>
      </c>
      <c r="D645" s="33" t="s">
        <v>10</v>
      </c>
      <c r="E645" s="70" t="s">
        <v>42</v>
      </c>
      <c r="F645" s="97">
        <v>0.18679999999999999</v>
      </c>
      <c r="G645" s="98">
        <v>0</v>
      </c>
      <c r="H645" s="99">
        <v>0</v>
      </c>
      <c r="I645" s="100">
        <v>4.4957000000000003</v>
      </c>
      <c r="J645" s="99">
        <v>0</v>
      </c>
      <c r="K645" s="99">
        <v>0</v>
      </c>
      <c r="L645" s="165">
        <f>SUM(BabycareRaw[[#This Row],[2022]:[YTD 24]])</f>
        <v>0.18679999999999999</v>
      </c>
    </row>
    <row r="646" spans="1:12" ht="15" customHeight="1" x14ac:dyDescent="0.2">
      <c r="A646" s="34" t="s">
        <v>554</v>
      </c>
      <c r="B646" s="32" t="s">
        <v>8</v>
      </c>
      <c r="C646" s="32" t="s">
        <v>555</v>
      </c>
      <c r="D646" s="33" t="s">
        <v>64</v>
      </c>
      <c r="E646" s="70" t="s">
        <v>34</v>
      </c>
      <c r="F646" s="97">
        <v>0.2319</v>
      </c>
      <c r="G646" s="98">
        <v>0</v>
      </c>
      <c r="H646" s="99">
        <v>0</v>
      </c>
      <c r="I646" s="100">
        <v>3.4005999999999998</v>
      </c>
      <c r="J646" s="99">
        <v>0</v>
      </c>
      <c r="K646" s="99">
        <v>0</v>
      </c>
      <c r="L646" s="165">
        <f>SUM(BabycareRaw[[#This Row],[2022]:[YTD 24]])</f>
        <v>0.2319</v>
      </c>
    </row>
    <row r="647" spans="1:12" ht="15" customHeight="1" x14ac:dyDescent="0.2">
      <c r="A647" s="30" t="s">
        <v>556</v>
      </c>
      <c r="B647" s="31" t="s">
        <v>6</v>
      </c>
      <c r="C647" s="32"/>
      <c r="D647" s="33"/>
      <c r="E647" s="70"/>
      <c r="F647" s="97">
        <v>0.373</v>
      </c>
      <c r="G647" s="98">
        <v>1.12E-2</v>
      </c>
      <c r="H647" s="99">
        <v>0</v>
      </c>
      <c r="I647" s="100">
        <v>7.2888000000000002</v>
      </c>
      <c r="J647" s="99">
        <v>0.2389</v>
      </c>
      <c r="K647" s="99">
        <v>0</v>
      </c>
      <c r="L647" s="165">
        <f>SUM(BabycareRaw[[#This Row],[2022]:[YTD 24]])</f>
        <v>0.38419999999999999</v>
      </c>
    </row>
    <row r="648" spans="1:12" ht="15" customHeight="1" x14ac:dyDescent="0.2">
      <c r="A648" s="34" t="s">
        <v>557</v>
      </c>
      <c r="B648" s="32" t="s">
        <v>8</v>
      </c>
      <c r="C648" s="32" t="s">
        <v>9</v>
      </c>
      <c r="D648" s="33" t="s">
        <v>64</v>
      </c>
      <c r="E648" s="70" t="s">
        <v>34</v>
      </c>
      <c r="F648" s="97">
        <v>0.2671</v>
      </c>
      <c r="G648" s="98">
        <v>0</v>
      </c>
      <c r="H648" s="99">
        <v>0</v>
      </c>
      <c r="I648" s="100">
        <v>5.0296000000000003</v>
      </c>
      <c r="J648" s="99">
        <v>0</v>
      </c>
      <c r="K648" s="99">
        <v>0</v>
      </c>
      <c r="L648" s="165">
        <f>SUM(BabycareRaw[[#This Row],[2022]:[YTD 24]])</f>
        <v>0.2671</v>
      </c>
    </row>
    <row r="649" spans="1:12" ht="15" customHeight="1" x14ac:dyDescent="0.2">
      <c r="A649" s="34" t="s">
        <v>825</v>
      </c>
      <c r="B649" s="32" t="s">
        <v>8</v>
      </c>
      <c r="C649" s="32" t="s">
        <v>9</v>
      </c>
      <c r="D649" s="33" t="s">
        <v>10</v>
      </c>
      <c r="E649" s="70" t="s">
        <v>37</v>
      </c>
      <c r="F649" s="97">
        <v>0.10589999999999999</v>
      </c>
      <c r="G649" s="98">
        <v>1.12E-2</v>
      </c>
      <c r="H649" s="99">
        <v>0</v>
      </c>
      <c r="I649" s="100">
        <v>2.2591999999999999</v>
      </c>
      <c r="J649" s="99">
        <v>0.2389</v>
      </c>
      <c r="K649" s="99">
        <v>0</v>
      </c>
      <c r="L649" s="165">
        <f>SUM(BabycareRaw[[#This Row],[2022]:[YTD 24]])</f>
        <v>0.1171</v>
      </c>
    </row>
    <row r="650" spans="1:12" ht="15" customHeight="1" x14ac:dyDescent="0.2">
      <c r="A650" s="27" t="s">
        <v>792</v>
      </c>
      <c r="B650" s="28" t="s">
        <v>5</v>
      </c>
      <c r="C650" s="28"/>
      <c r="D650" s="29"/>
      <c r="E650" s="68"/>
      <c r="F650" s="101">
        <v>12.300599999999999</v>
      </c>
      <c r="G650" s="102">
        <v>12.544</v>
      </c>
      <c r="H650" s="103">
        <v>8.6647999999999996</v>
      </c>
      <c r="I650" s="104">
        <v>127.5915</v>
      </c>
      <c r="J650" s="103">
        <v>142.6704</v>
      </c>
      <c r="K650" s="103">
        <v>110.39149999999999</v>
      </c>
      <c r="L650" s="169">
        <f>SUM(BabycareRaw[[#This Row],[2022]:[YTD 24]])</f>
        <v>33.509399999999999</v>
      </c>
    </row>
    <row r="651" spans="1:12" ht="14.25" customHeight="1" x14ac:dyDescent="0.2">
      <c r="A651" s="30" t="s">
        <v>558</v>
      </c>
      <c r="B651" s="31" t="s">
        <v>6</v>
      </c>
      <c r="C651" s="32"/>
      <c r="D651" s="33"/>
      <c r="E651" s="70"/>
      <c r="F651" s="97">
        <v>12.300599999999999</v>
      </c>
      <c r="G651" s="98">
        <v>12.544</v>
      </c>
      <c r="H651" s="99">
        <v>8.6647999999999996</v>
      </c>
      <c r="I651" s="100">
        <v>127.5915</v>
      </c>
      <c r="J651" s="99">
        <v>142.6704</v>
      </c>
      <c r="K651" s="99">
        <v>110.39149999999999</v>
      </c>
      <c r="L651" s="165">
        <f>SUM(BabycareRaw[[#This Row],[2022]:[YTD 24]])</f>
        <v>33.509399999999999</v>
      </c>
    </row>
    <row r="652" spans="1:12" ht="15" customHeight="1" x14ac:dyDescent="0.2">
      <c r="A652" s="34" t="s">
        <v>559</v>
      </c>
      <c r="B652" s="32" t="s">
        <v>8</v>
      </c>
      <c r="C652" s="32" t="s">
        <v>9</v>
      </c>
      <c r="D652" s="33" t="s">
        <v>249</v>
      </c>
      <c r="E652" s="70" t="s">
        <v>103</v>
      </c>
      <c r="F652" s="97">
        <v>2.1598999999999999</v>
      </c>
      <c r="G652" s="98">
        <v>5.1025</v>
      </c>
      <c r="H652" s="99">
        <v>6.3079000000000001</v>
      </c>
      <c r="I652" s="100">
        <v>36.4</v>
      </c>
      <c r="J652" s="99">
        <v>77.862799999999993</v>
      </c>
      <c r="K652" s="99">
        <v>91.042100000000005</v>
      </c>
      <c r="L652" s="165">
        <f>SUM(BabycareRaw[[#This Row],[2022]:[YTD 24]])</f>
        <v>13.5703</v>
      </c>
    </row>
    <row r="653" spans="1:12" ht="15" customHeight="1" x14ac:dyDescent="0.2">
      <c r="A653" s="34" t="s">
        <v>560</v>
      </c>
      <c r="B653" s="32" t="s">
        <v>8</v>
      </c>
      <c r="C653" s="32" t="s">
        <v>9</v>
      </c>
      <c r="D653" s="33" t="s">
        <v>249</v>
      </c>
      <c r="E653" s="70" t="s">
        <v>103</v>
      </c>
      <c r="F653" s="97">
        <v>10.1408</v>
      </c>
      <c r="G653" s="98">
        <v>7.4416000000000002</v>
      </c>
      <c r="H653" s="99">
        <v>2.3571</v>
      </c>
      <c r="I653" s="100">
        <v>91.191500000000005</v>
      </c>
      <c r="J653" s="99">
        <v>64.807599999999994</v>
      </c>
      <c r="K653" s="99">
        <v>19.349299999999999</v>
      </c>
      <c r="L653" s="165">
        <f>SUM(BabycareRaw[[#This Row],[2022]:[YTD 24]])</f>
        <v>19.939499999999999</v>
      </c>
    </row>
    <row r="654" spans="1:12" ht="15" customHeight="1" x14ac:dyDescent="0.2">
      <c r="A654" s="27" t="s">
        <v>793</v>
      </c>
      <c r="B654" s="28" t="s">
        <v>5</v>
      </c>
      <c r="C654" s="28"/>
      <c r="D654" s="29"/>
      <c r="E654" s="68"/>
      <c r="F654" s="101">
        <v>0</v>
      </c>
      <c r="G654" s="102">
        <v>0</v>
      </c>
      <c r="H654" s="103">
        <v>0</v>
      </c>
      <c r="I654" s="104">
        <v>0</v>
      </c>
      <c r="J654" s="103">
        <v>0</v>
      </c>
      <c r="K654" s="103">
        <v>0</v>
      </c>
      <c r="L654" s="169">
        <f>SUM(BabycareRaw[[#This Row],[2022]:[YTD 24]])</f>
        <v>0</v>
      </c>
    </row>
    <row r="655" spans="1:12" ht="14.25" customHeight="1" x14ac:dyDescent="0.2">
      <c r="A655" s="30" t="s">
        <v>561</v>
      </c>
      <c r="B655" s="31" t="s">
        <v>6</v>
      </c>
      <c r="C655" s="32"/>
      <c r="D655" s="33"/>
      <c r="E655" s="70"/>
      <c r="F655" s="97">
        <v>0</v>
      </c>
      <c r="G655" s="98">
        <v>0</v>
      </c>
      <c r="H655" s="99">
        <v>0</v>
      </c>
      <c r="I655" s="100">
        <v>0</v>
      </c>
      <c r="J655" s="99">
        <v>0</v>
      </c>
      <c r="K655" s="99">
        <v>0</v>
      </c>
      <c r="L655" s="165">
        <f>SUM(BabycareRaw[[#This Row],[2022]:[YTD 24]])</f>
        <v>0</v>
      </c>
    </row>
    <row r="656" spans="1:12" ht="15" customHeight="1" x14ac:dyDescent="0.2">
      <c r="A656" s="34" t="s">
        <v>562</v>
      </c>
      <c r="B656" s="32" t="s">
        <v>8</v>
      </c>
      <c r="C656" s="32" t="s">
        <v>9</v>
      </c>
      <c r="D656" s="33" t="s">
        <v>20</v>
      </c>
      <c r="E656" s="70" t="s">
        <v>42</v>
      </c>
      <c r="F656" s="97">
        <v>0</v>
      </c>
      <c r="G656" s="98">
        <v>0</v>
      </c>
      <c r="H656" s="99">
        <v>0</v>
      </c>
      <c r="I656" s="100">
        <v>0</v>
      </c>
      <c r="J656" s="99">
        <v>0</v>
      </c>
      <c r="K656" s="99">
        <v>0</v>
      </c>
      <c r="L656" s="165">
        <f>SUM(BabycareRaw[[#This Row],[2022]:[YTD 24]])</f>
        <v>0</v>
      </c>
    </row>
    <row r="657" spans="1:12" ht="15" customHeight="1" x14ac:dyDescent="0.2">
      <c r="A657" s="27" t="s">
        <v>794</v>
      </c>
      <c r="B657" s="28" t="s">
        <v>5</v>
      </c>
      <c r="C657" s="28"/>
      <c r="D657" s="29"/>
      <c r="E657" s="68"/>
      <c r="F657" s="101">
        <v>78.612799999999993</v>
      </c>
      <c r="G657" s="102">
        <v>83.733099999999993</v>
      </c>
      <c r="H657" s="103">
        <v>33.060899999999997</v>
      </c>
      <c r="I657" s="104">
        <v>5148.8362999999999</v>
      </c>
      <c r="J657" s="103">
        <v>5284.2040999999999</v>
      </c>
      <c r="K657" s="103">
        <v>2040.6587</v>
      </c>
      <c r="L657" s="169">
        <f>SUM(BabycareRaw[[#This Row],[2022]:[YTD 24]])</f>
        <v>195.40679999999998</v>
      </c>
    </row>
    <row r="658" spans="1:12" ht="14.25" customHeight="1" x14ac:dyDescent="0.2">
      <c r="A658" s="30" t="s">
        <v>563</v>
      </c>
      <c r="B658" s="31" t="s">
        <v>6</v>
      </c>
      <c r="C658" s="32"/>
      <c r="D658" s="33"/>
      <c r="E658" s="70"/>
      <c r="F658" s="97">
        <v>12.684200000000001</v>
      </c>
      <c r="G658" s="98">
        <v>0</v>
      </c>
      <c r="H658" s="99">
        <v>0</v>
      </c>
      <c r="I658" s="100">
        <v>511.87400000000002</v>
      </c>
      <c r="J658" s="99">
        <v>0</v>
      </c>
      <c r="K658" s="99">
        <v>0</v>
      </c>
      <c r="L658" s="165">
        <f>SUM(BabycareRaw[[#This Row],[2022]:[YTD 24]])</f>
        <v>12.684200000000001</v>
      </c>
    </row>
    <row r="659" spans="1:12" ht="15" customHeight="1" x14ac:dyDescent="0.2">
      <c r="A659" s="34" t="s">
        <v>564</v>
      </c>
      <c r="B659" s="32" t="s">
        <v>8</v>
      </c>
      <c r="C659" s="32" t="s">
        <v>9</v>
      </c>
      <c r="D659" s="33" t="s">
        <v>20</v>
      </c>
      <c r="E659" s="70" t="s">
        <v>17</v>
      </c>
      <c r="F659" s="97">
        <v>2.9045000000000001</v>
      </c>
      <c r="G659" s="98">
        <v>0</v>
      </c>
      <c r="H659" s="99">
        <v>0</v>
      </c>
      <c r="I659" s="100">
        <v>116.9823</v>
      </c>
      <c r="J659" s="99">
        <v>0</v>
      </c>
      <c r="K659" s="99">
        <v>0</v>
      </c>
      <c r="L659" s="165">
        <f>SUM(BabycareRaw[[#This Row],[2022]:[YTD 24]])</f>
        <v>2.9045000000000001</v>
      </c>
    </row>
    <row r="660" spans="1:12" ht="15" customHeight="1" x14ac:dyDescent="0.2">
      <c r="A660" s="34" t="s">
        <v>565</v>
      </c>
      <c r="B660" s="32" t="s">
        <v>8</v>
      </c>
      <c r="C660" s="32" t="s">
        <v>9</v>
      </c>
      <c r="D660" s="33" t="s">
        <v>10</v>
      </c>
      <c r="E660" s="70" t="s">
        <v>17</v>
      </c>
      <c r="F660" s="97">
        <v>2.9113000000000002</v>
      </c>
      <c r="G660" s="98">
        <v>0</v>
      </c>
      <c r="H660" s="99">
        <v>0</v>
      </c>
      <c r="I660" s="100">
        <v>119.83880000000001</v>
      </c>
      <c r="J660" s="99">
        <v>0</v>
      </c>
      <c r="K660" s="99">
        <v>0</v>
      </c>
      <c r="L660" s="165">
        <f>SUM(BabycareRaw[[#This Row],[2022]:[YTD 24]])</f>
        <v>2.9113000000000002</v>
      </c>
    </row>
    <row r="661" spans="1:12" ht="15" customHeight="1" x14ac:dyDescent="0.2">
      <c r="A661" s="34" t="s">
        <v>566</v>
      </c>
      <c r="B661" s="32" t="s">
        <v>8</v>
      </c>
      <c r="C661" s="32" t="s">
        <v>9</v>
      </c>
      <c r="D661" s="33" t="s">
        <v>10</v>
      </c>
      <c r="E661" s="70" t="s">
        <v>17</v>
      </c>
      <c r="F661" s="97">
        <v>4.2324000000000002</v>
      </c>
      <c r="G661" s="98">
        <v>0</v>
      </c>
      <c r="H661" s="99">
        <v>0</v>
      </c>
      <c r="I661" s="100">
        <v>171.05330000000001</v>
      </c>
      <c r="J661" s="99">
        <v>0</v>
      </c>
      <c r="K661" s="99">
        <v>0</v>
      </c>
      <c r="L661" s="165">
        <f>SUM(BabycareRaw[[#This Row],[2022]:[YTD 24]])</f>
        <v>4.2324000000000002</v>
      </c>
    </row>
    <row r="662" spans="1:12" ht="15" customHeight="1" x14ac:dyDescent="0.2">
      <c r="A662" s="34" t="s">
        <v>567</v>
      </c>
      <c r="B662" s="32" t="s">
        <v>8</v>
      </c>
      <c r="C662" s="32" t="s">
        <v>9</v>
      </c>
      <c r="D662" s="33" t="s">
        <v>20</v>
      </c>
      <c r="E662" s="70" t="s">
        <v>17</v>
      </c>
      <c r="F662" s="97">
        <v>2.6360000000000001</v>
      </c>
      <c r="G662" s="98">
        <v>0</v>
      </c>
      <c r="H662" s="99">
        <v>0</v>
      </c>
      <c r="I662" s="100">
        <v>103.9999</v>
      </c>
      <c r="J662" s="99">
        <v>0</v>
      </c>
      <c r="K662" s="99">
        <v>0</v>
      </c>
      <c r="L662" s="165">
        <f>SUM(BabycareRaw[[#This Row],[2022]:[YTD 24]])</f>
        <v>2.6360000000000001</v>
      </c>
    </row>
    <row r="663" spans="1:12" ht="15" customHeight="1" x14ac:dyDescent="0.2">
      <c r="A663" s="30" t="s">
        <v>568</v>
      </c>
      <c r="B663" s="31" t="s">
        <v>6</v>
      </c>
      <c r="C663" s="32"/>
      <c r="D663" s="33"/>
      <c r="E663" s="70"/>
      <c r="F663" s="97">
        <v>65.928700000000006</v>
      </c>
      <c r="G663" s="98">
        <v>83.733099999999993</v>
      </c>
      <c r="H663" s="99">
        <v>33.060899999999997</v>
      </c>
      <c r="I663" s="100">
        <v>4636.9623000000001</v>
      </c>
      <c r="J663" s="99">
        <v>5284.2040999999999</v>
      </c>
      <c r="K663" s="99">
        <v>2040.6587</v>
      </c>
      <c r="L663" s="165">
        <f>SUM(BabycareRaw[[#This Row],[2022]:[YTD 24]])</f>
        <v>182.7227</v>
      </c>
    </row>
    <row r="664" spans="1:12" ht="15" customHeight="1" x14ac:dyDescent="0.2">
      <c r="A664" s="34" t="s">
        <v>569</v>
      </c>
      <c r="B664" s="32" t="s">
        <v>8</v>
      </c>
      <c r="C664" s="32" t="s">
        <v>9</v>
      </c>
      <c r="D664" s="33" t="s">
        <v>20</v>
      </c>
      <c r="E664" s="70" t="s">
        <v>570</v>
      </c>
      <c r="F664" s="97">
        <v>59.2014</v>
      </c>
      <c r="G664" s="98">
        <v>82.022099999999995</v>
      </c>
      <c r="H664" s="99">
        <v>31.495899999999999</v>
      </c>
      <c r="I664" s="100">
        <v>4163.6220999999996</v>
      </c>
      <c r="J664" s="99">
        <v>5172.0583999999999</v>
      </c>
      <c r="K664" s="99">
        <v>1931.7985000000001</v>
      </c>
      <c r="L664" s="165">
        <f>SUM(BabycareRaw[[#This Row],[2022]:[YTD 24]])</f>
        <v>172.71940000000001</v>
      </c>
    </row>
    <row r="665" spans="1:12" ht="15" customHeight="1" x14ac:dyDescent="0.2">
      <c r="A665" s="34" t="s">
        <v>571</v>
      </c>
      <c r="B665" s="32" t="s">
        <v>8</v>
      </c>
      <c r="C665" s="32" t="s">
        <v>9</v>
      </c>
      <c r="D665" s="33" t="s">
        <v>20</v>
      </c>
      <c r="E665" s="70" t="s">
        <v>570</v>
      </c>
      <c r="F665" s="97">
        <v>6.7272999999999996</v>
      </c>
      <c r="G665" s="98">
        <v>1.7110000000000001</v>
      </c>
      <c r="H665" s="99">
        <v>1.5649999999999999</v>
      </c>
      <c r="I665" s="100">
        <v>473.34</v>
      </c>
      <c r="J665" s="99">
        <v>112.14570000000001</v>
      </c>
      <c r="K665" s="99">
        <v>108.86020000000001</v>
      </c>
      <c r="L665" s="165">
        <f>SUM(BabycareRaw[[#This Row],[2022]:[YTD 24]])</f>
        <v>10.003299999999999</v>
      </c>
    </row>
    <row r="666" spans="1:12" ht="15" customHeight="1" x14ac:dyDescent="0.2">
      <c r="A666" s="27" t="s">
        <v>795</v>
      </c>
      <c r="B666" s="28" t="s">
        <v>5</v>
      </c>
      <c r="C666" s="28"/>
      <c r="D666" s="29"/>
      <c r="E666" s="68"/>
      <c r="F666" s="101">
        <v>65.863699999999994</v>
      </c>
      <c r="G666" s="102">
        <v>45.340600000000002</v>
      </c>
      <c r="H666" s="103">
        <v>13.16</v>
      </c>
      <c r="I666" s="104">
        <v>4126.7388000000001</v>
      </c>
      <c r="J666" s="103">
        <v>2357.3103999999998</v>
      </c>
      <c r="K666" s="103">
        <v>741.50080000000003</v>
      </c>
      <c r="L666" s="169">
        <f>SUM(BabycareRaw[[#This Row],[2022]:[YTD 24]])</f>
        <v>124.36429999999999</v>
      </c>
    </row>
    <row r="667" spans="1:12" ht="14.25" customHeight="1" x14ac:dyDescent="0.2">
      <c r="A667" s="30" t="s">
        <v>572</v>
      </c>
      <c r="B667" s="31" t="s">
        <v>6</v>
      </c>
      <c r="C667" s="32"/>
      <c r="D667" s="33"/>
      <c r="E667" s="70"/>
      <c r="F667" s="97">
        <v>64.446200000000005</v>
      </c>
      <c r="G667" s="98">
        <v>43.039900000000003</v>
      </c>
      <c r="H667" s="99">
        <v>13.16</v>
      </c>
      <c r="I667" s="100">
        <v>4048.3544000000002</v>
      </c>
      <c r="J667" s="99">
        <v>2244.0173</v>
      </c>
      <c r="K667" s="99">
        <v>741.50080000000003</v>
      </c>
      <c r="L667" s="165">
        <f>SUM(BabycareRaw[[#This Row],[2022]:[YTD 24]])</f>
        <v>120.6461</v>
      </c>
    </row>
    <row r="668" spans="1:12" ht="15" customHeight="1" x14ac:dyDescent="0.2">
      <c r="A668" s="34" t="s">
        <v>573</v>
      </c>
      <c r="B668" s="32" t="s">
        <v>8</v>
      </c>
      <c r="C668" s="32" t="s">
        <v>9</v>
      </c>
      <c r="D668" s="33" t="s">
        <v>64</v>
      </c>
      <c r="E668" s="70" t="s">
        <v>24</v>
      </c>
      <c r="F668" s="97">
        <v>53.944000000000003</v>
      </c>
      <c r="G668" s="98">
        <v>41.741</v>
      </c>
      <c r="H668" s="99">
        <v>12.7791</v>
      </c>
      <c r="I668" s="100">
        <v>3422.2186000000002</v>
      </c>
      <c r="J668" s="99">
        <v>2176.2671999999998</v>
      </c>
      <c r="K668" s="99">
        <v>723.71550000000002</v>
      </c>
      <c r="L668" s="165">
        <f>SUM(BabycareRaw[[#This Row],[2022]:[YTD 24]])</f>
        <v>108.4641</v>
      </c>
    </row>
    <row r="669" spans="1:12" ht="15" customHeight="1" x14ac:dyDescent="0.2">
      <c r="A669" s="34" t="s">
        <v>574</v>
      </c>
      <c r="B669" s="32" t="s">
        <v>8</v>
      </c>
      <c r="C669" s="32" t="s">
        <v>9</v>
      </c>
      <c r="D669" s="33" t="s">
        <v>64</v>
      </c>
      <c r="E669" s="70" t="s">
        <v>42</v>
      </c>
      <c r="F669" s="97">
        <v>10.5024</v>
      </c>
      <c r="G669" s="98">
        <v>1.2988</v>
      </c>
      <c r="H669" s="99">
        <v>0.38090000000000002</v>
      </c>
      <c r="I669" s="100">
        <v>626.13580000000002</v>
      </c>
      <c r="J669" s="99">
        <v>67.750100000000003</v>
      </c>
      <c r="K669" s="99">
        <v>17.785299999999999</v>
      </c>
      <c r="L669" s="165">
        <f>SUM(BabycareRaw[[#This Row],[2022]:[YTD 24]])</f>
        <v>12.1821</v>
      </c>
    </row>
    <row r="670" spans="1:12" ht="15" customHeight="1" x14ac:dyDescent="0.2">
      <c r="A670" s="30" t="s">
        <v>575</v>
      </c>
      <c r="B670" s="31" t="s">
        <v>6</v>
      </c>
      <c r="C670" s="32"/>
      <c r="D670" s="33"/>
      <c r="E670" s="70"/>
      <c r="F670" s="97">
        <v>1.4174</v>
      </c>
      <c r="G670" s="98">
        <v>2.3006000000000002</v>
      </c>
      <c r="H670" s="99">
        <v>0</v>
      </c>
      <c r="I670" s="100">
        <v>78.384500000000003</v>
      </c>
      <c r="J670" s="99">
        <v>113.29300000000001</v>
      </c>
      <c r="K670" s="99">
        <v>0</v>
      </c>
      <c r="L670" s="165">
        <f>SUM(BabycareRaw[[#This Row],[2022]:[YTD 24]])</f>
        <v>3.718</v>
      </c>
    </row>
    <row r="671" spans="1:12" ht="15" customHeight="1" x14ac:dyDescent="0.2">
      <c r="A671" s="34" t="s">
        <v>576</v>
      </c>
      <c r="B671" s="32" t="s">
        <v>8</v>
      </c>
      <c r="C671" s="32" t="s">
        <v>9</v>
      </c>
      <c r="D671" s="33" t="s">
        <v>20</v>
      </c>
      <c r="E671" s="70" t="s">
        <v>84</v>
      </c>
      <c r="F671" s="97">
        <v>1.4174</v>
      </c>
      <c r="G671" s="98">
        <v>2.3006000000000002</v>
      </c>
      <c r="H671" s="99">
        <v>0</v>
      </c>
      <c r="I671" s="100">
        <v>78.384500000000003</v>
      </c>
      <c r="J671" s="99">
        <v>113.29300000000001</v>
      </c>
      <c r="K671" s="99">
        <v>0</v>
      </c>
      <c r="L671" s="165">
        <f>SUM(BabycareRaw[[#This Row],[2022]:[YTD 24]])</f>
        <v>3.718</v>
      </c>
    </row>
    <row r="672" spans="1:12" ht="15" customHeight="1" x14ac:dyDescent="0.2">
      <c r="A672" s="27" t="s">
        <v>796</v>
      </c>
      <c r="B672" s="28" t="s">
        <v>5</v>
      </c>
      <c r="C672" s="28"/>
      <c r="D672" s="29"/>
      <c r="E672" s="68"/>
      <c r="F672" s="101">
        <v>2.9096000000000002</v>
      </c>
      <c r="G672" s="102">
        <v>6.0198</v>
      </c>
      <c r="H672" s="103">
        <v>5.5109000000000004</v>
      </c>
      <c r="I672" s="104">
        <v>55.366500000000002</v>
      </c>
      <c r="J672" s="103">
        <v>108.4705</v>
      </c>
      <c r="K672" s="103">
        <v>98.710099999999997</v>
      </c>
      <c r="L672" s="169">
        <f>SUM(BabycareRaw[[#This Row],[2022]:[YTD 24]])</f>
        <v>14.440300000000001</v>
      </c>
    </row>
    <row r="673" spans="1:12" ht="14.25" customHeight="1" x14ac:dyDescent="0.2">
      <c r="A673" s="30" t="s">
        <v>577</v>
      </c>
      <c r="B673" s="31" t="s">
        <v>6</v>
      </c>
      <c r="C673" s="32"/>
      <c r="D673" s="33"/>
      <c r="E673" s="70"/>
      <c r="F673" s="97">
        <v>2.9096000000000002</v>
      </c>
      <c r="G673" s="98">
        <v>6.0198</v>
      </c>
      <c r="H673" s="99">
        <v>5.5109000000000004</v>
      </c>
      <c r="I673" s="100">
        <v>55.366500000000002</v>
      </c>
      <c r="J673" s="99">
        <v>108.4705</v>
      </c>
      <c r="K673" s="99">
        <v>98.710099999999997</v>
      </c>
      <c r="L673" s="165">
        <f>SUM(BabycareRaw[[#This Row],[2022]:[YTD 24]])</f>
        <v>14.440300000000001</v>
      </c>
    </row>
    <row r="674" spans="1:12" ht="15" customHeight="1" x14ac:dyDescent="0.2">
      <c r="A674" s="34" t="s">
        <v>578</v>
      </c>
      <c r="B674" s="32" t="s">
        <v>8</v>
      </c>
      <c r="C674" s="32" t="s">
        <v>9</v>
      </c>
      <c r="D674" s="33" t="s">
        <v>69</v>
      </c>
      <c r="E674" s="70" t="s">
        <v>42</v>
      </c>
      <c r="F674" s="97">
        <v>2.9096000000000002</v>
      </c>
      <c r="G674" s="98">
        <v>6.0198</v>
      </c>
      <c r="H674" s="99">
        <v>5.5109000000000004</v>
      </c>
      <c r="I674" s="100">
        <v>55.366500000000002</v>
      </c>
      <c r="J674" s="99">
        <v>108.4705</v>
      </c>
      <c r="K674" s="99">
        <v>98.710099999999997</v>
      </c>
      <c r="L674" s="165">
        <f>SUM(BabycareRaw[[#This Row],[2022]:[YTD 24]])</f>
        <v>14.440300000000001</v>
      </c>
    </row>
    <row r="675" spans="1:12" ht="15" customHeight="1" x14ac:dyDescent="0.2">
      <c r="A675" s="27" t="s">
        <v>797</v>
      </c>
      <c r="B675" s="28" t="s">
        <v>5</v>
      </c>
      <c r="C675" s="28"/>
      <c r="D675" s="29"/>
      <c r="E675" s="68"/>
      <c r="F675" s="101">
        <v>0</v>
      </c>
      <c r="G675" s="102">
        <v>0</v>
      </c>
      <c r="H675" s="103">
        <v>9.1999999999999998E-3</v>
      </c>
      <c r="I675" s="104">
        <v>0</v>
      </c>
      <c r="J675" s="103">
        <v>0</v>
      </c>
      <c r="K675" s="103">
        <v>0.30320000000000003</v>
      </c>
      <c r="L675" s="169">
        <f>SUM(BabycareRaw[[#This Row],[2022]:[YTD 24]])</f>
        <v>9.1999999999999998E-3</v>
      </c>
    </row>
    <row r="676" spans="1:12" ht="14.25" customHeight="1" x14ac:dyDescent="0.2">
      <c r="A676" s="30" t="s">
        <v>579</v>
      </c>
      <c r="B676" s="31" t="s">
        <v>6</v>
      </c>
      <c r="C676" s="32"/>
      <c r="D676" s="33"/>
      <c r="E676" s="70"/>
      <c r="F676" s="97">
        <v>0</v>
      </c>
      <c r="G676" s="98">
        <v>0</v>
      </c>
      <c r="H676" s="99">
        <v>9.1999999999999998E-3</v>
      </c>
      <c r="I676" s="100">
        <v>0</v>
      </c>
      <c r="J676" s="99">
        <v>0</v>
      </c>
      <c r="K676" s="99">
        <v>0.30320000000000003</v>
      </c>
      <c r="L676" s="165">
        <f>SUM(BabycareRaw[[#This Row],[2022]:[YTD 24]])</f>
        <v>9.1999999999999998E-3</v>
      </c>
    </row>
    <row r="677" spans="1:12" ht="15" customHeight="1" x14ac:dyDescent="0.2">
      <c r="A677" s="34" t="s">
        <v>580</v>
      </c>
      <c r="B677" s="32" t="s">
        <v>8</v>
      </c>
      <c r="C677" s="32" t="s">
        <v>9</v>
      </c>
      <c r="D677" s="33" t="s">
        <v>20</v>
      </c>
      <c r="E677" s="70" t="s">
        <v>42</v>
      </c>
      <c r="F677" s="97">
        <v>0</v>
      </c>
      <c r="G677" s="98">
        <v>0</v>
      </c>
      <c r="H677" s="99">
        <v>9.1999999999999998E-3</v>
      </c>
      <c r="I677" s="100">
        <v>0</v>
      </c>
      <c r="J677" s="99">
        <v>0</v>
      </c>
      <c r="K677" s="99">
        <v>0.30320000000000003</v>
      </c>
      <c r="L677" s="165">
        <f>SUM(BabycareRaw[[#This Row],[2022]:[YTD 24]])</f>
        <v>9.1999999999999998E-3</v>
      </c>
    </row>
    <row r="678" spans="1:12" ht="15" customHeight="1" x14ac:dyDescent="0.2">
      <c r="A678" s="27" t="s">
        <v>798</v>
      </c>
      <c r="B678" s="28" t="s">
        <v>5</v>
      </c>
      <c r="C678" s="28"/>
      <c r="D678" s="29"/>
      <c r="E678" s="68"/>
      <c r="F678" s="101">
        <v>0</v>
      </c>
      <c r="G678" s="102">
        <v>0</v>
      </c>
      <c r="H678" s="103">
        <v>0</v>
      </c>
      <c r="I678" s="104">
        <v>0</v>
      </c>
      <c r="J678" s="103">
        <v>0</v>
      </c>
      <c r="K678" s="103">
        <v>0</v>
      </c>
      <c r="L678" s="169">
        <f>SUM(BabycareRaw[[#This Row],[2022]:[YTD 24]])</f>
        <v>0</v>
      </c>
    </row>
    <row r="679" spans="1:12" ht="14.25" customHeight="1" x14ac:dyDescent="0.2">
      <c r="A679" s="30" t="s">
        <v>581</v>
      </c>
      <c r="B679" s="31" t="s">
        <v>6</v>
      </c>
      <c r="C679" s="32"/>
      <c r="D679" s="33"/>
      <c r="E679" s="70"/>
      <c r="F679" s="97">
        <v>0</v>
      </c>
      <c r="G679" s="98">
        <v>0</v>
      </c>
      <c r="H679" s="99">
        <v>0</v>
      </c>
      <c r="I679" s="100">
        <v>0</v>
      </c>
      <c r="J679" s="99">
        <v>0</v>
      </c>
      <c r="K679" s="99">
        <v>0</v>
      </c>
      <c r="L679" s="165">
        <f>SUM(BabycareRaw[[#This Row],[2022]:[YTD 24]])</f>
        <v>0</v>
      </c>
    </row>
    <row r="680" spans="1:12" ht="15" customHeight="1" x14ac:dyDescent="0.2">
      <c r="A680" s="34" t="s">
        <v>582</v>
      </c>
      <c r="B680" s="32" t="s">
        <v>8</v>
      </c>
      <c r="C680" s="32" t="s">
        <v>9</v>
      </c>
      <c r="D680" s="33" t="s">
        <v>20</v>
      </c>
      <c r="E680" s="70" t="s">
        <v>42</v>
      </c>
      <c r="F680" s="97">
        <v>0</v>
      </c>
      <c r="G680" s="98">
        <v>0</v>
      </c>
      <c r="H680" s="99">
        <v>0</v>
      </c>
      <c r="I680" s="100">
        <v>0</v>
      </c>
      <c r="J680" s="99">
        <v>0</v>
      </c>
      <c r="K680" s="99">
        <v>0</v>
      </c>
      <c r="L680" s="165">
        <f>SUM(BabycareRaw[[#This Row],[2022]:[YTD 24]])</f>
        <v>0</v>
      </c>
    </row>
    <row r="681" spans="1:12" ht="15" customHeight="1" x14ac:dyDescent="0.2">
      <c r="A681" s="27" t="s">
        <v>799</v>
      </c>
      <c r="B681" s="28" t="s">
        <v>5</v>
      </c>
      <c r="C681" s="28"/>
      <c r="D681" s="29"/>
      <c r="E681" s="68"/>
      <c r="F681" s="101">
        <v>60.899500000000003</v>
      </c>
      <c r="G681" s="102">
        <v>35.979399999999998</v>
      </c>
      <c r="H681" s="103">
        <v>13.2829</v>
      </c>
      <c r="I681" s="104">
        <v>1646.9927</v>
      </c>
      <c r="J681" s="103">
        <v>1006.4904</v>
      </c>
      <c r="K681" s="103">
        <v>408.45429999999999</v>
      </c>
      <c r="L681" s="169">
        <f>SUM(BabycareRaw[[#This Row],[2022]:[YTD 24]])</f>
        <v>110.1618</v>
      </c>
    </row>
    <row r="682" spans="1:12" ht="14.25" customHeight="1" x14ac:dyDescent="0.2">
      <c r="A682" s="30" t="s">
        <v>583</v>
      </c>
      <c r="B682" s="31" t="s">
        <v>6</v>
      </c>
      <c r="C682" s="32"/>
      <c r="D682" s="33"/>
      <c r="E682" s="70"/>
      <c r="F682" s="97">
        <v>1.7324999999999999</v>
      </c>
      <c r="G682" s="98">
        <v>2.7699999999999999E-2</v>
      </c>
      <c r="H682" s="99">
        <v>0</v>
      </c>
      <c r="I682" s="100">
        <v>34.565800000000003</v>
      </c>
      <c r="J682" s="99">
        <v>0.64290000000000003</v>
      </c>
      <c r="K682" s="99">
        <v>0</v>
      </c>
      <c r="L682" s="165">
        <f>SUM(BabycareRaw[[#This Row],[2022]:[YTD 24]])</f>
        <v>1.7602</v>
      </c>
    </row>
    <row r="683" spans="1:12" ht="15" customHeight="1" x14ac:dyDescent="0.2">
      <c r="A683" s="34" t="s">
        <v>584</v>
      </c>
      <c r="B683" s="32" t="s">
        <v>8</v>
      </c>
      <c r="C683" s="32" t="s">
        <v>9</v>
      </c>
      <c r="D683" s="33" t="s">
        <v>20</v>
      </c>
      <c r="E683" s="70" t="s">
        <v>99</v>
      </c>
      <c r="F683" s="97">
        <v>0.35610000000000003</v>
      </c>
      <c r="G683" s="98">
        <v>0</v>
      </c>
      <c r="H683" s="99">
        <v>0</v>
      </c>
      <c r="I683" s="100">
        <v>5.6227</v>
      </c>
      <c r="J683" s="99">
        <v>0</v>
      </c>
      <c r="K683" s="99">
        <v>0</v>
      </c>
      <c r="L683" s="165">
        <f>SUM(BabycareRaw[[#This Row],[2022]:[YTD 24]])</f>
        <v>0.35610000000000003</v>
      </c>
    </row>
    <row r="684" spans="1:12" ht="15" customHeight="1" x14ac:dyDescent="0.2">
      <c r="A684" s="34" t="s">
        <v>585</v>
      </c>
      <c r="B684" s="32" t="s">
        <v>8</v>
      </c>
      <c r="C684" s="32" t="s">
        <v>9</v>
      </c>
      <c r="D684" s="33" t="s">
        <v>10</v>
      </c>
      <c r="E684" s="70" t="s">
        <v>42</v>
      </c>
      <c r="F684" s="97">
        <v>1.3764000000000001</v>
      </c>
      <c r="G684" s="98">
        <v>2.7699999999999999E-2</v>
      </c>
      <c r="H684" s="99">
        <v>0</v>
      </c>
      <c r="I684" s="100">
        <v>28.943100000000001</v>
      </c>
      <c r="J684" s="99">
        <v>0.64290000000000003</v>
      </c>
      <c r="K684" s="99">
        <v>0</v>
      </c>
      <c r="L684" s="165">
        <f>SUM(BabycareRaw[[#This Row],[2022]:[YTD 24]])</f>
        <v>1.4041000000000001</v>
      </c>
    </row>
    <row r="685" spans="1:12" ht="15" customHeight="1" x14ac:dyDescent="0.2">
      <c r="A685" s="30" t="s">
        <v>586</v>
      </c>
      <c r="B685" s="31" t="s">
        <v>6</v>
      </c>
      <c r="C685" s="32"/>
      <c r="D685" s="33"/>
      <c r="E685" s="70"/>
      <c r="F685" s="97">
        <v>38.935099999999998</v>
      </c>
      <c r="G685" s="98">
        <v>24.638200000000001</v>
      </c>
      <c r="H685" s="99">
        <v>13.2829</v>
      </c>
      <c r="I685" s="100">
        <v>1028.7485999999999</v>
      </c>
      <c r="J685" s="99">
        <v>660.65030000000002</v>
      </c>
      <c r="K685" s="99">
        <v>408.45429999999999</v>
      </c>
      <c r="L685" s="165">
        <f>SUM(BabycareRaw[[#This Row],[2022]:[YTD 24]])</f>
        <v>76.856200000000001</v>
      </c>
    </row>
    <row r="686" spans="1:12" ht="15" customHeight="1" x14ac:dyDescent="0.2">
      <c r="A686" s="34" t="s">
        <v>587</v>
      </c>
      <c r="B686" s="32" t="s">
        <v>8</v>
      </c>
      <c r="C686" s="32" t="s">
        <v>9</v>
      </c>
      <c r="D686" s="33" t="s">
        <v>30</v>
      </c>
      <c r="E686" s="70" t="s">
        <v>118</v>
      </c>
      <c r="F686" s="97">
        <v>6.7664999999999997</v>
      </c>
      <c r="G686" s="98">
        <v>0.54779999999999995</v>
      </c>
      <c r="H686" s="99">
        <v>0</v>
      </c>
      <c r="I686" s="100">
        <v>162.6651</v>
      </c>
      <c r="J686" s="99">
        <v>12.7288</v>
      </c>
      <c r="K686" s="99">
        <v>0</v>
      </c>
      <c r="L686" s="165">
        <f>SUM(BabycareRaw[[#This Row],[2022]:[YTD 24]])</f>
        <v>7.3142999999999994</v>
      </c>
    </row>
    <row r="687" spans="1:12" ht="15" customHeight="1" x14ac:dyDescent="0.2">
      <c r="A687" s="34" t="s">
        <v>588</v>
      </c>
      <c r="B687" s="32" t="s">
        <v>8</v>
      </c>
      <c r="C687" s="32" t="s">
        <v>9</v>
      </c>
      <c r="D687" s="33" t="s">
        <v>30</v>
      </c>
      <c r="E687" s="70" t="s">
        <v>99</v>
      </c>
      <c r="F687" s="97">
        <v>14.513400000000001</v>
      </c>
      <c r="G687" s="98">
        <v>11.551399999999999</v>
      </c>
      <c r="H687" s="99">
        <v>8.6715</v>
      </c>
      <c r="I687" s="100">
        <v>383.46769999999998</v>
      </c>
      <c r="J687" s="99">
        <v>307.81580000000002</v>
      </c>
      <c r="K687" s="99">
        <v>255.3304</v>
      </c>
      <c r="L687" s="165">
        <f>SUM(BabycareRaw[[#This Row],[2022]:[YTD 24]])</f>
        <v>34.7363</v>
      </c>
    </row>
    <row r="688" spans="1:12" ht="15" customHeight="1" x14ac:dyDescent="0.2">
      <c r="A688" s="34" t="s">
        <v>589</v>
      </c>
      <c r="B688" s="32" t="s">
        <v>8</v>
      </c>
      <c r="C688" s="32" t="s">
        <v>9</v>
      </c>
      <c r="D688" s="33" t="s">
        <v>30</v>
      </c>
      <c r="E688" s="70" t="s">
        <v>99</v>
      </c>
      <c r="F688" s="97">
        <v>17.654699999999998</v>
      </c>
      <c r="G688" s="98">
        <v>12.539</v>
      </c>
      <c r="H688" s="99">
        <v>4.6113</v>
      </c>
      <c r="I688" s="100">
        <v>482.61590000000001</v>
      </c>
      <c r="J688" s="99">
        <v>340.10579999999999</v>
      </c>
      <c r="K688" s="99">
        <v>153.12389999999999</v>
      </c>
      <c r="L688" s="165">
        <f>SUM(BabycareRaw[[#This Row],[2022]:[YTD 24]])</f>
        <v>34.805</v>
      </c>
    </row>
    <row r="689" spans="1:12" ht="15" customHeight="1" x14ac:dyDescent="0.2">
      <c r="A689" s="30" t="s">
        <v>590</v>
      </c>
      <c r="B689" s="31" t="s">
        <v>6</v>
      </c>
      <c r="C689" s="32"/>
      <c r="D689" s="33"/>
      <c r="E689" s="70"/>
      <c r="F689" s="97">
        <v>20.231999999999999</v>
      </c>
      <c r="G689" s="98">
        <v>11.313700000000001</v>
      </c>
      <c r="H689" s="99">
        <v>0</v>
      </c>
      <c r="I689" s="100">
        <v>583.67819999999995</v>
      </c>
      <c r="J689" s="99">
        <v>345.19709999999998</v>
      </c>
      <c r="K689" s="99">
        <v>0</v>
      </c>
      <c r="L689" s="165">
        <f>SUM(BabycareRaw[[#This Row],[2022]:[YTD 24]])</f>
        <v>31.5457</v>
      </c>
    </row>
    <row r="690" spans="1:12" ht="15" customHeight="1" x14ac:dyDescent="0.2">
      <c r="A690" s="34" t="s">
        <v>826</v>
      </c>
      <c r="B690" s="32" t="s">
        <v>8</v>
      </c>
      <c r="C690" s="32" t="s">
        <v>9</v>
      </c>
      <c r="D690" s="33" t="s">
        <v>10</v>
      </c>
      <c r="E690" s="70" t="s">
        <v>24</v>
      </c>
      <c r="F690" s="97">
        <v>20.231999999999999</v>
      </c>
      <c r="G690" s="98">
        <v>11.313700000000001</v>
      </c>
      <c r="H690" s="99">
        <v>0</v>
      </c>
      <c r="I690" s="100">
        <v>583.67819999999995</v>
      </c>
      <c r="J690" s="99">
        <v>345.19709999999998</v>
      </c>
      <c r="K690" s="99">
        <v>0</v>
      </c>
      <c r="L690" s="165">
        <f>SUM(BabycareRaw[[#This Row],[2022]:[YTD 24]])</f>
        <v>31.5457</v>
      </c>
    </row>
    <row r="691" spans="1:12" ht="15" customHeight="1" x14ac:dyDescent="0.2">
      <c r="A691" s="34" t="s">
        <v>591</v>
      </c>
      <c r="B691" s="32" t="s">
        <v>8</v>
      </c>
      <c r="C691" s="32" t="s">
        <v>9</v>
      </c>
      <c r="D691" s="33" t="s">
        <v>20</v>
      </c>
      <c r="E691" s="70" t="s">
        <v>42</v>
      </c>
      <c r="F691" s="97">
        <v>0</v>
      </c>
      <c r="G691" s="98">
        <v>0</v>
      </c>
      <c r="H691" s="99">
        <v>0</v>
      </c>
      <c r="I691" s="100">
        <v>0</v>
      </c>
      <c r="J691" s="99">
        <v>0</v>
      </c>
      <c r="K691" s="99">
        <v>0</v>
      </c>
      <c r="L691" s="165">
        <f>SUM(BabycareRaw[[#This Row],[2022]:[YTD 24]])</f>
        <v>0</v>
      </c>
    </row>
    <row r="692" spans="1:12" ht="15" customHeight="1" x14ac:dyDescent="0.2">
      <c r="A692" s="27" t="s">
        <v>800</v>
      </c>
      <c r="B692" s="28" t="s">
        <v>5</v>
      </c>
      <c r="C692" s="28"/>
      <c r="D692" s="29"/>
      <c r="E692" s="68"/>
      <c r="F692" s="101">
        <v>26.3474</v>
      </c>
      <c r="G692" s="102">
        <v>72.5916</v>
      </c>
      <c r="H692" s="103">
        <v>62.0075</v>
      </c>
      <c r="I692" s="104">
        <v>920.46799999999996</v>
      </c>
      <c r="J692" s="103">
        <v>3084.2015999999999</v>
      </c>
      <c r="K692" s="103">
        <v>2719.9431</v>
      </c>
      <c r="L692" s="169">
        <f>SUM(BabycareRaw[[#This Row],[2022]:[YTD 24]])</f>
        <v>160.94649999999999</v>
      </c>
    </row>
    <row r="693" spans="1:12" ht="14.25" customHeight="1" x14ac:dyDescent="0.2">
      <c r="A693" s="30" t="s">
        <v>592</v>
      </c>
      <c r="B693" s="31" t="s">
        <v>6</v>
      </c>
      <c r="C693" s="32"/>
      <c r="D693" s="33"/>
      <c r="E693" s="70"/>
      <c r="F693" s="97">
        <v>26.3474</v>
      </c>
      <c r="G693" s="98">
        <v>72.5916</v>
      </c>
      <c r="H693" s="99">
        <v>62.0075</v>
      </c>
      <c r="I693" s="100">
        <v>920.46799999999996</v>
      </c>
      <c r="J693" s="99">
        <v>3084.2015999999999</v>
      </c>
      <c r="K693" s="99">
        <v>2719.9431</v>
      </c>
      <c r="L693" s="165">
        <f>SUM(BabycareRaw[[#This Row],[2022]:[YTD 24]])</f>
        <v>160.94649999999999</v>
      </c>
    </row>
    <row r="694" spans="1:12" ht="15" customHeight="1" x14ac:dyDescent="0.2">
      <c r="A694" s="34" t="s">
        <v>593</v>
      </c>
      <c r="B694" s="32" t="s">
        <v>8</v>
      </c>
      <c r="C694" s="32" t="s">
        <v>9</v>
      </c>
      <c r="D694" s="33" t="s">
        <v>20</v>
      </c>
      <c r="E694" s="70" t="s">
        <v>24</v>
      </c>
      <c r="F694" s="97">
        <v>0</v>
      </c>
      <c r="G694" s="98">
        <v>20.586300000000001</v>
      </c>
      <c r="H694" s="99">
        <v>29.262499999999999</v>
      </c>
      <c r="I694" s="100">
        <v>0</v>
      </c>
      <c r="J694" s="99">
        <v>1265.0245</v>
      </c>
      <c r="K694" s="99">
        <v>1657.2372</v>
      </c>
      <c r="L694" s="165">
        <f>SUM(BabycareRaw[[#This Row],[2022]:[YTD 24]])</f>
        <v>49.848799999999997</v>
      </c>
    </row>
    <row r="695" spans="1:12" ht="15" customHeight="1" x14ac:dyDescent="0.2">
      <c r="A695" s="34" t="s">
        <v>594</v>
      </c>
      <c r="B695" s="32" t="s">
        <v>8</v>
      </c>
      <c r="C695" s="32" t="s">
        <v>9</v>
      </c>
      <c r="D695" s="33" t="s">
        <v>20</v>
      </c>
      <c r="E695" s="70" t="s">
        <v>42</v>
      </c>
      <c r="F695" s="97">
        <v>26.3474</v>
      </c>
      <c r="G695" s="98">
        <v>52.005499999999998</v>
      </c>
      <c r="H695" s="99">
        <v>32.744900000000001</v>
      </c>
      <c r="I695" s="100">
        <v>920.46799999999996</v>
      </c>
      <c r="J695" s="99">
        <v>1819.1769999999999</v>
      </c>
      <c r="K695" s="99">
        <v>1062.7058999999999</v>
      </c>
      <c r="L695" s="165">
        <f>SUM(BabycareRaw[[#This Row],[2022]:[YTD 24]])</f>
        <v>111.09780000000001</v>
      </c>
    </row>
    <row r="696" spans="1:12" ht="15" customHeight="1" x14ac:dyDescent="0.2">
      <c r="A696" s="27" t="s">
        <v>801</v>
      </c>
      <c r="B696" s="28" t="s">
        <v>5</v>
      </c>
      <c r="C696" s="28"/>
      <c r="D696" s="29"/>
      <c r="E696" s="68"/>
      <c r="F696" s="101">
        <v>0.97350000000000003</v>
      </c>
      <c r="G696" s="102">
        <v>1.3669</v>
      </c>
      <c r="H696" s="103">
        <v>0.25619999999999998</v>
      </c>
      <c r="I696" s="104">
        <v>4.9279999999999999</v>
      </c>
      <c r="J696" s="103">
        <v>7.3564999999999996</v>
      </c>
      <c r="K696" s="103">
        <v>1.4279999999999999</v>
      </c>
      <c r="L696" s="169">
        <f>SUM(BabycareRaw[[#This Row],[2022]:[YTD 24]])</f>
        <v>2.5965999999999996</v>
      </c>
    </row>
    <row r="697" spans="1:12" ht="14.25" customHeight="1" x14ac:dyDescent="0.2">
      <c r="A697" s="30" t="s">
        <v>595</v>
      </c>
      <c r="B697" s="31" t="s">
        <v>6</v>
      </c>
      <c r="C697" s="32"/>
      <c r="D697" s="33"/>
      <c r="E697" s="70"/>
      <c r="F697" s="97">
        <v>0.97350000000000003</v>
      </c>
      <c r="G697" s="98">
        <v>1.3669</v>
      </c>
      <c r="H697" s="99">
        <v>0.25619999999999998</v>
      </c>
      <c r="I697" s="100">
        <v>4.9279999999999999</v>
      </c>
      <c r="J697" s="99">
        <v>7.3564999999999996</v>
      </c>
      <c r="K697" s="99">
        <v>1.4279999999999999</v>
      </c>
      <c r="L697" s="165">
        <f>SUM(BabycareRaw[[#This Row],[2022]:[YTD 24]])</f>
        <v>2.5965999999999996</v>
      </c>
    </row>
    <row r="698" spans="1:12" ht="15" customHeight="1" x14ac:dyDescent="0.2">
      <c r="A698" s="34" t="s">
        <v>596</v>
      </c>
      <c r="B698" s="32" t="s">
        <v>8</v>
      </c>
      <c r="C698" s="32" t="s">
        <v>9</v>
      </c>
      <c r="D698" s="33" t="s">
        <v>10</v>
      </c>
      <c r="E698" s="70" t="s">
        <v>42</v>
      </c>
      <c r="F698" s="97">
        <v>0.1701</v>
      </c>
      <c r="G698" s="98">
        <v>0.71989999999999998</v>
      </c>
      <c r="H698" s="99">
        <v>4.9299999999999997E-2</v>
      </c>
      <c r="I698" s="100">
        <v>1.008</v>
      </c>
      <c r="J698" s="99">
        <v>3.8765000000000001</v>
      </c>
      <c r="K698" s="99">
        <v>0.28799999999999998</v>
      </c>
      <c r="L698" s="165">
        <f>SUM(BabycareRaw[[#This Row],[2022]:[YTD 24]])</f>
        <v>0.93930000000000002</v>
      </c>
    </row>
    <row r="699" spans="1:12" ht="15" customHeight="1" x14ac:dyDescent="0.2">
      <c r="A699" s="34" t="s">
        <v>597</v>
      </c>
      <c r="B699" s="32" t="s">
        <v>8</v>
      </c>
      <c r="C699" s="32" t="s">
        <v>555</v>
      </c>
      <c r="D699" s="33" t="s">
        <v>10</v>
      </c>
      <c r="E699" s="70" t="s">
        <v>103</v>
      </c>
      <c r="F699" s="97">
        <v>0.8034</v>
      </c>
      <c r="G699" s="98">
        <v>0.64690000000000003</v>
      </c>
      <c r="H699" s="99">
        <v>0.2069</v>
      </c>
      <c r="I699" s="100">
        <v>3.92</v>
      </c>
      <c r="J699" s="99">
        <v>3.48</v>
      </c>
      <c r="K699" s="99">
        <v>1.1399999999999999</v>
      </c>
      <c r="L699" s="165">
        <f>SUM(BabycareRaw[[#This Row],[2022]:[YTD 24]])</f>
        <v>1.6572</v>
      </c>
    </row>
    <row r="700" spans="1:12" ht="15" customHeight="1" x14ac:dyDescent="0.2">
      <c r="A700" s="27" t="s">
        <v>802</v>
      </c>
      <c r="B700" s="28" t="s">
        <v>5</v>
      </c>
      <c r="C700" s="28"/>
      <c r="D700" s="29"/>
      <c r="E700" s="68"/>
      <c r="F700" s="101">
        <v>18.511199999999999</v>
      </c>
      <c r="G700" s="102">
        <v>14.1861</v>
      </c>
      <c r="H700" s="103">
        <v>5.5843999999999996</v>
      </c>
      <c r="I700" s="104">
        <v>978.4941</v>
      </c>
      <c r="J700" s="103">
        <v>734.42629999999997</v>
      </c>
      <c r="K700" s="103">
        <v>305.17070000000001</v>
      </c>
      <c r="L700" s="169">
        <f>SUM(BabycareRaw[[#This Row],[2022]:[YTD 24]])</f>
        <v>38.281700000000001</v>
      </c>
    </row>
    <row r="701" spans="1:12" ht="14.25" customHeight="1" x14ac:dyDescent="0.2">
      <c r="A701" s="30" t="s">
        <v>598</v>
      </c>
      <c r="B701" s="31" t="s">
        <v>6</v>
      </c>
      <c r="C701" s="32"/>
      <c r="D701" s="33"/>
      <c r="E701" s="70"/>
      <c r="F701" s="97">
        <v>18.511199999999999</v>
      </c>
      <c r="G701" s="98">
        <v>14.1861</v>
      </c>
      <c r="H701" s="99">
        <v>5.5843999999999996</v>
      </c>
      <c r="I701" s="100">
        <v>978.4941</v>
      </c>
      <c r="J701" s="99">
        <v>734.42629999999997</v>
      </c>
      <c r="K701" s="99">
        <v>305.17070000000001</v>
      </c>
      <c r="L701" s="165">
        <f>SUM(BabycareRaw[[#This Row],[2022]:[YTD 24]])</f>
        <v>38.281700000000001</v>
      </c>
    </row>
    <row r="702" spans="1:12" ht="15" customHeight="1" x14ac:dyDescent="0.2">
      <c r="A702" s="34" t="s">
        <v>599</v>
      </c>
      <c r="B702" s="32" t="s">
        <v>8</v>
      </c>
      <c r="C702" s="32" t="s">
        <v>9</v>
      </c>
      <c r="D702" s="33" t="s">
        <v>20</v>
      </c>
      <c r="E702" s="70" t="s">
        <v>42</v>
      </c>
      <c r="F702" s="97">
        <v>16.393699999999999</v>
      </c>
      <c r="G702" s="98">
        <v>13.5199</v>
      </c>
      <c r="H702" s="99">
        <v>5.5843999999999996</v>
      </c>
      <c r="I702" s="100">
        <v>841.14940000000001</v>
      </c>
      <c r="J702" s="99">
        <v>693.07759999999996</v>
      </c>
      <c r="K702" s="99">
        <v>305.17070000000001</v>
      </c>
      <c r="L702" s="165">
        <f>SUM(BabycareRaw[[#This Row],[2022]:[YTD 24]])</f>
        <v>35.497999999999998</v>
      </c>
    </row>
    <row r="703" spans="1:12" ht="15" customHeight="1" x14ac:dyDescent="0.2">
      <c r="A703" s="34" t="s">
        <v>600</v>
      </c>
      <c r="B703" s="32" t="s">
        <v>8</v>
      </c>
      <c r="C703" s="32" t="s">
        <v>9</v>
      </c>
      <c r="D703" s="33" t="s">
        <v>20</v>
      </c>
      <c r="E703" s="70" t="s">
        <v>42</v>
      </c>
      <c r="F703" s="97">
        <v>2.1175000000000002</v>
      </c>
      <c r="G703" s="98">
        <v>0.66620000000000001</v>
      </c>
      <c r="H703" s="99">
        <v>0</v>
      </c>
      <c r="I703" s="100">
        <v>137.34479999999999</v>
      </c>
      <c r="J703" s="99">
        <v>41.348700000000001</v>
      </c>
      <c r="K703" s="99">
        <v>0</v>
      </c>
      <c r="L703" s="165">
        <f>SUM(BabycareRaw[[#This Row],[2022]:[YTD 24]])</f>
        <v>2.7837000000000001</v>
      </c>
    </row>
    <row r="704" spans="1:12" ht="15" customHeight="1" x14ac:dyDescent="0.2">
      <c r="A704" s="27" t="s">
        <v>803</v>
      </c>
      <c r="B704" s="28" t="s">
        <v>5</v>
      </c>
      <c r="C704" s="28"/>
      <c r="D704" s="29"/>
      <c r="E704" s="68"/>
      <c r="F704" s="101">
        <v>632.96190000000001</v>
      </c>
      <c r="G704" s="102">
        <v>529.41039999999998</v>
      </c>
      <c r="H704" s="103">
        <v>262.13749999999999</v>
      </c>
      <c r="I704" s="104">
        <v>36136.764000000003</v>
      </c>
      <c r="J704" s="103">
        <v>28913.011500000001</v>
      </c>
      <c r="K704" s="103">
        <v>13646.2943</v>
      </c>
      <c r="L704" s="169">
        <f>SUM(BabycareRaw[[#This Row],[2022]:[YTD 24]])</f>
        <v>1424.5098</v>
      </c>
    </row>
    <row r="705" spans="1:12" ht="14.25" customHeight="1" x14ac:dyDescent="0.2">
      <c r="A705" s="30" t="s">
        <v>601</v>
      </c>
      <c r="B705" s="31" t="s">
        <v>6</v>
      </c>
      <c r="C705" s="32"/>
      <c r="D705" s="33"/>
      <c r="E705" s="70"/>
      <c r="F705" s="97">
        <v>1.9984999999999999</v>
      </c>
      <c r="G705" s="98">
        <v>3.2300000000000002E-2</v>
      </c>
      <c r="H705" s="99">
        <v>0</v>
      </c>
      <c r="I705" s="100">
        <v>141.71469999999999</v>
      </c>
      <c r="J705" s="99">
        <v>1.9971000000000001</v>
      </c>
      <c r="K705" s="99">
        <v>0</v>
      </c>
      <c r="L705" s="165">
        <f>SUM(BabycareRaw[[#This Row],[2022]:[YTD 24]])</f>
        <v>2.0308000000000002</v>
      </c>
    </row>
    <row r="706" spans="1:12" ht="15" customHeight="1" x14ac:dyDescent="0.2">
      <c r="A706" s="34" t="s">
        <v>602</v>
      </c>
      <c r="B706" s="32" t="s">
        <v>8</v>
      </c>
      <c r="C706" s="32" t="s">
        <v>9</v>
      </c>
      <c r="D706" s="33" t="s">
        <v>20</v>
      </c>
      <c r="E706" s="70" t="s">
        <v>24</v>
      </c>
      <c r="F706" s="97">
        <v>1.9984999999999999</v>
      </c>
      <c r="G706" s="98">
        <v>3.2300000000000002E-2</v>
      </c>
      <c r="H706" s="99">
        <v>0</v>
      </c>
      <c r="I706" s="100">
        <v>141.71469999999999</v>
      </c>
      <c r="J706" s="99">
        <v>1.9971000000000001</v>
      </c>
      <c r="K706" s="99">
        <v>0</v>
      </c>
      <c r="L706" s="165">
        <f>SUM(BabycareRaw[[#This Row],[2022]:[YTD 24]])</f>
        <v>2.0308000000000002</v>
      </c>
    </row>
    <row r="707" spans="1:12" ht="15" customHeight="1" x14ac:dyDescent="0.2">
      <c r="A707" s="30" t="s">
        <v>603</v>
      </c>
      <c r="B707" s="31" t="s">
        <v>6</v>
      </c>
      <c r="C707" s="32"/>
      <c r="D707" s="33"/>
      <c r="E707" s="70"/>
      <c r="F707" s="97">
        <v>306.92559999999997</v>
      </c>
      <c r="G707" s="98">
        <v>309.65649999999999</v>
      </c>
      <c r="H707" s="99">
        <v>149.7295</v>
      </c>
      <c r="I707" s="100">
        <v>16220.671399999999</v>
      </c>
      <c r="J707" s="99">
        <v>15817.5867</v>
      </c>
      <c r="K707" s="99">
        <v>7239.5672999999997</v>
      </c>
      <c r="L707" s="165">
        <f>SUM(BabycareRaw[[#This Row],[2022]:[YTD 24]])</f>
        <v>766.3116</v>
      </c>
    </row>
    <row r="708" spans="1:12" ht="15" customHeight="1" x14ac:dyDescent="0.2">
      <c r="A708" s="34" t="s">
        <v>604</v>
      </c>
      <c r="B708" s="32" t="s">
        <v>8</v>
      </c>
      <c r="C708" s="32" t="s">
        <v>9</v>
      </c>
      <c r="D708" s="33" t="s">
        <v>30</v>
      </c>
      <c r="E708" s="70" t="s">
        <v>21</v>
      </c>
      <c r="F708" s="97">
        <v>136.17420000000001</v>
      </c>
      <c r="G708" s="98">
        <v>152.24180000000001</v>
      </c>
      <c r="H708" s="99">
        <v>70.924899999999994</v>
      </c>
      <c r="I708" s="100">
        <v>7155.8876</v>
      </c>
      <c r="J708" s="99">
        <v>7606.2596000000003</v>
      </c>
      <c r="K708" s="99">
        <v>3236.7058000000002</v>
      </c>
      <c r="L708" s="165">
        <f>SUM(BabycareRaw[[#This Row],[2022]:[YTD 24]])</f>
        <v>359.34090000000003</v>
      </c>
    </row>
    <row r="709" spans="1:12" ht="15" customHeight="1" x14ac:dyDescent="0.2">
      <c r="A709" s="34" t="s">
        <v>605</v>
      </c>
      <c r="B709" s="32" t="s">
        <v>8</v>
      </c>
      <c r="C709" s="32" t="s">
        <v>9</v>
      </c>
      <c r="D709" s="33" t="s">
        <v>20</v>
      </c>
      <c r="E709" s="70" t="s">
        <v>24</v>
      </c>
      <c r="F709" s="97">
        <v>166.38550000000001</v>
      </c>
      <c r="G709" s="98">
        <v>154.19909999999999</v>
      </c>
      <c r="H709" s="99">
        <v>78.409199999999998</v>
      </c>
      <c r="I709" s="100">
        <v>8805.9477000000006</v>
      </c>
      <c r="J709" s="99">
        <v>8032.0802000000003</v>
      </c>
      <c r="K709" s="99">
        <v>3983.7687000000001</v>
      </c>
      <c r="L709" s="165">
        <f>SUM(BabycareRaw[[#This Row],[2022]:[YTD 24]])</f>
        <v>398.99380000000002</v>
      </c>
    </row>
    <row r="710" spans="1:12" ht="15" customHeight="1" x14ac:dyDescent="0.2">
      <c r="A710" s="34" t="s">
        <v>606</v>
      </c>
      <c r="B710" s="32" t="s">
        <v>8</v>
      </c>
      <c r="C710" s="32" t="s">
        <v>9</v>
      </c>
      <c r="D710" s="33" t="s">
        <v>20</v>
      </c>
      <c r="E710" s="70" t="s">
        <v>42</v>
      </c>
      <c r="F710" s="97">
        <v>7.4499999999999997E-2</v>
      </c>
      <c r="G710" s="98">
        <v>0</v>
      </c>
      <c r="H710" s="99">
        <v>0</v>
      </c>
      <c r="I710" s="100">
        <v>5.2851999999999997</v>
      </c>
      <c r="J710" s="99">
        <v>0</v>
      </c>
      <c r="K710" s="99">
        <v>0</v>
      </c>
      <c r="L710" s="165">
        <f>SUM(BabycareRaw[[#This Row],[2022]:[YTD 24]])</f>
        <v>7.4499999999999997E-2</v>
      </c>
    </row>
    <row r="711" spans="1:12" ht="15" customHeight="1" x14ac:dyDescent="0.2">
      <c r="A711" s="34" t="s">
        <v>607</v>
      </c>
      <c r="B711" s="32" t="s">
        <v>8</v>
      </c>
      <c r="C711" s="32" t="s">
        <v>9</v>
      </c>
      <c r="D711" s="33" t="s">
        <v>10</v>
      </c>
      <c r="E711" s="70" t="s">
        <v>42</v>
      </c>
      <c r="F711" s="97">
        <v>4.2912999999999997</v>
      </c>
      <c r="G711" s="98">
        <v>3.2158000000000002</v>
      </c>
      <c r="H711" s="99">
        <v>0.39529999999999998</v>
      </c>
      <c r="I711" s="100">
        <v>253.55109999999999</v>
      </c>
      <c r="J711" s="99">
        <v>179.24690000000001</v>
      </c>
      <c r="K711" s="99">
        <v>19.092600000000001</v>
      </c>
      <c r="L711" s="165">
        <f>SUM(BabycareRaw[[#This Row],[2022]:[YTD 24]])</f>
        <v>7.9023999999999992</v>
      </c>
    </row>
    <row r="712" spans="1:12" ht="15" customHeight="1" x14ac:dyDescent="0.2">
      <c r="A712" s="30" t="s">
        <v>608</v>
      </c>
      <c r="B712" s="31" t="s">
        <v>6</v>
      </c>
      <c r="C712" s="32"/>
      <c r="D712" s="33"/>
      <c r="E712" s="70"/>
      <c r="F712" s="97">
        <v>53.159100000000002</v>
      </c>
      <c r="G712" s="98">
        <v>28.811599999999999</v>
      </c>
      <c r="H712" s="99">
        <v>10.3498</v>
      </c>
      <c r="I712" s="100">
        <v>3425.3593000000001</v>
      </c>
      <c r="J712" s="99">
        <v>1685.9922999999999</v>
      </c>
      <c r="K712" s="99">
        <v>587.04769999999996</v>
      </c>
      <c r="L712" s="165">
        <f>SUM(BabycareRaw[[#This Row],[2022]:[YTD 24]])</f>
        <v>92.320499999999996</v>
      </c>
    </row>
    <row r="713" spans="1:12" ht="15" customHeight="1" x14ac:dyDescent="0.2">
      <c r="A713" s="34" t="s">
        <v>609</v>
      </c>
      <c r="B713" s="32" t="s">
        <v>8</v>
      </c>
      <c r="C713" s="32" t="s">
        <v>9</v>
      </c>
      <c r="D713" s="33" t="s">
        <v>64</v>
      </c>
      <c r="E713" s="70" t="s">
        <v>24</v>
      </c>
      <c r="F713" s="97">
        <v>12.5473</v>
      </c>
      <c r="G713" s="98">
        <v>21.5989</v>
      </c>
      <c r="H713" s="99">
        <v>10.3498</v>
      </c>
      <c r="I713" s="100">
        <v>734.85479999999995</v>
      </c>
      <c r="J713" s="99">
        <v>1234.4389000000001</v>
      </c>
      <c r="K713" s="99">
        <v>587.04769999999996</v>
      </c>
      <c r="L713" s="165">
        <f>SUM(BabycareRaw[[#This Row],[2022]:[YTD 24]])</f>
        <v>44.496000000000002</v>
      </c>
    </row>
    <row r="714" spans="1:12" ht="15" customHeight="1" x14ac:dyDescent="0.2">
      <c r="A714" s="34" t="s">
        <v>610</v>
      </c>
      <c r="B714" s="32" t="s">
        <v>8</v>
      </c>
      <c r="C714" s="32" t="s">
        <v>9</v>
      </c>
      <c r="D714" s="33" t="s">
        <v>64</v>
      </c>
      <c r="E714" s="70" t="s">
        <v>103</v>
      </c>
      <c r="F714" s="97">
        <v>0.68669999999999998</v>
      </c>
      <c r="G714" s="98">
        <v>0</v>
      </c>
      <c r="H714" s="99">
        <v>0</v>
      </c>
      <c r="I714" s="100">
        <v>52.465899999999998</v>
      </c>
      <c r="J714" s="99">
        <v>0</v>
      </c>
      <c r="K714" s="99">
        <v>0</v>
      </c>
      <c r="L714" s="165">
        <f>SUM(BabycareRaw[[#This Row],[2022]:[YTD 24]])</f>
        <v>0.68669999999999998</v>
      </c>
    </row>
    <row r="715" spans="1:12" ht="15" customHeight="1" x14ac:dyDescent="0.2">
      <c r="A715" s="34" t="s">
        <v>611</v>
      </c>
      <c r="B715" s="32" t="s">
        <v>8</v>
      </c>
      <c r="C715" s="32" t="s">
        <v>9</v>
      </c>
      <c r="D715" s="33" t="s">
        <v>20</v>
      </c>
      <c r="E715" s="70" t="s">
        <v>42</v>
      </c>
      <c r="F715" s="97">
        <v>0</v>
      </c>
      <c r="G715" s="98">
        <v>0</v>
      </c>
      <c r="H715" s="99">
        <v>0</v>
      </c>
      <c r="I715" s="100">
        <v>0</v>
      </c>
      <c r="J715" s="99">
        <v>0</v>
      </c>
      <c r="K715" s="99">
        <v>0</v>
      </c>
      <c r="L715" s="165">
        <f>SUM(BabycareRaw[[#This Row],[2022]:[YTD 24]])</f>
        <v>0</v>
      </c>
    </row>
    <row r="716" spans="1:12" ht="15" customHeight="1" x14ac:dyDescent="0.2">
      <c r="A716" s="34" t="s">
        <v>612</v>
      </c>
      <c r="B716" s="32" t="s">
        <v>8</v>
      </c>
      <c r="C716" s="32" t="s">
        <v>9</v>
      </c>
      <c r="D716" s="33" t="s">
        <v>64</v>
      </c>
      <c r="E716" s="70" t="s">
        <v>42</v>
      </c>
      <c r="F716" s="97">
        <v>37.213999999999999</v>
      </c>
      <c r="G716" s="98">
        <v>7.2126999999999999</v>
      </c>
      <c r="H716" s="99">
        <v>0</v>
      </c>
      <c r="I716" s="100">
        <v>2501.2190000000001</v>
      </c>
      <c r="J716" s="99">
        <v>451.55340000000001</v>
      </c>
      <c r="K716" s="99">
        <v>0</v>
      </c>
      <c r="L716" s="165">
        <f>SUM(BabycareRaw[[#This Row],[2022]:[YTD 24]])</f>
        <v>44.426699999999997</v>
      </c>
    </row>
    <row r="717" spans="1:12" ht="15" customHeight="1" x14ac:dyDescent="0.2">
      <c r="A717" s="34" t="s">
        <v>613</v>
      </c>
      <c r="B717" s="32" t="s">
        <v>8</v>
      </c>
      <c r="C717" s="32" t="s">
        <v>9</v>
      </c>
      <c r="D717" s="33" t="s">
        <v>64</v>
      </c>
      <c r="E717" s="70" t="s">
        <v>68</v>
      </c>
      <c r="F717" s="97">
        <v>2.7111999999999998</v>
      </c>
      <c r="G717" s="98">
        <v>0</v>
      </c>
      <c r="H717" s="99">
        <v>0</v>
      </c>
      <c r="I717" s="100">
        <v>136.8194</v>
      </c>
      <c r="J717" s="99">
        <v>0</v>
      </c>
      <c r="K717" s="99">
        <v>0</v>
      </c>
      <c r="L717" s="165">
        <f>SUM(BabycareRaw[[#This Row],[2022]:[YTD 24]])</f>
        <v>2.7111999999999998</v>
      </c>
    </row>
    <row r="718" spans="1:12" ht="15" customHeight="1" x14ac:dyDescent="0.2">
      <c r="A718" s="30" t="s">
        <v>614</v>
      </c>
      <c r="B718" s="31" t="s">
        <v>6</v>
      </c>
      <c r="C718" s="32"/>
      <c r="D718" s="33"/>
      <c r="E718" s="70"/>
      <c r="F718" s="97">
        <v>0</v>
      </c>
      <c r="G718" s="98">
        <v>19.032699999999998</v>
      </c>
      <c r="H718" s="99">
        <v>19.713699999999999</v>
      </c>
      <c r="I718" s="100">
        <v>0</v>
      </c>
      <c r="J718" s="99">
        <v>1111.0531000000001</v>
      </c>
      <c r="K718" s="99">
        <v>1063.3096</v>
      </c>
      <c r="L718" s="165">
        <f>SUM(BabycareRaw[[#This Row],[2022]:[YTD 24]])</f>
        <v>38.746399999999994</v>
      </c>
    </row>
    <row r="719" spans="1:12" ht="15" customHeight="1" x14ac:dyDescent="0.2">
      <c r="A719" s="34" t="s">
        <v>615</v>
      </c>
      <c r="B719" s="32" t="s">
        <v>8</v>
      </c>
      <c r="C719" s="32" t="s">
        <v>9</v>
      </c>
      <c r="D719" s="33" t="s">
        <v>64</v>
      </c>
      <c r="E719" s="70" t="s">
        <v>103</v>
      </c>
      <c r="F719" s="97">
        <v>0</v>
      </c>
      <c r="G719" s="98">
        <v>19.032699999999998</v>
      </c>
      <c r="H719" s="99">
        <v>19.713699999999999</v>
      </c>
      <c r="I719" s="100">
        <v>0</v>
      </c>
      <c r="J719" s="99">
        <v>1111.0531000000001</v>
      </c>
      <c r="K719" s="99">
        <v>1063.3096</v>
      </c>
      <c r="L719" s="165">
        <f>SUM(BabycareRaw[[#This Row],[2022]:[YTD 24]])</f>
        <v>38.746399999999994</v>
      </c>
    </row>
    <row r="720" spans="1:12" ht="15" customHeight="1" x14ac:dyDescent="0.2">
      <c r="A720" s="30" t="s">
        <v>616</v>
      </c>
      <c r="B720" s="31" t="s">
        <v>6</v>
      </c>
      <c r="C720" s="32"/>
      <c r="D720" s="33"/>
      <c r="E720" s="70"/>
      <c r="F720" s="97">
        <v>270.87889999999999</v>
      </c>
      <c r="G720" s="98">
        <v>171.8775</v>
      </c>
      <c r="H720" s="99">
        <v>82.344399999999993</v>
      </c>
      <c r="I720" s="100">
        <v>16349.0191</v>
      </c>
      <c r="J720" s="99">
        <v>10296.382799999999</v>
      </c>
      <c r="K720" s="99">
        <v>4756.37</v>
      </c>
      <c r="L720" s="165">
        <f>SUM(BabycareRaw[[#This Row],[2022]:[YTD 24]])</f>
        <v>525.10079999999994</v>
      </c>
    </row>
    <row r="721" spans="1:12" ht="15" customHeight="1" x14ac:dyDescent="0.2">
      <c r="A721" s="34" t="s">
        <v>617</v>
      </c>
      <c r="B721" s="32" t="s">
        <v>8</v>
      </c>
      <c r="C721" s="32" t="s">
        <v>9</v>
      </c>
      <c r="D721" s="33" t="s">
        <v>30</v>
      </c>
      <c r="E721" s="70" t="s">
        <v>21</v>
      </c>
      <c r="F721" s="97">
        <v>1.0042</v>
      </c>
      <c r="G721" s="98">
        <v>0</v>
      </c>
      <c r="H721" s="99">
        <v>0</v>
      </c>
      <c r="I721" s="100">
        <v>76.638000000000005</v>
      </c>
      <c r="J721" s="99">
        <v>0</v>
      </c>
      <c r="K721" s="99">
        <v>0</v>
      </c>
      <c r="L721" s="165">
        <f>SUM(BabycareRaw[[#This Row],[2022]:[YTD 24]])</f>
        <v>1.0042</v>
      </c>
    </row>
    <row r="722" spans="1:12" ht="15" customHeight="1" x14ac:dyDescent="0.2">
      <c r="A722" s="34" t="s">
        <v>618</v>
      </c>
      <c r="B722" s="32" t="s">
        <v>8</v>
      </c>
      <c r="C722" s="32" t="s">
        <v>9</v>
      </c>
      <c r="D722" s="33" t="s">
        <v>20</v>
      </c>
      <c r="E722" s="70" t="s">
        <v>24</v>
      </c>
      <c r="F722" s="97">
        <v>251.465</v>
      </c>
      <c r="G722" s="98">
        <v>145.75579999999999</v>
      </c>
      <c r="H722" s="99">
        <v>77.822699999999998</v>
      </c>
      <c r="I722" s="100">
        <v>15122.0514</v>
      </c>
      <c r="J722" s="99">
        <v>8717.0684000000001</v>
      </c>
      <c r="K722" s="99">
        <v>4462.7493999999997</v>
      </c>
      <c r="L722" s="165">
        <f>SUM(BabycareRaw[[#This Row],[2022]:[YTD 24]])</f>
        <v>475.04349999999999</v>
      </c>
    </row>
    <row r="723" spans="1:12" ht="15" customHeight="1" x14ac:dyDescent="0.2">
      <c r="A723" s="34" t="s">
        <v>619</v>
      </c>
      <c r="B723" s="32" t="s">
        <v>8</v>
      </c>
      <c r="C723" s="32" t="s">
        <v>9</v>
      </c>
      <c r="D723" s="33" t="s">
        <v>30</v>
      </c>
      <c r="E723" s="70" t="s">
        <v>570</v>
      </c>
      <c r="F723" s="97">
        <v>15.856</v>
      </c>
      <c r="G723" s="98">
        <v>22.015000000000001</v>
      </c>
      <c r="H723" s="99">
        <v>3.4060000000000001</v>
      </c>
      <c r="I723" s="100">
        <v>1023.9475</v>
      </c>
      <c r="J723" s="99">
        <v>1391.8684000000001</v>
      </c>
      <c r="K723" s="99">
        <v>229.50649999999999</v>
      </c>
      <c r="L723" s="165">
        <f>SUM(BabycareRaw[[#This Row],[2022]:[YTD 24]])</f>
        <v>41.277000000000001</v>
      </c>
    </row>
    <row r="724" spans="1:12" ht="15" customHeight="1" x14ac:dyDescent="0.2">
      <c r="A724" s="34" t="s">
        <v>620</v>
      </c>
      <c r="B724" s="32" t="s">
        <v>8</v>
      </c>
      <c r="C724" s="32" t="s">
        <v>9</v>
      </c>
      <c r="D724" s="33" t="s">
        <v>20</v>
      </c>
      <c r="E724" s="70" t="s">
        <v>99</v>
      </c>
      <c r="F724" s="97">
        <v>0</v>
      </c>
      <c r="G724" s="98">
        <v>0</v>
      </c>
      <c r="H724" s="99">
        <v>0.28920000000000001</v>
      </c>
      <c r="I724" s="100">
        <v>0</v>
      </c>
      <c r="J724" s="99">
        <v>0</v>
      </c>
      <c r="K724" s="99">
        <v>17.3521</v>
      </c>
      <c r="L724" s="165">
        <f>SUM(BabycareRaw[[#This Row],[2022]:[YTD 24]])</f>
        <v>0.28920000000000001</v>
      </c>
    </row>
    <row r="725" spans="1:12" ht="15" customHeight="1" x14ac:dyDescent="0.2">
      <c r="A725" s="34" t="s">
        <v>621</v>
      </c>
      <c r="B725" s="32" t="s">
        <v>8</v>
      </c>
      <c r="C725" s="32" t="s">
        <v>9</v>
      </c>
      <c r="D725" s="33" t="s">
        <v>20</v>
      </c>
      <c r="E725" s="70" t="s">
        <v>42</v>
      </c>
      <c r="F725" s="97">
        <v>2.5535999999999999</v>
      </c>
      <c r="G725" s="98">
        <v>3.8500999999999999</v>
      </c>
      <c r="H725" s="99">
        <v>0.82650000000000001</v>
      </c>
      <c r="I725" s="100">
        <v>126.3817</v>
      </c>
      <c r="J725" s="99">
        <v>174.249</v>
      </c>
      <c r="K725" s="99">
        <v>46.762</v>
      </c>
      <c r="L725" s="165">
        <f>SUM(BabycareRaw[[#This Row],[2022]:[YTD 24]])</f>
        <v>7.2302</v>
      </c>
    </row>
    <row r="726" spans="1:12" ht="15" customHeight="1" x14ac:dyDescent="0.2">
      <c r="A726" s="34" t="s">
        <v>622</v>
      </c>
      <c r="B726" s="32" t="s">
        <v>8</v>
      </c>
      <c r="C726" s="32" t="s">
        <v>9</v>
      </c>
      <c r="D726" s="33" t="s">
        <v>20</v>
      </c>
      <c r="E726" s="70" t="s">
        <v>42</v>
      </c>
      <c r="F726" s="97">
        <v>0</v>
      </c>
      <c r="G726" s="98">
        <v>0.25659999999999999</v>
      </c>
      <c r="H726" s="99">
        <v>0</v>
      </c>
      <c r="I726" s="100">
        <v>0</v>
      </c>
      <c r="J726" s="99">
        <v>13.196899999999999</v>
      </c>
      <c r="K726" s="99">
        <v>0</v>
      </c>
      <c r="L726" s="165">
        <f>SUM(BabycareRaw[[#This Row],[2022]:[YTD 24]])</f>
        <v>0.25659999999999999</v>
      </c>
    </row>
    <row r="727" spans="1:12" ht="15" customHeight="1" x14ac:dyDescent="0.2">
      <c r="A727" s="27" t="s">
        <v>804</v>
      </c>
      <c r="B727" s="28" t="s">
        <v>5</v>
      </c>
      <c r="C727" s="28"/>
      <c r="D727" s="29"/>
      <c r="E727" s="68"/>
      <c r="F727" s="101">
        <v>154.93469999999999</v>
      </c>
      <c r="G727" s="102">
        <v>154.98240000000001</v>
      </c>
      <c r="H727" s="103">
        <v>45.514299999999999</v>
      </c>
      <c r="I727" s="104">
        <v>4738.4238999999998</v>
      </c>
      <c r="J727" s="103">
        <v>5792.3320000000003</v>
      </c>
      <c r="K727" s="103">
        <v>1599.6686</v>
      </c>
      <c r="L727" s="169">
        <f>SUM(BabycareRaw[[#This Row],[2022]:[YTD 24]])</f>
        <v>355.4314</v>
      </c>
    </row>
    <row r="728" spans="1:12" ht="14.25" customHeight="1" x14ac:dyDescent="0.2">
      <c r="A728" s="30" t="s">
        <v>623</v>
      </c>
      <c r="B728" s="31" t="s">
        <v>6</v>
      </c>
      <c r="C728" s="32"/>
      <c r="D728" s="33"/>
      <c r="E728" s="70"/>
      <c r="F728" s="97">
        <v>154.93469999999999</v>
      </c>
      <c r="G728" s="98">
        <v>154.98240000000001</v>
      </c>
      <c r="H728" s="99">
        <v>45.514299999999999</v>
      </c>
      <c r="I728" s="100">
        <v>4738.4238999999998</v>
      </c>
      <c r="J728" s="99">
        <v>5792.3320000000003</v>
      </c>
      <c r="K728" s="99">
        <v>1599.6686</v>
      </c>
      <c r="L728" s="165">
        <f>SUM(BabycareRaw[[#This Row],[2022]:[YTD 24]])</f>
        <v>355.4314</v>
      </c>
    </row>
    <row r="729" spans="1:12" ht="15" customHeight="1" x14ac:dyDescent="0.2">
      <c r="A729" s="34" t="s">
        <v>624</v>
      </c>
      <c r="B729" s="32" t="s">
        <v>8</v>
      </c>
      <c r="C729" s="32" t="s">
        <v>9</v>
      </c>
      <c r="D729" s="33" t="s">
        <v>30</v>
      </c>
      <c r="E729" s="70" t="s">
        <v>376</v>
      </c>
      <c r="F729" s="97">
        <v>0</v>
      </c>
      <c r="G729" s="98">
        <v>0.5504</v>
      </c>
      <c r="H729" s="99">
        <v>0.74670000000000003</v>
      </c>
      <c r="I729" s="100">
        <v>0</v>
      </c>
      <c r="J729" s="99">
        <v>6.7556000000000003</v>
      </c>
      <c r="K729" s="99">
        <v>9.0073000000000008</v>
      </c>
      <c r="L729" s="165">
        <f>SUM(BabycareRaw[[#This Row],[2022]:[YTD 24]])</f>
        <v>1.2970999999999999</v>
      </c>
    </row>
    <row r="730" spans="1:12" ht="15" customHeight="1" x14ac:dyDescent="0.2">
      <c r="A730" s="34" t="s">
        <v>625</v>
      </c>
      <c r="B730" s="32" t="s">
        <v>8</v>
      </c>
      <c r="C730" s="32" t="s">
        <v>9</v>
      </c>
      <c r="D730" s="33" t="s">
        <v>30</v>
      </c>
      <c r="E730" s="70" t="s">
        <v>11</v>
      </c>
      <c r="F730" s="97">
        <v>4.7511999999999999</v>
      </c>
      <c r="G730" s="98">
        <v>3.7549000000000001</v>
      </c>
      <c r="H730" s="99">
        <v>1.1405000000000001</v>
      </c>
      <c r="I730" s="100">
        <v>70.328999999999994</v>
      </c>
      <c r="J730" s="99">
        <v>55.465600000000002</v>
      </c>
      <c r="K730" s="99">
        <v>16.475899999999999</v>
      </c>
      <c r="L730" s="165">
        <f>SUM(BabycareRaw[[#This Row],[2022]:[YTD 24]])</f>
        <v>9.6465999999999994</v>
      </c>
    </row>
    <row r="731" spans="1:12" ht="15" customHeight="1" x14ac:dyDescent="0.2">
      <c r="A731" s="34" t="s">
        <v>626</v>
      </c>
      <c r="B731" s="32" t="s">
        <v>8</v>
      </c>
      <c r="C731" s="32" t="s">
        <v>9</v>
      </c>
      <c r="D731" s="33" t="s">
        <v>10</v>
      </c>
      <c r="E731" s="70" t="s">
        <v>11</v>
      </c>
      <c r="F731" s="97">
        <v>1.23E-2</v>
      </c>
      <c r="G731" s="98">
        <v>2.7799999999999998E-2</v>
      </c>
      <c r="H731" s="99">
        <v>0</v>
      </c>
      <c r="I731" s="100">
        <v>0.18</v>
      </c>
      <c r="J731" s="99">
        <v>0.46179999999999999</v>
      </c>
      <c r="K731" s="99">
        <v>0</v>
      </c>
      <c r="L731" s="165">
        <f>SUM(BabycareRaw[[#This Row],[2022]:[YTD 24]])</f>
        <v>4.0099999999999997E-2</v>
      </c>
    </row>
    <row r="732" spans="1:12" ht="15" customHeight="1" x14ac:dyDescent="0.2">
      <c r="A732" s="34" t="s">
        <v>627</v>
      </c>
      <c r="B732" s="32" t="s">
        <v>8</v>
      </c>
      <c r="C732" s="32" t="s">
        <v>9</v>
      </c>
      <c r="D732" s="33" t="s">
        <v>64</v>
      </c>
      <c r="E732" s="70" t="s">
        <v>11</v>
      </c>
      <c r="F732" s="97">
        <v>11.1968</v>
      </c>
      <c r="G732" s="98">
        <v>6.3734000000000002</v>
      </c>
      <c r="H732" s="99">
        <v>1.3038000000000001</v>
      </c>
      <c r="I732" s="100">
        <v>170.3914</v>
      </c>
      <c r="J732" s="99">
        <v>94.576999999999998</v>
      </c>
      <c r="K732" s="99">
        <v>19.252400000000002</v>
      </c>
      <c r="L732" s="165">
        <f>SUM(BabycareRaw[[#This Row],[2022]:[YTD 24]])</f>
        <v>18.873999999999999</v>
      </c>
    </row>
    <row r="733" spans="1:12" ht="15" customHeight="1" x14ac:dyDescent="0.2">
      <c r="A733" s="34" t="s">
        <v>628</v>
      </c>
      <c r="B733" s="32" t="s">
        <v>8</v>
      </c>
      <c r="C733" s="32" t="s">
        <v>9</v>
      </c>
      <c r="D733" s="33" t="s">
        <v>64</v>
      </c>
      <c r="E733" s="70" t="s">
        <v>363</v>
      </c>
      <c r="F733" s="97">
        <v>0</v>
      </c>
      <c r="G733" s="98">
        <v>0.89970000000000006</v>
      </c>
      <c r="H733" s="99">
        <v>2.4813999999999998</v>
      </c>
      <c r="I733" s="100">
        <v>0</v>
      </c>
      <c r="J733" s="99">
        <v>21.057300000000001</v>
      </c>
      <c r="K733" s="99">
        <v>55.505499999999998</v>
      </c>
      <c r="L733" s="165">
        <f>SUM(BabycareRaw[[#This Row],[2022]:[YTD 24]])</f>
        <v>3.3811</v>
      </c>
    </row>
    <row r="734" spans="1:12" ht="15" customHeight="1" x14ac:dyDescent="0.2">
      <c r="A734" s="34" t="s">
        <v>629</v>
      </c>
      <c r="B734" s="32" t="s">
        <v>8</v>
      </c>
      <c r="C734" s="32" t="s">
        <v>9</v>
      </c>
      <c r="D734" s="33" t="s">
        <v>30</v>
      </c>
      <c r="E734" s="70" t="s">
        <v>630</v>
      </c>
      <c r="F734" s="97">
        <v>2.3999999999999998E-3</v>
      </c>
      <c r="G734" s="98">
        <v>0</v>
      </c>
      <c r="H734" s="99">
        <v>0</v>
      </c>
      <c r="I734" s="100">
        <v>5.7000000000000002E-2</v>
      </c>
      <c r="J734" s="99">
        <v>0</v>
      </c>
      <c r="K734" s="99">
        <v>0</v>
      </c>
      <c r="L734" s="165">
        <f>SUM(BabycareRaw[[#This Row],[2022]:[YTD 24]])</f>
        <v>2.3999999999999998E-3</v>
      </c>
    </row>
    <row r="735" spans="1:12" ht="15" customHeight="1" x14ac:dyDescent="0.2">
      <c r="A735" s="34" t="s">
        <v>631</v>
      </c>
      <c r="B735" s="32" t="s">
        <v>8</v>
      </c>
      <c r="C735" s="32" t="s">
        <v>9</v>
      </c>
      <c r="D735" s="33" t="s">
        <v>10</v>
      </c>
      <c r="E735" s="70" t="s">
        <v>37</v>
      </c>
      <c r="F735" s="97">
        <v>0.22650000000000001</v>
      </c>
      <c r="G735" s="98">
        <v>0</v>
      </c>
      <c r="H735" s="99">
        <v>0</v>
      </c>
      <c r="I735" s="100">
        <v>7.2465999999999999</v>
      </c>
      <c r="J735" s="99">
        <v>0</v>
      </c>
      <c r="K735" s="99">
        <v>0</v>
      </c>
      <c r="L735" s="165">
        <f>SUM(BabycareRaw[[#This Row],[2022]:[YTD 24]])</f>
        <v>0.22650000000000001</v>
      </c>
    </row>
    <row r="736" spans="1:12" ht="15" customHeight="1" x14ac:dyDescent="0.2">
      <c r="A736" s="34" t="s">
        <v>632</v>
      </c>
      <c r="B736" s="32" t="s">
        <v>8</v>
      </c>
      <c r="C736" s="32" t="s">
        <v>9</v>
      </c>
      <c r="D736" s="33" t="s">
        <v>20</v>
      </c>
      <c r="E736" s="70" t="s">
        <v>37</v>
      </c>
      <c r="F736" s="97">
        <v>0.74809999999999999</v>
      </c>
      <c r="G736" s="98">
        <v>0</v>
      </c>
      <c r="H736" s="99">
        <v>0</v>
      </c>
      <c r="I736" s="100">
        <v>25.650500000000001</v>
      </c>
      <c r="J736" s="99">
        <v>0</v>
      </c>
      <c r="K736" s="99">
        <v>0</v>
      </c>
      <c r="L736" s="165">
        <f>SUM(BabycareRaw[[#This Row],[2022]:[YTD 24]])</f>
        <v>0.74809999999999999</v>
      </c>
    </row>
    <row r="737" spans="1:12" ht="15" customHeight="1" x14ac:dyDescent="0.2">
      <c r="A737" s="34" t="s">
        <v>633</v>
      </c>
      <c r="B737" s="32" t="s">
        <v>8</v>
      </c>
      <c r="C737" s="32" t="s">
        <v>9</v>
      </c>
      <c r="D737" s="33" t="s">
        <v>20</v>
      </c>
      <c r="E737" s="70" t="s">
        <v>37</v>
      </c>
      <c r="F737" s="97">
        <v>7.1352000000000002</v>
      </c>
      <c r="G737" s="98">
        <v>0.98229999999999995</v>
      </c>
      <c r="H737" s="99">
        <v>0.17499999999999999</v>
      </c>
      <c r="I737" s="100">
        <v>199.79089999999999</v>
      </c>
      <c r="J737" s="99">
        <v>31.398199999999999</v>
      </c>
      <c r="K737" s="99">
        <v>5.5553999999999997</v>
      </c>
      <c r="L737" s="165">
        <f>SUM(BabycareRaw[[#This Row],[2022]:[YTD 24]])</f>
        <v>8.2925000000000004</v>
      </c>
    </row>
    <row r="738" spans="1:12" ht="15" customHeight="1" x14ac:dyDescent="0.2">
      <c r="A738" s="34" t="s">
        <v>634</v>
      </c>
      <c r="B738" s="32" t="s">
        <v>8</v>
      </c>
      <c r="C738" s="32" t="s">
        <v>9</v>
      </c>
      <c r="D738" s="33" t="s">
        <v>20</v>
      </c>
      <c r="E738" s="70" t="s">
        <v>37</v>
      </c>
      <c r="F738" s="97">
        <v>38.636499999999998</v>
      </c>
      <c r="G738" s="98">
        <v>25.403500000000001</v>
      </c>
      <c r="H738" s="99">
        <v>9.4920000000000009</v>
      </c>
      <c r="I738" s="100">
        <v>1064.7156</v>
      </c>
      <c r="J738" s="99">
        <v>712.85350000000005</v>
      </c>
      <c r="K738" s="99">
        <v>244.268</v>
      </c>
      <c r="L738" s="165">
        <f>SUM(BabycareRaw[[#This Row],[2022]:[YTD 24]])</f>
        <v>73.531999999999996</v>
      </c>
    </row>
    <row r="739" spans="1:12" ht="15" customHeight="1" x14ac:dyDescent="0.2">
      <c r="A739" s="34" t="s">
        <v>635</v>
      </c>
      <c r="B739" s="32" t="s">
        <v>8</v>
      </c>
      <c r="C739" s="32" t="s">
        <v>9</v>
      </c>
      <c r="D739" s="33" t="s">
        <v>64</v>
      </c>
      <c r="E739" s="70" t="s">
        <v>37</v>
      </c>
      <c r="F739" s="97">
        <v>0</v>
      </c>
      <c r="G739" s="98">
        <v>0</v>
      </c>
      <c r="H739" s="99">
        <v>0</v>
      </c>
      <c r="I739" s="100">
        <v>0</v>
      </c>
      <c r="J739" s="99">
        <v>0</v>
      </c>
      <c r="K739" s="99">
        <v>0</v>
      </c>
      <c r="L739" s="165">
        <f>SUM(BabycareRaw[[#This Row],[2022]:[YTD 24]])</f>
        <v>0</v>
      </c>
    </row>
    <row r="740" spans="1:12" ht="15" customHeight="1" x14ac:dyDescent="0.2">
      <c r="A740" s="34" t="s">
        <v>636</v>
      </c>
      <c r="B740" s="32" t="s">
        <v>8</v>
      </c>
      <c r="C740" s="32" t="s">
        <v>9</v>
      </c>
      <c r="D740" s="33" t="s">
        <v>64</v>
      </c>
      <c r="E740" s="70" t="s">
        <v>37</v>
      </c>
      <c r="F740" s="97">
        <v>3.0739999999999998</v>
      </c>
      <c r="G740" s="98">
        <v>0.314</v>
      </c>
      <c r="H740" s="99">
        <v>6.4199999999999993E-2</v>
      </c>
      <c r="I740" s="100">
        <v>79.571700000000007</v>
      </c>
      <c r="J740" s="99">
        <v>7.3994999999999997</v>
      </c>
      <c r="K740" s="99">
        <v>1.5809</v>
      </c>
      <c r="L740" s="165">
        <f>SUM(BabycareRaw[[#This Row],[2022]:[YTD 24]])</f>
        <v>3.4521999999999999</v>
      </c>
    </row>
    <row r="741" spans="1:12" ht="15" customHeight="1" x14ac:dyDescent="0.2">
      <c r="A741" s="34" t="s">
        <v>637</v>
      </c>
      <c r="B741" s="32" t="s">
        <v>8</v>
      </c>
      <c r="C741" s="32" t="s">
        <v>9</v>
      </c>
      <c r="D741" s="33" t="s">
        <v>64</v>
      </c>
      <c r="E741" s="70" t="s">
        <v>37</v>
      </c>
      <c r="F741" s="97">
        <v>57.373899999999999</v>
      </c>
      <c r="G741" s="98">
        <v>28.978999999999999</v>
      </c>
      <c r="H741" s="99">
        <v>4.5244999999999997</v>
      </c>
      <c r="I741" s="100">
        <v>1605.2121</v>
      </c>
      <c r="J741" s="99">
        <v>798.29169999999999</v>
      </c>
      <c r="K741" s="99">
        <v>128.11799999999999</v>
      </c>
      <c r="L741" s="165">
        <f>SUM(BabycareRaw[[#This Row],[2022]:[YTD 24]])</f>
        <v>90.877400000000009</v>
      </c>
    </row>
    <row r="742" spans="1:12" ht="15" customHeight="1" x14ac:dyDescent="0.2">
      <c r="A742" s="34" t="s">
        <v>638</v>
      </c>
      <c r="B742" s="32" t="s">
        <v>8</v>
      </c>
      <c r="C742" s="32" t="s">
        <v>9</v>
      </c>
      <c r="D742" s="33" t="s">
        <v>30</v>
      </c>
      <c r="E742" s="70" t="s">
        <v>42</v>
      </c>
      <c r="F742" s="97">
        <v>0.84319999999999995</v>
      </c>
      <c r="G742" s="98">
        <v>0</v>
      </c>
      <c r="H742" s="99">
        <v>0</v>
      </c>
      <c r="I742" s="100">
        <v>38.896500000000003</v>
      </c>
      <c r="J742" s="99">
        <v>0</v>
      </c>
      <c r="K742" s="99">
        <v>0</v>
      </c>
      <c r="L742" s="165">
        <f>SUM(BabycareRaw[[#This Row],[2022]:[YTD 24]])</f>
        <v>0.84319999999999995</v>
      </c>
    </row>
    <row r="743" spans="1:12" ht="15" customHeight="1" x14ac:dyDescent="0.2">
      <c r="A743" s="34" t="s">
        <v>639</v>
      </c>
      <c r="B743" s="32" t="s">
        <v>8</v>
      </c>
      <c r="C743" s="32" t="s">
        <v>9</v>
      </c>
      <c r="D743" s="33" t="s">
        <v>30</v>
      </c>
      <c r="E743" s="70" t="s">
        <v>640</v>
      </c>
      <c r="F743" s="97">
        <v>0.32700000000000001</v>
      </c>
      <c r="G743" s="98">
        <v>7.9399999999999998E-2</v>
      </c>
      <c r="H743" s="99">
        <v>0</v>
      </c>
      <c r="I743" s="100">
        <v>8.1380999999999997</v>
      </c>
      <c r="J743" s="99">
        <v>2.0009000000000001</v>
      </c>
      <c r="K743" s="99">
        <v>0</v>
      </c>
      <c r="L743" s="165">
        <f>SUM(BabycareRaw[[#This Row],[2022]:[YTD 24]])</f>
        <v>0.40639999999999998</v>
      </c>
    </row>
    <row r="744" spans="1:12" ht="15" customHeight="1" x14ac:dyDescent="0.2">
      <c r="A744" s="34" t="s">
        <v>641</v>
      </c>
      <c r="B744" s="32" t="s">
        <v>8</v>
      </c>
      <c r="C744" s="32" t="s">
        <v>9</v>
      </c>
      <c r="D744" s="33" t="s">
        <v>30</v>
      </c>
      <c r="E744" s="70" t="s">
        <v>17</v>
      </c>
      <c r="F744" s="97">
        <v>30.607399999999998</v>
      </c>
      <c r="G744" s="98">
        <v>87.617999999999995</v>
      </c>
      <c r="H744" s="99">
        <v>25.586099999999998</v>
      </c>
      <c r="I744" s="100">
        <v>1468.2443000000001</v>
      </c>
      <c r="J744" s="99">
        <v>4062.0709999999999</v>
      </c>
      <c r="K744" s="99">
        <v>1119.9051999999999</v>
      </c>
      <c r="L744" s="165">
        <f>SUM(BabycareRaw[[#This Row],[2022]:[YTD 24]])</f>
        <v>143.8115</v>
      </c>
    </row>
    <row r="745" spans="1:12" ht="15" customHeight="1" x14ac:dyDescent="0.2">
      <c r="A745" s="27" t="s">
        <v>805</v>
      </c>
      <c r="B745" s="28" t="s">
        <v>5</v>
      </c>
      <c r="C745" s="28"/>
      <c r="D745" s="29"/>
      <c r="E745" s="68"/>
      <c r="F745" s="101">
        <v>466.315</v>
      </c>
      <c r="G745" s="102">
        <v>321.99369999999999</v>
      </c>
      <c r="H745" s="103">
        <v>119.931</v>
      </c>
      <c r="I745" s="104">
        <v>27928.0566</v>
      </c>
      <c r="J745" s="103">
        <v>19049.5026</v>
      </c>
      <c r="K745" s="103">
        <v>6464.4501</v>
      </c>
      <c r="L745" s="169">
        <f>SUM(BabycareRaw[[#This Row],[2022]:[YTD 24]])</f>
        <v>908.23970000000008</v>
      </c>
    </row>
    <row r="746" spans="1:12" ht="14.25" customHeight="1" x14ac:dyDescent="0.2">
      <c r="A746" s="30" t="s">
        <v>642</v>
      </c>
      <c r="B746" s="31" t="s">
        <v>6</v>
      </c>
      <c r="C746" s="32"/>
      <c r="D746" s="33"/>
      <c r="E746" s="70"/>
      <c r="F746" s="97">
        <v>0.26200000000000001</v>
      </c>
      <c r="G746" s="98">
        <v>0.1656</v>
      </c>
      <c r="H746" s="99">
        <v>0</v>
      </c>
      <c r="I746" s="100">
        <v>18.860299999999999</v>
      </c>
      <c r="J746" s="99">
        <v>11.920500000000001</v>
      </c>
      <c r="K746" s="99">
        <v>0</v>
      </c>
      <c r="L746" s="165">
        <f>SUM(BabycareRaw[[#This Row],[2022]:[YTD 24]])</f>
        <v>0.42759999999999998</v>
      </c>
    </row>
    <row r="747" spans="1:12" ht="15" customHeight="1" x14ac:dyDescent="0.2">
      <c r="A747" s="34" t="s">
        <v>643</v>
      </c>
      <c r="B747" s="32" t="s">
        <v>8</v>
      </c>
      <c r="C747" s="32" t="s">
        <v>9</v>
      </c>
      <c r="D747" s="33" t="s">
        <v>20</v>
      </c>
      <c r="E747" s="70" t="s">
        <v>42</v>
      </c>
      <c r="F747" s="97">
        <v>0.26200000000000001</v>
      </c>
      <c r="G747" s="98">
        <v>0.1656</v>
      </c>
      <c r="H747" s="99">
        <v>0</v>
      </c>
      <c r="I747" s="100">
        <v>18.860299999999999</v>
      </c>
      <c r="J747" s="99">
        <v>11.920500000000001</v>
      </c>
      <c r="K747" s="99">
        <v>0</v>
      </c>
      <c r="L747" s="165">
        <f>SUM(BabycareRaw[[#This Row],[2022]:[YTD 24]])</f>
        <v>0.42759999999999998</v>
      </c>
    </row>
    <row r="748" spans="1:12" ht="15" customHeight="1" x14ac:dyDescent="0.2">
      <c r="A748" s="30" t="s">
        <v>644</v>
      </c>
      <c r="B748" s="31" t="s">
        <v>6</v>
      </c>
      <c r="C748" s="32"/>
      <c r="D748" s="33"/>
      <c r="E748" s="70"/>
      <c r="F748" s="97">
        <v>8.2482000000000006</v>
      </c>
      <c r="G748" s="98">
        <v>0.97330000000000005</v>
      </c>
      <c r="H748" s="99">
        <v>0</v>
      </c>
      <c r="I748" s="100">
        <v>505.78250000000003</v>
      </c>
      <c r="J748" s="99">
        <v>58.400799999999997</v>
      </c>
      <c r="K748" s="99">
        <v>0</v>
      </c>
      <c r="L748" s="165">
        <f>SUM(BabycareRaw[[#This Row],[2022]:[YTD 24]])</f>
        <v>9.2215000000000007</v>
      </c>
    </row>
    <row r="749" spans="1:12" ht="15" customHeight="1" x14ac:dyDescent="0.2">
      <c r="A749" s="34" t="s">
        <v>645</v>
      </c>
      <c r="B749" s="32" t="s">
        <v>8</v>
      </c>
      <c r="C749" s="32" t="s">
        <v>9</v>
      </c>
      <c r="D749" s="33" t="s">
        <v>64</v>
      </c>
      <c r="E749" s="70" t="s">
        <v>24</v>
      </c>
      <c r="F749" s="97">
        <v>8.2482000000000006</v>
      </c>
      <c r="G749" s="98">
        <v>0.97330000000000005</v>
      </c>
      <c r="H749" s="99">
        <v>0</v>
      </c>
      <c r="I749" s="100">
        <v>505.78250000000003</v>
      </c>
      <c r="J749" s="99">
        <v>58.400799999999997</v>
      </c>
      <c r="K749" s="99">
        <v>0</v>
      </c>
      <c r="L749" s="165">
        <f>SUM(BabycareRaw[[#This Row],[2022]:[YTD 24]])</f>
        <v>9.2215000000000007</v>
      </c>
    </row>
    <row r="750" spans="1:12" ht="15" customHeight="1" x14ac:dyDescent="0.2">
      <c r="A750" s="34" t="s">
        <v>646</v>
      </c>
      <c r="B750" s="32" t="s">
        <v>8</v>
      </c>
      <c r="C750" s="32" t="s">
        <v>9</v>
      </c>
      <c r="D750" s="33" t="s">
        <v>64</v>
      </c>
      <c r="E750" s="70" t="s">
        <v>42</v>
      </c>
      <c r="F750" s="97">
        <v>0</v>
      </c>
      <c r="G750" s="98">
        <v>0</v>
      </c>
      <c r="H750" s="99">
        <v>0</v>
      </c>
      <c r="I750" s="100">
        <v>0</v>
      </c>
      <c r="J750" s="99">
        <v>0</v>
      </c>
      <c r="K750" s="99">
        <v>0</v>
      </c>
      <c r="L750" s="165">
        <f>SUM(BabycareRaw[[#This Row],[2022]:[YTD 24]])</f>
        <v>0</v>
      </c>
    </row>
    <row r="751" spans="1:12" ht="15" customHeight="1" x14ac:dyDescent="0.2">
      <c r="A751" s="34" t="s">
        <v>647</v>
      </c>
      <c r="B751" s="32" t="s">
        <v>8</v>
      </c>
      <c r="C751" s="32" t="s">
        <v>9</v>
      </c>
      <c r="D751" s="33" t="s">
        <v>64</v>
      </c>
      <c r="E751" s="70" t="s">
        <v>42</v>
      </c>
      <c r="F751" s="97">
        <v>0</v>
      </c>
      <c r="G751" s="98">
        <v>0</v>
      </c>
      <c r="H751" s="99">
        <v>0</v>
      </c>
      <c r="I751" s="100">
        <v>0</v>
      </c>
      <c r="J751" s="99">
        <v>0</v>
      </c>
      <c r="K751" s="99">
        <v>0</v>
      </c>
      <c r="L751" s="165">
        <f>SUM(BabycareRaw[[#This Row],[2022]:[YTD 24]])</f>
        <v>0</v>
      </c>
    </row>
    <row r="752" spans="1:12" ht="15" customHeight="1" x14ac:dyDescent="0.2">
      <c r="A752" s="30" t="s">
        <v>648</v>
      </c>
      <c r="B752" s="31" t="s">
        <v>6</v>
      </c>
      <c r="C752" s="32"/>
      <c r="D752" s="33"/>
      <c r="E752" s="70"/>
      <c r="F752" s="97">
        <v>0</v>
      </c>
      <c r="G752" s="98">
        <v>0</v>
      </c>
      <c r="H752" s="99">
        <v>0</v>
      </c>
      <c r="I752" s="100">
        <v>0</v>
      </c>
      <c r="J752" s="99">
        <v>0</v>
      </c>
      <c r="K752" s="99">
        <v>0</v>
      </c>
      <c r="L752" s="165">
        <f>SUM(BabycareRaw[[#This Row],[2022]:[YTD 24]])</f>
        <v>0</v>
      </c>
    </row>
    <row r="753" spans="1:12" ht="15" customHeight="1" x14ac:dyDescent="0.2">
      <c r="A753" s="34" t="s">
        <v>649</v>
      </c>
      <c r="B753" s="32" t="s">
        <v>8</v>
      </c>
      <c r="C753" s="32" t="s">
        <v>9</v>
      </c>
      <c r="D753" s="33" t="s">
        <v>30</v>
      </c>
      <c r="E753" s="70" t="s">
        <v>21</v>
      </c>
      <c r="F753" s="97">
        <v>0</v>
      </c>
      <c r="G753" s="98">
        <v>0</v>
      </c>
      <c r="H753" s="99">
        <v>0</v>
      </c>
      <c r="I753" s="100">
        <v>0</v>
      </c>
      <c r="J753" s="99">
        <v>0</v>
      </c>
      <c r="K753" s="99">
        <v>0</v>
      </c>
      <c r="L753" s="165">
        <f>SUM(BabycareRaw[[#This Row],[2022]:[YTD 24]])</f>
        <v>0</v>
      </c>
    </row>
    <row r="754" spans="1:12" ht="15" customHeight="1" x14ac:dyDescent="0.2">
      <c r="A754" s="30" t="s">
        <v>650</v>
      </c>
      <c r="B754" s="31" t="s">
        <v>6</v>
      </c>
      <c r="C754" s="32"/>
      <c r="D754" s="33"/>
      <c r="E754" s="70"/>
      <c r="F754" s="97">
        <v>0</v>
      </c>
      <c r="G754" s="98">
        <v>0</v>
      </c>
      <c r="H754" s="99">
        <v>0</v>
      </c>
      <c r="I754" s="100">
        <v>0</v>
      </c>
      <c r="J754" s="99">
        <v>0</v>
      </c>
      <c r="K754" s="99">
        <v>0</v>
      </c>
      <c r="L754" s="165">
        <f>SUM(BabycareRaw[[#This Row],[2022]:[YTD 24]])</f>
        <v>0</v>
      </c>
    </row>
    <row r="755" spans="1:12" ht="15" customHeight="1" x14ac:dyDescent="0.2">
      <c r="A755" s="34" t="s">
        <v>651</v>
      </c>
      <c r="B755" s="32" t="s">
        <v>8</v>
      </c>
      <c r="C755" s="32" t="s">
        <v>9</v>
      </c>
      <c r="D755" s="33" t="s">
        <v>20</v>
      </c>
      <c r="E755" s="70" t="s">
        <v>42</v>
      </c>
      <c r="F755" s="97">
        <v>0</v>
      </c>
      <c r="G755" s="98">
        <v>0</v>
      </c>
      <c r="H755" s="99">
        <v>0</v>
      </c>
      <c r="I755" s="100">
        <v>0</v>
      </c>
      <c r="J755" s="99">
        <v>0</v>
      </c>
      <c r="K755" s="99">
        <v>0</v>
      </c>
      <c r="L755" s="165">
        <f>SUM(BabycareRaw[[#This Row],[2022]:[YTD 24]])</f>
        <v>0</v>
      </c>
    </row>
    <row r="756" spans="1:12" ht="15" customHeight="1" x14ac:dyDescent="0.2">
      <c r="A756" s="30" t="s">
        <v>652</v>
      </c>
      <c r="B756" s="31" t="s">
        <v>6</v>
      </c>
      <c r="C756" s="32"/>
      <c r="D756" s="33"/>
      <c r="E756" s="70"/>
      <c r="F756" s="97">
        <v>5.7763</v>
      </c>
      <c r="G756" s="98">
        <v>9.2917000000000005</v>
      </c>
      <c r="H756" s="99">
        <v>0.95250000000000001</v>
      </c>
      <c r="I756" s="100">
        <v>311.05720000000002</v>
      </c>
      <c r="J756" s="99">
        <v>539.97619999999995</v>
      </c>
      <c r="K756" s="99">
        <v>61.781700000000001</v>
      </c>
      <c r="L756" s="165">
        <f>SUM(BabycareRaw[[#This Row],[2022]:[YTD 24]])</f>
        <v>16.020500000000002</v>
      </c>
    </row>
    <row r="757" spans="1:12" ht="15" customHeight="1" x14ac:dyDescent="0.2">
      <c r="A757" s="34" t="s">
        <v>653</v>
      </c>
      <c r="B757" s="32" t="s">
        <v>8</v>
      </c>
      <c r="C757" s="32" t="s">
        <v>9</v>
      </c>
      <c r="D757" s="33" t="s">
        <v>30</v>
      </c>
      <c r="E757" s="70" t="s">
        <v>24</v>
      </c>
      <c r="F757" s="97">
        <v>5.7763</v>
      </c>
      <c r="G757" s="98">
        <v>9.2917000000000005</v>
      </c>
      <c r="H757" s="99">
        <v>0.95250000000000001</v>
      </c>
      <c r="I757" s="100">
        <v>311.05720000000002</v>
      </c>
      <c r="J757" s="99">
        <v>539.97619999999995</v>
      </c>
      <c r="K757" s="99">
        <v>61.781700000000001</v>
      </c>
      <c r="L757" s="165">
        <f>SUM(BabycareRaw[[#This Row],[2022]:[YTD 24]])</f>
        <v>16.020500000000002</v>
      </c>
    </row>
    <row r="758" spans="1:12" ht="15" customHeight="1" x14ac:dyDescent="0.2">
      <c r="A758" s="30" t="s">
        <v>654</v>
      </c>
      <c r="B758" s="31" t="s">
        <v>6</v>
      </c>
      <c r="C758" s="32"/>
      <c r="D758" s="33"/>
      <c r="E758" s="70"/>
      <c r="F758" s="97">
        <v>55.783799999999999</v>
      </c>
      <c r="G758" s="98">
        <v>57.806899999999999</v>
      </c>
      <c r="H758" s="99">
        <v>19.850100000000001</v>
      </c>
      <c r="I758" s="100">
        <v>3648.0401999999999</v>
      </c>
      <c r="J758" s="99">
        <v>4041.2568000000001</v>
      </c>
      <c r="K758" s="99">
        <v>1253.7541000000001</v>
      </c>
      <c r="L758" s="165">
        <f>SUM(BabycareRaw[[#This Row],[2022]:[YTD 24]])</f>
        <v>133.4408</v>
      </c>
    </row>
    <row r="759" spans="1:12" ht="15" customHeight="1" x14ac:dyDescent="0.2">
      <c r="A759" s="34" t="s">
        <v>655</v>
      </c>
      <c r="B759" s="32" t="s">
        <v>8</v>
      </c>
      <c r="C759" s="32" t="s">
        <v>9</v>
      </c>
      <c r="D759" s="33" t="s">
        <v>20</v>
      </c>
      <c r="E759" s="70" t="s">
        <v>21</v>
      </c>
      <c r="F759" s="97">
        <v>55.7286</v>
      </c>
      <c r="G759" s="98">
        <v>53.311300000000003</v>
      </c>
      <c r="H759" s="99">
        <v>19.850100000000001</v>
      </c>
      <c r="I759" s="100">
        <v>3644.6801999999998</v>
      </c>
      <c r="J759" s="99">
        <v>3675.9913999999999</v>
      </c>
      <c r="K759" s="99">
        <v>1253.7541000000001</v>
      </c>
      <c r="L759" s="165">
        <f>SUM(BabycareRaw[[#This Row],[2022]:[YTD 24]])</f>
        <v>128.89000000000001</v>
      </c>
    </row>
    <row r="760" spans="1:12" ht="15" customHeight="1" x14ac:dyDescent="0.2">
      <c r="A760" s="34" t="s">
        <v>656</v>
      </c>
      <c r="B760" s="32" t="s">
        <v>8</v>
      </c>
      <c r="C760" s="32" t="s">
        <v>9</v>
      </c>
      <c r="D760" s="33" t="s">
        <v>30</v>
      </c>
      <c r="E760" s="70" t="s">
        <v>24</v>
      </c>
      <c r="F760" s="97">
        <v>0</v>
      </c>
      <c r="G760" s="98">
        <v>4.4955999999999996</v>
      </c>
      <c r="H760" s="99">
        <v>0</v>
      </c>
      <c r="I760" s="100">
        <v>0</v>
      </c>
      <c r="J760" s="99">
        <v>365.2654</v>
      </c>
      <c r="K760" s="99">
        <v>0</v>
      </c>
      <c r="L760" s="165">
        <f>SUM(BabycareRaw[[#This Row],[2022]:[YTD 24]])</f>
        <v>4.4955999999999996</v>
      </c>
    </row>
    <row r="761" spans="1:12" ht="15" customHeight="1" x14ac:dyDescent="0.2">
      <c r="A761" s="34" t="s">
        <v>657</v>
      </c>
      <c r="B761" s="32" t="s">
        <v>8</v>
      </c>
      <c r="C761" s="32" t="s">
        <v>9</v>
      </c>
      <c r="D761" s="33" t="s">
        <v>20</v>
      </c>
      <c r="E761" s="70" t="s">
        <v>103</v>
      </c>
      <c r="F761" s="97">
        <v>5.5199999999999999E-2</v>
      </c>
      <c r="G761" s="98">
        <v>0</v>
      </c>
      <c r="H761" s="99">
        <v>0</v>
      </c>
      <c r="I761" s="100">
        <v>3.36</v>
      </c>
      <c r="J761" s="99">
        <v>0</v>
      </c>
      <c r="K761" s="99">
        <v>0</v>
      </c>
      <c r="L761" s="165">
        <f>SUM(BabycareRaw[[#This Row],[2022]:[YTD 24]])</f>
        <v>5.5199999999999999E-2</v>
      </c>
    </row>
    <row r="762" spans="1:12" ht="15" customHeight="1" x14ac:dyDescent="0.2">
      <c r="A762" s="30" t="s">
        <v>658</v>
      </c>
      <c r="B762" s="31" t="s">
        <v>6</v>
      </c>
      <c r="C762" s="32"/>
      <c r="D762" s="33"/>
      <c r="E762" s="70"/>
      <c r="F762" s="97">
        <v>396.2448</v>
      </c>
      <c r="G762" s="98">
        <v>253.72479999999999</v>
      </c>
      <c r="H762" s="99">
        <v>99.128500000000003</v>
      </c>
      <c r="I762" s="100">
        <v>23444.316599999998</v>
      </c>
      <c r="J762" s="99">
        <v>14396.6903</v>
      </c>
      <c r="K762" s="99">
        <v>5148.9142000000002</v>
      </c>
      <c r="L762" s="165">
        <f>SUM(BabycareRaw[[#This Row],[2022]:[YTD 24]])</f>
        <v>749.09810000000004</v>
      </c>
    </row>
    <row r="763" spans="1:12" ht="15" customHeight="1" x14ac:dyDescent="0.2">
      <c r="A763" s="34" t="s">
        <v>659</v>
      </c>
      <c r="B763" s="32" t="s">
        <v>8</v>
      </c>
      <c r="C763" s="32" t="s">
        <v>9</v>
      </c>
      <c r="D763" s="33" t="s">
        <v>20</v>
      </c>
      <c r="E763" s="70" t="s">
        <v>24</v>
      </c>
      <c r="F763" s="97">
        <v>5.3959999999999999</v>
      </c>
      <c r="G763" s="98">
        <v>7.0095999999999998</v>
      </c>
      <c r="H763" s="99">
        <v>3.0608</v>
      </c>
      <c r="I763" s="100">
        <v>290.08819999999997</v>
      </c>
      <c r="J763" s="99">
        <v>393.84969999999998</v>
      </c>
      <c r="K763" s="99">
        <v>158.0343</v>
      </c>
      <c r="L763" s="165">
        <f>SUM(BabycareRaw[[#This Row],[2022]:[YTD 24]])</f>
        <v>15.4664</v>
      </c>
    </row>
    <row r="764" spans="1:12" ht="15" customHeight="1" x14ac:dyDescent="0.2">
      <c r="A764" s="34" t="s">
        <v>660</v>
      </c>
      <c r="B764" s="32" t="s">
        <v>8</v>
      </c>
      <c r="C764" s="32" t="s">
        <v>9</v>
      </c>
      <c r="D764" s="33" t="s">
        <v>30</v>
      </c>
      <c r="E764" s="70" t="s">
        <v>661</v>
      </c>
      <c r="F764" s="97">
        <v>39.775100000000002</v>
      </c>
      <c r="G764" s="98">
        <v>29.160399999999999</v>
      </c>
      <c r="H764" s="99">
        <v>6.0876999999999999</v>
      </c>
      <c r="I764" s="100">
        <v>2342.4566</v>
      </c>
      <c r="J764" s="99">
        <v>1534.7882999999999</v>
      </c>
      <c r="K764" s="99">
        <v>287.5865</v>
      </c>
      <c r="L764" s="165">
        <f>SUM(BabycareRaw[[#This Row],[2022]:[YTD 24]])</f>
        <v>75.023200000000003</v>
      </c>
    </row>
    <row r="765" spans="1:12" ht="15" customHeight="1" x14ac:dyDescent="0.2">
      <c r="A765" s="34" t="s">
        <v>662</v>
      </c>
      <c r="B765" s="32" t="s">
        <v>8</v>
      </c>
      <c r="C765" s="32" t="s">
        <v>9</v>
      </c>
      <c r="D765" s="33" t="s">
        <v>20</v>
      </c>
      <c r="E765" s="70" t="s">
        <v>42</v>
      </c>
      <c r="F765" s="97">
        <v>73.361099999999993</v>
      </c>
      <c r="G765" s="98">
        <v>57.603700000000003</v>
      </c>
      <c r="H765" s="99">
        <v>12.2355</v>
      </c>
      <c r="I765" s="100">
        <v>4307.2969000000003</v>
      </c>
      <c r="J765" s="99">
        <v>3235.6705999999999</v>
      </c>
      <c r="K765" s="99">
        <v>650.06870000000004</v>
      </c>
      <c r="L765" s="165">
        <f>SUM(BabycareRaw[[#This Row],[2022]:[YTD 24]])</f>
        <v>143.2003</v>
      </c>
    </row>
    <row r="766" spans="1:12" ht="15" customHeight="1" x14ac:dyDescent="0.2">
      <c r="A766" s="34" t="s">
        <v>663</v>
      </c>
      <c r="B766" s="32" t="s">
        <v>8</v>
      </c>
      <c r="C766" s="32" t="s">
        <v>9</v>
      </c>
      <c r="D766" s="33" t="s">
        <v>20</v>
      </c>
      <c r="E766" s="70" t="s">
        <v>42</v>
      </c>
      <c r="F766" s="97">
        <v>7.6637000000000004</v>
      </c>
      <c r="G766" s="98">
        <v>5.7187999999999999</v>
      </c>
      <c r="H766" s="99">
        <v>3.4293999999999998</v>
      </c>
      <c r="I766" s="100">
        <v>412.75630000000001</v>
      </c>
      <c r="J766" s="99">
        <v>314.68810000000002</v>
      </c>
      <c r="K766" s="99">
        <v>185.42320000000001</v>
      </c>
      <c r="L766" s="165">
        <f>SUM(BabycareRaw[[#This Row],[2022]:[YTD 24]])</f>
        <v>16.811900000000001</v>
      </c>
    </row>
    <row r="767" spans="1:12" ht="15" customHeight="1" x14ac:dyDescent="0.2">
      <c r="A767" s="34" t="s">
        <v>664</v>
      </c>
      <c r="B767" s="32" t="s">
        <v>8</v>
      </c>
      <c r="C767" s="32" t="s">
        <v>9</v>
      </c>
      <c r="D767" s="33" t="s">
        <v>20</v>
      </c>
      <c r="E767" s="70" t="s">
        <v>42</v>
      </c>
      <c r="F767" s="97">
        <v>97.800700000000006</v>
      </c>
      <c r="G767" s="98">
        <v>61.680799999999998</v>
      </c>
      <c r="H767" s="99">
        <v>23.825800000000001</v>
      </c>
      <c r="I767" s="100">
        <v>4426.3535000000002</v>
      </c>
      <c r="J767" s="99">
        <v>2861.6763999999998</v>
      </c>
      <c r="K767" s="99">
        <v>975.65369999999996</v>
      </c>
      <c r="L767" s="165">
        <f>SUM(BabycareRaw[[#This Row],[2022]:[YTD 24]])</f>
        <v>183.3073</v>
      </c>
    </row>
    <row r="768" spans="1:12" ht="15" customHeight="1" x14ac:dyDescent="0.2">
      <c r="A768" s="34" t="s">
        <v>665</v>
      </c>
      <c r="B768" s="32" t="s">
        <v>8</v>
      </c>
      <c r="C768" s="32" t="s">
        <v>9</v>
      </c>
      <c r="D768" s="33" t="s">
        <v>20</v>
      </c>
      <c r="E768" s="70" t="s">
        <v>17</v>
      </c>
      <c r="F768" s="97">
        <v>137.74010000000001</v>
      </c>
      <c r="G768" s="98">
        <v>71.2029</v>
      </c>
      <c r="H768" s="99">
        <v>36.735799999999998</v>
      </c>
      <c r="I768" s="100">
        <v>9592.0316999999995</v>
      </c>
      <c r="J768" s="99">
        <v>4713.7775000000001</v>
      </c>
      <c r="K768" s="99">
        <v>2155.8667</v>
      </c>
      <c r="L768" s="165">
        <f>SUM(BabycareRaw[[#This Row],[2022]:[YTD 24]])</f>
        <v>245.67880000000002</v>
      </c>
    </row>
    <row r="769" spans="1:12" ht="15" customHeight="1" x14ac:dyDescent="0.2">
      <c r="A769" s="34" t="s">
        <v>666</v>
      </c>
      <c r="B769" s="32" t="s">
        <v>8</v>
      </c>
      <c r="C769" s="32" t="s">
        <v>9</v>
      </c>
      <c r="D769" s="33" t="s">
        <v>30</v>
      </c>
      <c r="E769" s="70" t="s">
        <v>17</v>
      </c>
      <c r="F769" s="97">
        <v>34.508099999999999</v>
      </c>
      <c r="G769" s="98">
        <v>21.348800000000001</v>
      </c>
      <c r="H769" s="99">
        <v>13.753299999999999</v>
      </c>
      <c r="I769" s="100">
        <v>2073.3334</v>
      </c>
      <c r="J769" s="99">
        <v>1342.2397000000001</v>
      </c>
      <c r="K769" s="99">
        <v>736.28099999999995</v>
      </c>
      <c r="L769" s="165">
        <f>SUM(BabycareRaw[[#This Row],[2022]:[YTD 24]])</f>
        <v>69.610199999999992</v>
      </c>
    </row>
    <row r="770" spans="1:12" ht="15" customHeight="1" x14ac:dyDescent="0.2">
      <c r="A770" s="30" t="s">
        <v>667</v>
      </c>
      <c r="B770" s="31" t="s">
        <v>6</v>
      </c>
      <c r="C770" s="32"/>
      <c r="D770" s="33"/>
      <c r="E770" s="70"/>
      <c r="F770" s="97">
        <v>0</v>
      </c>
      <c r="G770" s="98">
        <v>0</v>
      </c>
      <c r="H770" s="99">
        <v>0</v>
      </c>
      <c r="I770" s="100">
        <v>0</v>
      </c>
      <c r="J770" s="99">
        <v>0</v>
      </c>
      <c r="K770" s="99">
        <v>0</v>
      </c>
      <c r="L770" s="165">
        <f>SUM(BabycareRaw[[#This Row],[2022]:[YTD 24]])</f>
        <v>0</v>
      </c>
    </row>
    <row r="771" spans="1:12" ht="15" customHeight="1" x14ac:dyDescent="0.2">
      <c r="A771" s="34" t="s">
        <v>668</v>
      </c>
      <c r="B771" s="32" t="s">
        <v>8</v>
      </c>
      <c r="C771" s="32" t="s">
        <v>9</v>
      </c>
      <c r="D771" s="33" t="s">
        <v>20</v>
      </c>
      <c r="E771" s="70" t="s">
        <v>42</v>
      </c>
      <c r="F771" s="97">
        <v>0</v>
      </c>
      <c r="G771" s="98">
        <v>0</v>
      </c>
      <c r="H771" s="99">
        <v>0</v>
      </c>
      <c r="I771" s="100">
        <v>0</v>
      </c>
      <c r="J771" s="99">
        <v>0</v>
      </c>
      <c r="K771" s="99">
        <v>0</v>
      </c>
      <c r="L771" s="165">
        <f>SUM(BabycareRaw[[#This Row],[2022]:[YTD 24]])</f>
        <v>0</v>
      </c>
    </row>
    <row r="772" spans="1:12" ht="15" customHeight="1" x14ac:dyDescent="0.2">
      <c r="A772" s="30" t="s">
        <v>669</v>
      </c>
      <c r="B772" s="31" t="s">
        <v>6</v>
      </c>
      <c r="C772" s="32"/>
      <c r="D772" s="33"/>
      <c r="E772" s="70"/>
      <c r="F772" s="97">
        <v>0</v>
      </c>
      <c r="G772" s="98">
        <v>3.1300000000000001E-2</v>
      </c>
      <c r="H772" s="99">
        <v>0</v>
      </c>
      <c r="I772" s="100">
        <v>0</v>
      </c>
      <c r="J772" s="99">
        <v>1.2579</v>
      </c>
      <c r="K772" s="99">
        <v>0</v>
      </c>
      <c r="L772" s="165">
        <f>SUM(BabycareRaw[[#This Row],[2022]:[YTD 24]])</f>
        <v>3.1300000000000001E-2</v>
      </c>
    </row>
    <row r="773" spans="1:12" ht="15" customHeight="1" x14ac:dyDescent="0.2">
      <c r="A773" s="34" t="s">
        <v>670</v>
      </c>
      <c r="B773" s="32" t="s">
        <v>8</v>
      </c>
      <c r="C773" s="32" t="s">
        <v>9</v>
      </c>
      <c r="D773" s="33" t="s">
        <v>20</v>
      </c>
      <c r="E773" s="70" t="s">
        <v>42</v>
      </c>
      <c r="F773" s="97">
        <v>0</v>
      </c>
      <c r="G773" s="98">
        <v>3.1300000000000001E-2</v>
      </c>
      <c r="H773" s="99">
        <v>0</v>
      </c>
      <c r="I773" s="100">
        <v>0</v>
      </c>
      <c r="J773" s="99">
        <v>1.2579</v>
      </c>
      <c r="K773" s="99">
        <v>0</v>
      </c>
      <c r="L773" s="165">
        <f>SUM(BabycareRaw[[#This Row],[2022]:[YTD 24]])</f>
        <v>3.1300000000000001E-2</v>
      </c>
    </row>
    <row r="774" spans="1:12" ht="15" customHeight="1" x14ac:dyDescent="0.2">
      <c r="A774" s="27" t="s">
        <v>806</v>
      </c>
      <c r="B774" s="28" t="s">
        <v>5</v>
      </c>
      <c r="C774" s="28"/>
      <c r="D774" s="29"/>
      <c r="E774" s="68"/>
      <c r="F774" s="101">
        <v>0.1459</v>
      </c>
      <c r="G774" s="102">
        <v>0.29930000000000001</v>
      </c>
      <c r="H774" s="103">
        <v>5.04E-2</v>
      </c>
      <c r="I774" s="104">
        <v>2.8885999999999998</v>
      </c>
      <c r="J774" s="103">
        <v>6.5743</v>
      </c>
      <c r="K774" s="103">
        <v>1.1331</v>
      </c>
      <c r="L774" s="169">
        <f>SUM(BabycareRaw[[#This Row],[2022]:[YTD 24]])</f>
        <v>0.49560000000000004</v>
      </c>
    </row>
    <row r="775" spans="1:12" ht="14.25" customHeight="1" x14ac:dyDescent="0.2">
      <c r="A775" s="30" t="s">
        <v>671</v>
      </c>
      <c r="B775" s="31" t="s">
        <v>6</v>
      </c>
      <c r="C775" s="32"/>
      <c r="D775" s="33"/>
      <c r="E775" s="70"/>
      <c r="F775" s="97">
        <v>0.1459</v>
      </c>
      <c r="G775" s="98">
        <v>0.29930000000000001</v>
      </c>
      <c r="H775" s="99">
        <v>5.04E-2</v>
      </c>
      <c r="I775" s="100">
        <v>2.8885999999999998</v>
      </c>
      <c r="J775" s="99">
        <v>6.5743</v>
      </c>
      <c r="K775" s="99">
        <v>1.1331</v>
      </c>
      <c r="L775" s="165">
        <f>SUM(BabycareRaw[[#This Row],[2022]:[YTD 24]])</f>
        <v>0.49560000000000004</v>
      </c>
    </row>
    <row r="776" spans="1:12" ht="15" customHeight="1" x14ac:dyDescent="0.2">
      <c r="A776" s="34" t="s">
        <v>672</v>
      </c>
      <c r="B776" s="32" t="s">
        <v>8</v>
      </c>
      <c r="C776" s="32" t="s">
        <v>9</v>
      </c>
      <c r="D776" s="33" t="s">
        <v>64</v>
      </c>
      <c r="E776" s="70" t="s">
        <v>99</v>
      </c>
      <c r="F776" s="97">
        <v>7.7399999999999997E-2</v>
      </c>
      <c r="G776" s="98">
        <v>0.20100000000000001</v>
      </c>
      <c r="H776" s="99">
        <v>1.1599999999999999E-2</v>
      </c>
      <c r="I776" s="100">
        <v>1.2943</v>
      </c>
      <c r="J776" s="99">
        <v>3.8485999999999998</v>
      </c>
      <c r="K776" s="99">
        <v>0.1971</v>
      </c>
      <c r="L776" s="165">
        <f>SUM(BabycareRaw[[#This Row],[2022]:[YTD 24]])</f>
        <v>0.28999999999999998</v>
      </c>
    </row>
    <row r="777" spans="1:12" ht="15" customHeight="1" x14ac:dyDescent="0.2">
      <c r="A777" s="34" t="s">
        <v>673</v>
      </c>
      <c r="B777" s="32" t="s">
        <v>8</v>
      </c>
      <c r="C777" s="32" t="s">
        <v>9</v>
      </c>
      <c r="D777" s="33" t="s">
        <v>20</v>
      </c>
      <c r="E777" s="70" t="s">
        <v>42</v>
      </c>
      <c r="F777" s="97">
        <v>6.8400000000000002E-2</v>
      </c>
      <c r="G777" s="98">
        <v>9.8500000000000004E-2</v>
      </c>
      <c r="H777" s="99">
        <v>3.8800000000000001E-2</v>
      </c>
      <c r="I777" s="100">
        <v>1.5943000000000001</v>
      </c>
      <c r="J777" s="99">
        <v>2.7256999999999998</v>
      </c>
      <c r="K777" s="99">
        <v>0.93600000000000005</v>
      </c>
      <c r="L777" s="165">
        <f>SUM(BabycareRaw[[#This Row],[2022]:[YTD 24]])</f>
        <v>0.20569999999999999</v>
      </c>
    </row>
    <row r="778" spans="1:12" ht="15" customHeight="1" x14ac:dyDescent="0.2">
      <c r="A778" s="27" t="s">
        <v>807</v>
      </c>
      <c r="B778" s="28" t="s">
        <v>5</v>
      </c>
      <c r="C778" s="28"/>
      <c r="D778" s="29"/>
      <c r="E778" s="68"/>
      <c r="F778" s="101">
        <v>5.2523</v>
      </c>
      <c r="G778" s="102">
        <v>0</v>
      </c>
      <c r="H778" s="103">
        <v>0</v>
      </c>
      <c r="I778" s="104">
        <v>269.2595</v>
      </c>
      <c r="J778" s="103">
        <v>0</v>
      </c>
      <c r="K778" s="103">
        <v>0</v>
      </c>
      <c r="L778" s="169">
        <f>SUM(BabycareRaw[[#This Row],[2022]:[YTD 24]])</f>
        <v>5.2523</v>
      </c>
    </row>
    <row r="779" spans="1:12" ht="14.25" customHeight="1" x14ac:dyDescent="0.2">
      <c r="A779" s="30" t="s">
        <v>674</v>
      </c>
      <c r="B779" s="31" t="s">
        <v>6</v>
      </c>
      <c r="C779" s="32"/>
      <c r="D779" s="33"/>
      <c r="E779" s="70"/>
      <c r="F779" s="97">
        <v>5.2523</v>
      </c>
      <c r="G779" s="98">
        <v>0</v>
      </c>
      <c r="H779" s="99">
        <v>0</v>
      </c>
      <c r="I779" s="100">
        <v>269.2595</v>
      </c>
      <c r="J779" s="99">
        <v>0</v>
      </c>
      <c r="K779" s="99">
        <v>0</v>
      </c>
      <c r="L779" s="165">
        <f>SUM(BabycareRaw[[#This Row],[2022]:[YTD 24]])</f>
        <v>5.2523</v>
      </c>
    </row>
    <row r="780" spans="1:12" ht="15" customHeight="1" x14ac:dyDescent="0.2">
      <c r="A780" s="34" t="s">
        <v>675</v>
      </c>
      <c r="B780" s="32" t="s">
        <v>8</v>
      </c>
      <c r="C780" s="32" t="s">
        <v>9</v>
      </c>
      <c r="D780" s="33" t="s">
        <v>20</v>
      </c>
      <c r="E780" s="70" t="s">
        <v>21</v>
      </c>
      <c r="F780" s="97">
        <v>1.2095</v>
      </c>
      <c r="G780" s="98">
        <v>0</v>
      </c>
      <c r="H780" s="99">
        <v>0</v>
      </c>
      <c r="I780" s="100">
        <v>58.601599999999998</v>
      </c>
      <c r="J780" s="99">
        <v>0</v>
      </c>
      <c r="K780" s="99">
        <v>0</v>
      </c>
      <c r="L780" s="165">
        <f>SUM(BabycareRaw[[#This Row],[2022]:[YTD 24]])</f>
        <v>1.2095</v>
      </c>
    </row>
    <row r="781" spans="1:12" ht="15" customHeight="1" x14ac:dyDescent="0.2">
      <c r="A781" s="34" t="s">
        <v>676</v>
      </c>
      <c r="B781" s="32" t="s">
        <v>8</v>
      </c>
      <c r="C781" s="32" t="s">
        <v>9</v>
      </c>
      <c r="D781" s="33" t="s">
        <v>20</v>
      </c>
      <c r="E781" s="70" t="s">
        <v>21</v>
      </c>
      <c r="F781" s="97">
        <v>0</v>
      </c>
      <c r="G781" s="98">
        <v>0</v>
      </c>
      <c r="H781" s="99">
        <v>0</v>
      </c>
      <c r="I781" s="100">
        <v>0</v>
      </c>
      <c r="J781" s="99">
        <v>0</v>
      </c>
      <c r="K781" s="99">
        <v>0</v>
      </c>
      <c r="L781" s="165">
        <f>SUM(BabycareRaw[[#This Row],[2022]:[YTD 24]])</f>
        <v>0</v>
      </c>
    </row>
    <row r="782" spans="1:12" ht="15" customHeight="1" x14ac:dyDescent="0.2">
      <c r="A782" s="34" t="s">
        <v>677</v>
      </c>
      <c r="B782" s="32" t="s">
        <v>8</v>
      </c>
      <c r="C782" s="32" t="s">
        <v>9</v>
      </c>
      <c r="D782" s="33" t="s">
        <v>20</v>
      </c>
      <c r="E782" s="70" t="s">
        <v>24</v>
      </c>
      <c r="F782" s="97">
        <v>3.4049</v>
      </c>
      <c r="G782" s="98">
        <v>0</v>
      </c>
      <c r="H782" s="99">
        <v>0</v>
      </c>
      <c r="I782" s="100">
        <v>181.5942</v>
      </c>
      <c r="J782" s="99">
        <v>0</v>
      </c>
      <c r="K782" s="99">
        <v>0</v>
      </c>
      <c r="L782" s="165">
        <f>SUM(BabycareRaw[[#This Row],[2022]:[YTD 24]])</f>
        <v>3.4049</v>
      </c>
    </row>
    <row r="783" spans="1:12" ht="15" customHeight="1" x14ac:dyDescent="0.2">
      <c r="A783" s="34" t="s">
        <v>678</v>
      </c>
      <c r="B783" s="32" t="s">
        <v>8</v>
      </c>
      <c r="C783" s="32" t="s">
        <v>9</v>
      </c>
      <c r="D783" s="33" t="s">
        <v>20</v>
      </c>
      <c r="E783" s="70" t="s">
        <v>42</v>
      </c>
      <c r="F783" s="97">
        <v>0.27539999999999998</v>
      </c>
      <c r="G783" s="98">
        <v>0</v>
      </c>
      <c r="H783" s="99">
        <v>0</v>
      </c>
      <c r="I783" s="100">
        <v>11.6632</v>
      </c>
      <c r="J783" s="99">
        <v>0</v>
      </c>
      <c r="K783" s="99">
        <v>0</v>
      </c>
      <c r="L783" s="165">
        <f>SUM(BabycareRaw[[#This Row],[2022]:[YTD 24]])</f>
        <v>0.27539999999999998</v>
      </c>
    </row>
    <row r="784" spans="1:12" ht="15" customHeight="1" x14ac:dyDescent="0.2">
      <c r="A784" s="34" t="s">
        <v>679</v>
      </c>
      <c r="B784" s="32" t="s">
        <v>8</v>
      </c>
      <c r="C784" s="32" t="s">
        <v>9</v>
      </c>
      <c r="D784" s="33" t="s">
        <v>20</v>
      </c>
      <c r="E784" s="70" t="s">
        <v>42</v>
      </c>
      <c r="F784" s="97">
        <v>0.36249999999999999</v>
      </c>
      <c r="G784" s="98">
        <v>0</v>
      </c>
      <c r="H784" s="99">
        <v>0</v>
      </c>
      <c r="I784" s="100">
        <v>17.400500000000001</v>
      </c>
      <c r="J784" s="99">
        <v>0</v>
      </c>
      <c r="K784" s="99">
        <v>0</v>
      </c>
      <c r="L784" s="165">
        <f>SUM(BabycareRaw[[#This Row],[2022]:[YTD 24]])</f>
        <v>0.36249999999999999</v>
      </c>
    </row>
    <row r="785" spans="1:12" ht="15" customHeight="1" x14ac:dyDescent="0.2">
      <c r="A785" s="27" t="s">
        <v>808</v>
      </c>
      <c r="B785" s="28" t="s">
        <v>5</v>
      </c>
      <c r="C785" s="28"/>
      <c r="D785" s="29"/>
      <c r="E785" s="68"/>
      <c r="F785" s="101">
        <v>0</v>
      </c>
      <c r="G785" s="102">
        <v>0</v>
      </c>
      <c r="H785" s="103">
        <v>0</v>
      </c>
      <c r="I785" s="104">
        <v>0</v>
      </c>
      <c r="J785" s="103">
        <v>0</v>
      </c>
      <c r="K785" s="103">
        <v>0</v>
      </c>
      <c r="L785" s="169">
        <f>SUM(BabycareRaw[[#This Row],[2022]:[YTD 24]])</f>
        <v>0</v>
      </c>
    </row>
    <row r="786" spans="1:12" ht="14.25" customHeight="1" x14ac:dyDescent="0.2">
      <c r="A786" s="30" t="s">
        <v>680</v>
      </c>
      <c r="B786" s="31" t="s">
        <v>6</v>
      </c>
      <c r="C786" s="32"/>
      <c r="D786" s="33"/>
      <c r="E786" s="70"/>
      <c r="F786" s="97">
        <v>0</v>
      </c>
      <c r="G786" s="98">
        <v>0</v>
      </c>
      <c r="H786" s="99">
        <v>0</v>
      </c>
      <c r="I786" s="100">
        <v>0</v>
      </c>
      <c r="J786" s="99">
        <v>0</v>
      </c>
      <c r="K786" s="99">
        <v>0</v>
      </c>
      <c r="L786" s="165">
        <f>SUM(BabycareRaw[[#This Row],[2022]:[YTD 24]])</f>
        <v>0</v>
      </c>
    </row>
    <row r="787" spans="1:12" ht="15" customHeight="1" x14ac:dyDescent="0.2">
      <c r="A787" s="34" t="s">
        <v>681</v>
      </c>
      <c r="B787" s="32" t="s">
        <v>8</v>
      </c>
      <c r="C787" s="32" t="s">
        <v>9</v>
      </c>
      <c r="D787" s="33" t="s">
        <v>10</v>
      </c>
      <c r="E787" s="70" t="s">
        <v>11</v>
      </c>
      <c r="F787" s="97">
        <v>0</v>
      </c>
      <c r="G787" s="98">
        <v>0</v>
      </c>
      <c r="H787" s="99">
        <v>0</v>
      </c>
      <c r="I787" s="100">
        <v>0</v>
      </c>
      <c r="J787" s="99">
        <v>0</v>
      </c>
      <c r="K787" s="99">
        <v>0</v>
      </c>
      <c r="L787" s="165">
        <f>SUM(BabycareRaw[[#This Row],[2022]:[YTD 24]])</f>
        <v>0</v>
      </c>
    </row>
    <row r="788" spans="1:12" ht="15" customHeight="1" x14ac:dyDescent="0.2">
      <c r="A788" s="34" t="s">
        <v>682</v>
      </c>
      <c r="B788" s="32" t="s">
        <v>8</v>
      </c>
      <c r="C788" s="32" t="s">
        <v>9</v>
      </c>
      <c r="D788" s="33" t="s">
        <v>10</v>
      </c>
      <c r="E788" s="70" t="s">
        <v>42</v>
      </c>
      <c r="F788" s="97">
        <v>0</v>
      </c>
      <c r="G788" s="98">
        <v>0</v>
      </c>
      <c r="H788" s="99">
        <v>0</v>
      </c>
      <c r="I788" s="100">
        <v>0</v>
      </c>
      <c r="J788" s="99">
        <v>0</v>
      </c>
      <c r="K788" s="99">
        <v>0</v>
      </c>
      <c r="L788" s="165">
        <f>SUM(BabycareRaw[[#This Row],[2022]:[YTD 24]])</f>
        <v>0</v>
      </c>
    </row>
    <row r="789" spans="1:12" ht="15" customHeight="1" x14ac:dyDescent="0.2">
      <c r="A789" s="27" t="s">
        <v>809</v>
      </c>
      <c r="B789" s="28" t="s">
        <v>5</v>
      </c>
      <c r="C789" s="28"/>
      <c r="D789" s="29"/>
      <c r="E789" s="68"/>
      <c r="F789" s="101">
        <v>0</v>
      </c>
      <c r="G789" s="102">
        <v>0</v>
      </c>
      <c r="H789" s="103">
        <v>3.1633</v>
      </c>
      <c r="I789" s="104">
        <v>0</v>
      </c>
      <c r="J789" s="103">
        <v>0</v>
      </c>
      <c r="K789" s="103">
        <v>171.71680000000001</v>
      </c>
      <c r="L789" s="169">
        <f>SUM(BabycareRaw[[#This Row],[2022]:[YTD 24]])</f>
        <v>3.1633</v>
      </c>
    </row>
    <row r="790" spans="1:12" ht="14.25" customHeight="1" x14ac:dyDescent="0.2">
      <c r="A790" s="30" t="s">
        <v>683</v>
      </c>
      <c r="B790" s="31" t="s">
        <v>6</v>
      </c>
      <c r="C790" s="32"/>
      <c r="D790" s="33"/>
      <c r="E790" s="70"/>
      <c r="F790" s="97">
        <v>0</v>
      </c>
      <c r="G790" s="98">
        <v>0</v>
      </c>
      <c r="H790" s="99">
        <v>3.1633</v>
      </c>
      <c r="I790" s="100">
        <v>0</v>
      </c>
      <c r="J790" s="99">
        <v>0</v>
      </c>
      <c r="K790" s="99">
        <v>171.71680000000001</v>
      </c>
      <c r="L790" s="165">
        <f>SUM(BabycareRaw[[#This Row],[2022]:[YTD 24]])</f>
        <v>3.1633</v>
      </c>
    </row>
    <row r="791" spans="1:12" ht="15" customHeight="1" x14ac:dyDescent="0.2">
      <c r="A791" s="34" t="s">
        <v>827</v>
      </c>
      <c r="B791" s="32" t="s">
        <v>8</v>
      </c>
      <c r="C791" s="32" t="s">
        <v>9</v>
      </c>
      <c r="D791" s="33" t="s">
        <v>20</v>
      </c>
      <c r="E791" s="70" t="s">
        <v>24</v>
      </c>
      <c r="F791" s="97">
        <v>0</v>
      </c>
      <c r="G791" s="98">
        <v>0</v>
      </c>
      <c r="H791" s="99">
        <v>3.1633</v>
      </c>
      <c r="I791" s="100">
        <v>0</v>
      </c>
      <c r="J791" s="99">
        <v>0</v>
      </c>
      <c r="K791" s="99">
        <v>171.71680000000001</v>
      </c>
      <c r="L791" s="165">
        <f>SUM(BabycareRaw[[#This Row],[2022]:[YTD 24]])</f>
        <v>3.1633</v>
      </c>
    </row>
    <row r="792" spans="1:12" ht="15" customHeight="1" x14ac:dyDescent="0.2">
      <c r="A792" s="27" t="s">
        <v>810</v>
      </c>
      <c r="B792" s="28" t="s">
        <v>5</v>
      </c>
      <c r="C792" s="28"/>
      <c r="D792" s="29"/>
      <c r="E792" s="68"/>
      <c r="F792" s="101">
        <v>55.096499999999999</v>
      </c>
      <c r="G792" s="102">
        <v>43.348100000000002</v>
      </c>
      <c r="H792" s="103">
        <v>24.53</v>
      </c>
      <c r="I792" s="104">
        <v>2000.4357</v>
      </c>
      <c r="J792" s="103">
        <v>1647.0114000000001</v>
      </c>
      <c r="K792" s="103">
        <v>929.35159999999996</v>
      </c>
      <c r="L792" s="169">
        <f>SUM(BabycareRaw[[#This Row],[2022]:[YTD 24]])</f>
        <v>122.97460000000001</v>
      </c>
    </row>
    <row r="793" spans="1:12" ht="14.25" customHeight="1" x14ac:dyDescent="0.2">
      <c r="A793" s="30" t="s">
        <v>684</v>
      </c>
      <c r="B793" s="31" t="s">
        <v>6</v>
      </c>
      <c r="C793" s="32"/>
      <c r="D793" s="33"/>
      <c r="E793" s="70"/>
      <c r="F793" s="97">
        <v>54.988799999999998</v>
      </c>
      <c r="G793" s="98">
        <v>43.223300000000002</v>
      </c>
      <c r="H793" s="99">
        <v>24.458100000000002</v>
      </c>
      <c r="I793" s="100">
        <v>1994.8981000000001</v>
      </c>
      <c r="J793" s="99">
        <v>1640.5911000000001</v>
      </c>
      <c r="K793" s="99">
        <v>925.65359999999998</v>
      </c>
      <c r="L793" s="165">
        <f>SUM(BabycareRaw[[#This Row],[2022]:[YTD 24]])</f>
        <v>122.67019999999999</v>
      </c>
    </row>
    <row r="794" spans="1:12" ht="15" customHeight="1" x14ac:dyDescent="0.2">
      <c r="A794" s="34" t="s">
        <v>685</v>
      </c>
      <c r="B794" s="32" t="s">
        <v>8</v>
      </c>
      <c r="C794" s="32" t="s">
        <v>9</v>
      </c>
      <c r="D794" s="33" t="s">
        <v>20</v>
      </c>
      <c r="E794" s="70" t="s">
        <v>24</v>
      </c>
      <c r="F794" s="97">
        <v>0</v>
      </c>
      <c r="G794" s="98">
        <v>10.313499999999999</v>
      </c>
      <c r="H794" s="99">
        <v>10.635400000000001</v>
      </c>
      <c r="I794" s="100">
        <v>0</v>
      </c>
      <c r="J794" s="99">
        <v>475.9119</v>
      </c>
      <c r="K794" s="99">
        <v>461.80500000000001</v>
      </c>
      <c r="L794" s="165">
        <f>SUM(BabycareRaw[[#This Row],[2022]:[YTD 24]])</f>
        <v>20.948900000000002</v>
      </c>
    </row>
    <row r="795" spans="1:12" ht="15" customHeight="1" x14ac:dyDescent="0.2">
      <c r="A795" s="34" t="s">
        <v>686</v>
      </c>
      <c r="B795" s="32" t="s">
        <v>8</v>
      </c>
      <c r="C795" s="32" t="s">
        <v>9</v>
      </c>
      <c r="D795" s="33" t="s">
        <v>20</v>
      </c>
      <c r="E795" s="70" t="s">
        <v>42</v>
      </c>
      <c r="F795" s="97">
        <v>54.988799999999998</v>
      </c>
      <c r="G795" s="98">
        <v>32.909799999999997</v>
      </c>
      <c r="H795" s="99">
        <v>13.822900000000001</v>
      </c>
      <c r="I795" s="100">
        <v>1994.8981000000001</v>
      </c>
      <c r="J795" s="99">
        <v>1164.6792</v>
      </c>
      <c r="K795" s="99">
        <v>463.84859999999998</v>
      </c>
      <c r="L795" s="165">
        <f>SUM(BabycareRaw[[#This Row],[2022]:[YTD 24]])</f>
        <v>101.72149999999999</v>
      </c>
    </row>
    <row r="796" spans="1:12" ht="15" customHeight="1" x14ac:dyDescent="0.2">
      <c r="A796" s="30" t="s">
        <v>687</v>
      </c>
      <c r="B796" s="31" t="s">
        <v>6</v>
      </c>
      <c r="C796" s="32"/>
      <c r="D796" s="33"/>
      <c r="E796" s="70"/>
      <c r="F796" s="97">
        <v>0.1076</v>
      </c>
      <c r="G796" s="98">
        <v>0.1249</v>
      </c>
      <c r="H796" s="99">
        <v>7.1900000000000006E-2</v>
      </c>
      <c r="I796" s="100">
        <v>5.5374999999999996</v>
      </c>
      <c r="J796" s="99">
        <v>6.4203000000000001</v>
      </c>
      <c r="K796" s="99">
        <v>3.698</v>
      </c>
      <c r="L796" s="165">
        <f>SUM(BabycareRaw[[#This Row],[2022]:[YTD 24]])</f>
        <v>0.3044</v>
      </c>
    </row>
    <row r="797" spans="1:12" ht="15" customHeight="1" x14ac:dyDescent="0.2">
      <c r="A797" s="34" t="s">
        <v>688</v>
      </c>
      <c r="B797" s="32" t="s">
        <v>8</v>
      </c>
      <c r="C797" s="32" t="s">
        <v>9</v>
      </c>
      <c r="D797" s="33" t="s">
        <v>20</v>
      </c>
      <c r="E797" s="70" t="s">
        <v>42</v>
      </c>
      <c r="F797" s="97">
        <v>0.1076</v>
      </c>
      <c r="G797" s="98">
        <v>0.1249</v>
      </c>
      <c r="H797" s="99">
        <v>7.1900000000000006E-2</v>
      </c>
      <c r="I797" s="100">
        <v>5.5374999999999996</v>
      </c>
      <c r="J797" s="99">
        <v>6.4203000000000001</v>
      </c>
      <c r="K797" s="99">
        <v>3.698</v>
      </c>
      <c r="L797" s="165">
        <f>SUM(BabycareRaw[[#This Row],[2022]:[YTD 24]])</f>
        <v>0.3044</v>
      </c>
    </row>
    <row r="798" spans="1:12" ht="15" customHeight="1" x14ac:dyDescent="0.2">
      <c r="A798" s="27" t="s">
        <v>811</v>
      </c>
      <c r="B798" s="28" t="s">
        <v>5</v>
      </c>
      <c r="C798" s="28"/>
      <c r="D798" s="29"/>
      <c r="E798" s="68"/>
      <c r="F798" s="101">
        <v>34.924300000000002</v>
      </c>
      <c r="G798" s="102">
        <v>13.6989</v>
      </c>
      <c r="H798" s="103">
        <v>2.1793999999999998</v>
      </c>
      <c r="I798" s="104">
        <v>2361.7521000000002</v>
      </c>
      <c r="J798" s="103">
        <v>920.36559999999997</v>
      </c>
      <c r="K798" s="103">
        <v>151.65029999999999</v>
      </c>
      <c r="L798" s="169">
        <f>SUM(BabycareRaw[[#This Row],[2022]:[YTD 24]])</f>
        <v>50.802600000000005</v>
      </c>
    </row>
    <row r="799" spans="1:12" ht="14.25" customHeight="1" x14ac:dyDescent="0.2">
      <c r="A799" s="30" t="s">
        <v>689</v>
      </c>
      <c r="B799" s="31" t="s">
        <v>6</v>
      </c>
      <c r="C799" s="32"/>
      <c r="D799" s="33"/>
      <c r="E799" s="70"/>
      <c r="F799" s="97">
        <v>34.924300000000002</v>
      </c>
      <c r="G799" s="98">
        <v>13.6989</v>
      </c>
      <c r="H799" s="99">
        <v>2.1793999999999998</v>
      </c>
      <c r="I799" s="100">
        <v>2361.7521000000002</v>
      </c>
      <c r="J799" s="99">
        <v>920.36559999999997</v>
      </c>
      <c r="K799" s="99">
        <v>151.65029999999999</v>
      </c>
      <c r="L799" s="165">
        <f>SUM(BabycareRaw[[#This Row],[2022]:[YTD 24]])</f>
        <v>50.802600000000005</v>
      </c>
    </row>
    <row r="800" spans="1:12" ht="15" customHeight="1" x14ac:dyDescent="0.2">
      <c r="A800" s="34" t="s">
        <v>690</v>
      </c>
      <c r="B800" s="32" t="s">
        <v>8</v>
      </c>
      <c r="C800" s="32" t="s">
        <v>9</v>
      </c>
      <c r="D800" s="33" t="s">
        <v>30</v>
      </c>
      <c r="E800" s="70" t="s">
        <v>99</v>
      </c>
      <c r="F800" s="97">
        <v>0.30349999999999999</v>
      </c>
      <c r="G800" s="98">
        <v>7.7100000000000002E-2</v>
      </c>
      <c r="H800" s="99">
        <v>0</v>
      </c>
      <c r="I800" s="100">
        <v>10.7111</v>
      </c>
      <c r="J800" s="99">
        <v>2.9864999999999999</v>
      </c>
      <c r="K800" s="99">
        <v>0</v>
      </c>
      <c r="L800" s="165">
        <f>SUM(BabycareRaw[[#This Row],[2022]:[YTD 24]])</f>
        <v>0.38059999999999999</v>
      </c>
    </row>
    <row r="801" spans="1:12" ht="15" customHeight="1" x14ac:dyDescent="0.2">
      <c r="A801" s="34" t="s">
        <v>691</v>
      </c>
      <c r="B801" s="32" t="s">
        <v>8</v>
      </c>
      <c r="C801" s="32" t="s">
        <v>9</v>
      </c>
      <c r="D801" s="33" t="s">
        <v>30</v>
      </c>
      <c r="E801" s="70" t="s">
        <v>42</v>
      </c>
      <c r="F801" s="97">
        <v>34.620800000000003</v>
      </c>
      <c r="G801" s="98">
        <v>13.6218</v>
      </c>
      <c r="H801" s="99">
        <v>2.1793999999999998</v>
      </c>
      <c r="I801" s="100">
        <v>2351.0409</v>
      </c>
      <c r="J801" s="99">
        <v>917.37919999999997</v>
      </c>
      <c r="K801" s="99">
        <v>151.65029999999999</v>
      </c>
      <c r="L801" s="165">
        <f>SUM(BabycareRaw[[#This Row],[2022]:[YTD 24]])</f>
        <v>50.422000000000004</v>
      </c>
    </row>
    <row r="802" spans="1:12" ht="15" customHeight="1" x14ac:dyDescent="0.2">
      <c r="A802" s="27" t="s">
        <v>812</v>
      </c>
      <c r="B802" s="28" t="s">
        <v>5</v>
      </c>
      <c r="C802" s="28"/>
      <c r="D802" s="29"/>
      <c r="E802" s="68"/>
      <c r="F802" s="101">
        <v>0</v>
      </c>
      <c r="G802" s="102">
        <v>0</v>
      </c>
      <c r="H802" s="103">
        <v>1.9407000000000001</v>
      </c>
      <c r="I802" s="104">
        <v>0</v>
      </c>
      <c r="J802" s="103">
        <v>0</v>
      </c>
      <c r="K802" s="103">
        <v>110.1146</v>
      </c>
      <c r="L802" s="169">
        <f>SUM(BabycareRaw[[#This Row],[2022]:[YTD 24]])</f>
        <v>1.9407000000000001</v>
      </c>
    </row>
    <row r="803" spans="1:12" ht="14.25" customHeight="1" x14ac:dyDescent="0.2">
      <c r="A803" s="30" t="s">
        <v>692</v>
      </c>
      <c r="B803" s="31" t="s">
        <v>6</v>
      </c>
      <c r="C803" s="32"/>
      <c r="D803" s="33"/>
      <c r="E803" s="70"/>
      <c r="F803" s="97">
        <v>0</v>
      </c>
      <c r="G803" s="98">
        <v>0</v>
      </c>
      <c r="H803" s="99">
        <v>1.9407000000000001</v>
      </c>
      <c r="I803" s="100">
        <v>0</v>
      </c>
      <c r="J803" s="99">
        <v>0</v>
      </c>
      <c r="K803" s="99">
        <v>110.1146</v>
      </c>
      <c r="L803" s="165">
        <f>SUM(BabycareRaw[[#This Row],[2022]:[YTD 24]])</f>
        <v>1.9407000000000001</v>
      </c>
    </row>
    <row r="804" spans="1:12" ht="15" customHeight="1" x14ac:dyDescent="0.2">
      <c r="A804" s="34" t="s">
        <v>693</v>
      </c>
      <c r="B804" s="32" t="s">
        <v>8</v>
      </c>
      <c r="C804" s="32" t="s">
        <v>9</v>
      </c>
      <c r="D804" s="33" t="s">
        <v>10</v>
      </c>
      <c r="E804" s="70" t="s">
        <v>24</v>
      </c>
      <c r="F804" s="97">
        <v>0</v>
      </c>
      <c r="G804" s="98">
        <v>0</v>
      </c>
      <c r="H804" s="99">
        <v>1.9407000000000001</v>
      </c>
      <c r="I804" s="100">
        <v>0</v>
      </c>
      <c r="J804" s="99">
        <v>0</v>
      </c>
      <c r="K804" s="99">
        <v>110.1146</v>
      </c>
      <c r="L804" s="165">
        <f>SUM(BabycareRaw[[#This Row],[2022]:[YTD 24]])</f>
        <v>1.9407000000000001</v>
      </c>
    </row>
    <row r="805" spans="1:12" ht="15" customHeight="1" x14ac:dyDescent="0.2">
      <c r="A805" s="27" t="s">
        <v>813</v>
      </c>
      <c r="B805" s="28" t="s">
        <v>5</v>
      </c>
      <c r="C805" s="28"/>
      <c r="D805" s="29"/>
      <c r="E805" s="68"/>
      <c r="F805" s="101">
        <v>2.0785999999999998</v>
      </c>
      <c r="G805" s="102">
        <v>7.1199999999999999E-2</v>
      </c>
      <c r="H805" s="103">
        <v>0</v>
      </c>
      <c r="I805" s="104">
        <v>104.04649999999999</v>
      </c>
      <c r="J805" s="103">
        <v>3.8216000000000001</v>
      </c>
      <c r="K805" s="103">
        <v>0</v>
      </c>
      <c r="L805" s="169">
        <f>SUM(BabycareRaw[[#This Row],[2022]:[YTD 24]])</f>
        <v>2.1497999999999999</v>
      </c>
    </row>
    <row r="806" spans="1:12" ht="14.25" customHeight="1" x14ac:dyDescent="0.2">
      <c r="A806" s="30" t="s">
        <v>694</v>
      </c>
      <c r="B806" s="31" t="s">
        <v>6</v>
      </c>
      <c r="C806" s="32"/>
      <c r="D806" s="33"/>
      <c r="E806" s="70"/>
      <c r="F806" s="97">
        <v>2.0785999999999998</v>
      </c>
      <c r="G806" s="98">
        <v>7.1199999999999999E-2</v>
      </c>
      <c r="H806" s="99">
        <v>0</v>
      </c>
      <c r="I806" s="100">
        <v>104.04649999999999</v>
      </c>
      <c r="J806" s="99">
        <v>3.8216000000000001</v>
      </c>
      <c r="K806" s="99">
        <v>0</v>
      </c>
      <c r="L806" s="165">
        <f>SUM(BabycareRaw[[#This Row],[2022]:[YTD 24]])</f>
        <v>2.1497999999999999</v>
      </c>
    </row>
    <row r="807" spans="1:12" ht="15" customHeight="1" x14ac:dyDescent="0.2">
      <c r="A807" s="34" t="s">
        <v>695</v>
      </c>
      <c r="B807" s="32" t="s">
        <v>8</v>
      </c>
      <c r="C807" s="32" t="s">
        <v>9</v>
      </c>
      <c r="D807" s="33" t="s">
        <v>20</v>
      </c>
      <c r="E807" s="70" t="s">
        <v>42</v>
      </c>
      <c r="F807" s="97">
        <v>2.0785999999999998</v>
      </c>
      <c r="G807" s="98">
        <v>7.1199999999999999E-2</v>
      </c>
      <c r="H807" s="99">
        <v>0</v>
      </c>
      <c r="I807" s="100">
        <v>104.04649999999999</v>
      </c>
      <c r="J807" s="99">
        <v>3.8216000000000001</v>
      </c>
      <c r="K807" s="99">
        <v>0</v>
      </c>
      <c r="L807" s="165">
        <f>SUM(BabycareRaw[[#This Row],[2022]:[YTD 24]])</f>
        <v>2.1497999999999999</v>
      </c>
    </row>
    <row r="808" spans="1:12" ht="15" customHeight="1" x14ac:dyDescent="0.2">
      <c r="A808" s="27" t="s">
        <v>814</v>
      </c>
      <c r="B808" s="28" t="s">
        <v>5</v>
      </c>
      <c r="C808" s="28"/>
      <c r="D808" s="29"/>
      <c r="E808" s="68"/>
      <c r="F808" s="101">
        <v>0</v>
      </c>
      <c r="G808" s="102">
        <v>0.06</v>
      </c>
      <c r="H808" s="103">
        <v>22.319900000000001</v>
      </c>
      <c r="I808" s="104">
        <v>0</v>
      </c>
      <c r="J808" s="103">
        <v>3.96</v>
      </c>
      <c r="K808" s="103">
        <v>1362.7346</v>
      </c>
      <c r="L808" s="169">
        <f>SUM(BabycareRaw[[#This Row],[2022]:[YTD 24]])</f>
        <v>22.379899999999999</v>
      </c>
    </row>
    <row r="809" spans="1:12" ht="14.25" customHeight="1" x14ac:dyDescent="0.2">
      <c r="A809" s="30" t="s">
        <v>696</v>
      </c>
      <c r="B809" s="31" t="s">
        <v>6</v>
      </c>
      <c r="C809" s="32"/>
      <c r="D809" s="33"/>
      <c r="E809" s="70"/>
      <c r="F809" s="97">
        <v>0</v>
      </c>
      <c r="G809" s="98">
        <v>0</v>
      </c>
      <c r="H809" s="99">
        <v>0.1532</v>
      </c>
      <c r="I809" s="100">
        <v>0</v>
      </c>
      <c r="J809" s="99">
        <v>0</v>
      </c>
      <c r="K809" s="99">
        <v>9.1946999999999992</v>
      </c>
      <c r="L809" s="165">
        <f>SUM(BabycareRaw[[#This Row],[2022]:[YTD 24]])</f>
        <v>0.1532</v>
      </c>
    </row>
    <row r="810" spans="1:12" ht="15" customHeight="1" x14ac:dyDescent="0.2">
      <c r="A810" s="34" t="s">
        <v>697</v>
      </c>
      <c r="B810" s="32" t="s">
        <v>8</v>
      </c>
      <c r="C810" s="32" t="s">
        <v>9</v>
      </c>
      <c r="D810" s="33" t="s">
        <v>30</v>
      </c>
      <c r="E810" s="70" t="s">
        <v>24</v>
      </c>
      <c r="F810" s="97">
        <v>0</v>
      </c>
      <c r="G810" s="98">
        <v>0</v>
      </c>
      <c r="H810" s="99">
        <v>0.1532</v>
      </c>
      <c r="I810" s="100">
        <v>0</v>
      </c>
      <c r="J810" s="99">
        <v>0</v>
      </c>
      <c r="K810" s="99">
        <v>9.1946999999999992</v>
      </c>
      <c r="L810" s="165">
        <f>SUM(BabycareRaw[[#This Row],[2022]:[YTD 24]])</f>
        <v>0.1532</v>
      </c>
    </row>
    <row r="811" spans="1:12" ht="15" customHeight="1" x14ac:dyDescent="0.2">
      <c r="A811" s="30" t="s">
        <v>698</v>
      </c>
      <c r="B811" s="31" t="s">
        <v>6</v>
      </c>
      <c r="C811" s="32"/>
      <c r="D811" s="33"/>
      <c r="E811" s="70"/>
      <c r="F811" s="97">
        <v>0</v>
      </c>
      <c r="G811" s="98">
        <v>0.06</v>
      </c>
      <c r="H811" s="99">
        <v>22.166699999999999</v>
      </c>
      <c r="I811" s="100">
        <v>0</v>
      </c>
      <c r="J811" s="99">
        <v>3.96</v>
      </c>
      <c r="K811" s="99">
        <v>1353.54</v>
      </c>
      <c r="L811" s="165">
        <f>SUM(BabycareRaw[[#This Row],[2022]:[YTD 24]])</f>
        <v>22.226699999999997</v>
      </c>
    </row>
    <row r="812" spans="1:12" ht="15" customHeight="1" x14ac:dyDescent="0.2">
      <c r="A812" s="34" t="s">
        <v>699</v>
      </c>
      <c r="B812" s="32" t="s">
        <v>8</v>
      </c>
      <c r="C812" s="32" t="s">
        <v>9</v>
      </c>
      <c r="D812" s="33" t="s">
        <v>30</v>
      </c>
      <c r="E812" s="70" t="s">
        <v>42</v>
      </c>
      <c r="F812" s="97">
        <v>0</v>
      </c>
      <c r="G812" s="98">
        <v>2.8000000000000001E-2</v>
      </c>
      <c r="H812" s="99">
        <v>14.061199999999999</v>
      </c>
      <c r="I812" s="100">
        <v>0</v>
      </c>
      <c r="J812" s="99">
        <v>1.8513999999999999</v>
      </c>
      <c r="K812" s="99">
        <v>850.57989999999995</v>
      </c>
      <c r="L812" s="165">
        <f>SUM(BabycareRaw[[#This Row],[2022]:[YTD 24]])</f>
        <v>14.0892</v>
      </c>
    </row>
    <row r="813" spans="1:12" ht="15" customHeight="1" x14ac:dyDescent="0.2">
      <c r="A813" s="34" t="s">
        <v>700</v>
      </c>
      <c r="B813" s="32" t="s">
        <v>8</v>
      </c>
      <c r="C813" s="32" t="s">
        <v>9</v>
      </c>
      <c r="D813" s="33" t="s">
        <v>30</v>
      </c>
      <c r="E813" s="70" t="s">
        <v>42</v>
      </c>
      <c r="F813" s="97">
        <v>0</v>
      </c>
      <c r="G813" s="98">
        <v>3.1899999999999998E-2</v>
      </c>
      <c r="H813" s="99">
        <v>8.1054999999999993</v>
      </c>
      <c r="I813" s="100">
        <v>0</v>
      </c>
      <c r="J813" s="99">
        <v>2.1086</v>
      </c>
      <c r="K813" s="99">
        <v>502.96</v>
      </c>
      <c r="L813" s="165">
        <f>SUM(BabycareRaw[[#This Row],[2022]:[YTD 24]])</f>
        <v>8.1373999999999995</v>
      </c>
    </row>
    <row r="814" spans="1:12" ht="15" customHeight="1" x14ac:dyDescent="0.2">
      <c r="A814" s="27" t="s">
        <v>815</v>
      </c>
      <c r="B814" s="28" t="s">
        <v>5</v>
      </c>
      <c r="C814" s="28"/>
      <c r="D814" s="29"/>
      <c r="E814" s="68"/>
      <c r="F814" s="101">
        <v>0</v>
      </c>
      <c r="G814" s="102">
        <v>0</v>
      </c>
      <c r="H814" s="103">
        <v>0</v>
      </c>
      <c r="I814" s="104">
        <v>0</v>
      </c>
      <c r="J814" s="103">
        <v>0</v>
      </c>
      <c r="K814" s="103">
        <v>0</v>
      </c>
      <c r="L814" s="169">
        <f>SUM(BabycareRaw[[#This Row],[2022]:[YTD 24]])</f>
        <v>0</v>
      </c>
    </row>
    <row r="815" spans="1:12" ht="14.25" customHeight="1" x14ac:dyDescent="0.2">
      <c r="A815" s="30" t="s">
        <v>701</v>
      </c>
      <c r="B815" s="31" t="s">
        <v>6</v>
      </c>
      <c r="C815" s="32"/>
      <c r="D815" s="33"/>
      <c r="E815" s="70"/>
      <c r="F815" s="97">
        <v>0</v>
      </c>
      <c r="G815" s="98">
        <v>0</v>
      </c>
      <c r="H815" s="99">
        <v>0</v>
      </c>
      <c r="I815" s="100">
        <v>0</v>
      </c>
      <c r="J815" s="99">
        <v>0</v>
      </c>
      <c r="K815" s="99">
        <v>0</v>
      </c>
      <c r="L815" s="165">
        <f>SUM(BabycareRaw[[#This Row],[2022]:[YTD 24]])</f>
        <v>0</v>
      </c>
    </row>
    <row r="816" spans="1:12" ht="15" customHeight="1" x14ac:dyDescent="0.2">
      <c r="A816" s="34" t="s">
        <v>702</v>
      </c>
      <c r="B816" s="32" t="s">
        <v>8</v>
      </c>
      <c r="C816" s="32" t="s">
        <v>9</v>
      </c>
      <c r="D816" s="33" t="s">
        <v>64</v>
      </c>
      <c r="E816" s="70" t="s">
        <v>21</v>
      </c>
      <c r="F816" s="97">
        <v>0</v>
      </c>
      <c r="G816" s="98">
        <v>0</v>
      </c>
      <c r="H816" s="99">
        <v>0</v>
      </c>
      <c r="I816" s="100">
        <v>0</v>
      </c>
      <c r="J816" s="99">
        <v>0</v>
      </c>
      <c r="K816" s="99">
        <v>0</v>
      </c>
      <c r="L816" s="165">
        <f>SUM(BabycareRaw[[#This Row],[2022]:[YTD 24]])</f>
        <v>0</v>
      </c>
    </row>
    <row r="817" spans="1:12" ht="15" customHeight="1" x14ac:dyDescent="0.2">
      <c r="A817" s="27" t="s">
        <v>816</v>
      </c>
      <c r="B817" s="28" t="s">
        <v>5</v>
      </c>
      <c r="C817" s="28"/>
      <c r="D817" s="29"/>
      <c r="E817" s="68"/>
      <c r="F817" s="101">
        <v>25.839099999999998</v>
      </c>
      <c r="G817" s="102">
        <v>9.0121000000000002</v>
      </c>
      <c r="H817" s="103">
        <v>10.0204</v>
      </c>
      <c r="I817" s="104">
        <v>1539.4739</v>
      </c>
      <c r="J817" s="103">
        <v>509.45670000000001</v>
      </c>
      <c r="K817" s="103">
        <v>585.52229999999997</v>
      </c>
      <c r="L817" s="169">
        <f>SUM(BabycareRaw[[#This Row],[2022]:[YTD 24]])</f>
        <v>44.871600000000001</v>
      </c>
    </row>
    <row r="818" spans="1:12" ht="14.25" customHeight="1" x14ac:dyDescent="0.2">
      <c r="A818" s="30" t="s">
        <v>703</v>
      </c>
      <c r="B818" s="31" t="s">
        <v>6</v>
      </c>
      <c r="C818" s="32"/>
      <c r="D818" s="33"/>
      <c r="E818" s="70"/>
      <c r="F818" s="97">
        <v>25.839099999999998</v>
      </c>
      <c r="G818" s="98">
        <v>9.0121000000000002</v>
      </c>
      <c r="H818" s="99">
        <v>10.0204</v>
      </c>
      <c r="I818" s="100">
        <v>1539.4739</v>
      </c>
      <c r="J818" s="99">
        <v>509.45670000000001</v>
      </c>
      <c r="K818" s="99">
        <v>585.52229999999997</v>
      </c>
      <c r="L818" s="165">
        <f>SUM(BabycareRaw[[#This Row],[2022]:[YTD 24]])</f>
        <v>44.871600000000001</v>
      </c>
    </row>
    <row r="819" spans="1:12" ht="15" customHeight="1" x14ac:dyDescent="0.2">
      <c r="A819" s="34" t="s">
        <v>704</v>
      </c>
      <c r="B819" s="32" t="s">
        <v>8</v>
      </c>
      <c r="C819" s="32" t="s">
        <v>9</v>
      </c>
      <c r="D819" s="33" t="s">
        <v>30</v>
      </c>
      <c r="E819" s="70" t="s">
        <v>24</v>
      </c>
      <c r="F819" s="97">
        <v>25.839099999999998</v>
      </c>
      <c r="G819" s="98">
        <v>9.0121000000000002</v>
      </c>
      <c r="H819" s="99">
        <v>10.0204</v>
      </c>
      <c r="I819" s="100">
        <v>1539.4739</v>
      </c>
      <c r="J819" s="99">
        <v>509.45670000000001</v>
      </c>
      <c r="K819" s="99">
        <v>585.52229999999997</v>
      </c>
      <c r="L819" s="165">
        <f>SUM(BabycareRaw[[#This Row],[2022]:[YTD 24]])</f>
        <v>44.871600000000001</v>
      </c>
    </row>
    <row r="820" spans="1:12" ht="15" customHeight="1" x14ac:dyDescent="0.2">
      <c r="A820" s="27" t="s">
        <v>817</v>
      </c>
      <c r="B820" s="28" t="s">
        <v>5</v>
      </c>
      <c r="C820" s="28"/>
      <c r="D820" s="29"/>
      <c r="E820" s="68"/>
      <c r="F820" s="101">
        <v>19.4955</v>
      </c>
      <c r="G820" s="102">
        <v>39.761400000000002</v>
      </c>
      <c r="H820" s="103">
        <v>26.269500000000001</v>
      </c>
      <c r="I820" s="104">
        <v>286.0496</v>
      </c>
      <c r="J820" s="103">
        <v>652.10860000000002</v>
      </c>
      <c r="K820" s="103">
        <v>499.83789999999999</v>
      </c>
      <c r="L820" s="169">
        <f>SUM(BabycareRaw[[#This Row],[2022]:[YTD 24]])</f>
        <v>85.526399999999995</v>
      </c>
    </row>
    <row r="821" spans="1:12" ht="14.25" customHeight="1" x14ac:dyDescent="0.2">
      <c r="A821" s="30" t="s">
        <v>705</v>
      </c>
      <c r="B821" s="31" t="s">
        <v>6</v>
      </c>
      <c r="C821" s="32"/>
      <c r="D821" s="33"/>
      <c r="E821" s="70"/>
      <c r="F821" s="97">
        <v>19.4955</v>
      </c>
      <c r="G821" s="98">
        <v>39.761400000000002</v>
      </c>
      <c r="H821" s="99">
        <v>26.269500000000001</v>
      </c>
      <c r="I821" s="100">
        <v>286.0496</v>
      </c>
      <c r="J821" s="99">
        <v>652.10860000000002</v>
      </c>
      <c r="K821" s="99">
        <v>499.83789999999999</v>
      </c>
      <c r="L821" s="165">
        <f>SUM(BabycareRaw[[#This Row],[2022]:[YTD 24]])</f>
        <v>85.526399999999995</v>
      </c>
    </row>
    <row r="822" spans="1:12" ht="15" customHeight="1" x14ac:dyDescent="0.2">
      <c r="A822" s="34" t="s">
        <v>706</v>
      </c>
      <c r="B822" s="32" t="s">
        <v>8</v>
      </c>
      <c r="C822" s="32" t="s">
        <v>9</v>
      </c>
      <c r="D822" s="33" t="s">
        <v>249</v>
      </c>
      <c r="E822" s="70" t="s">
        <v>15</v>
      </c>
      <c r="F822" s="97">
        <v>9.0969999999999995</v>
      </c>
      <c r="G822" s="98">
        <v>13.0891</v>
      </c>
      <c r="H822" s="99">
        <v>4.6460999999999997</v>
      </c>
      <c r="I822" s="100">
        <v>134.3818</v>
      </c>
      <c r="J822" s="99">
        <v>186.4109</v>
      </c>
      <c r="K822" s="99">
        <v>56.316099999999999</v>
      </c>
      <c r="L822" s="165">
        <f>SUM(BabycareRaw[[#This Row],[2022]:[YTD 24]])</f>
        <v>26.8322</v>
      </c>
    </row>
    <row r="823" spans="1:12" ht="15" customHeight="1" x14ac:dyDescent="0.2">
      <c r="A823" s="34" t="s">
        <v>707</v>
      </c>
      <c r="B823" s="32" t="s">
        <v>8</v>
      </c>
      <c r="C823" s="32" t="s">
        <v>9</v>
      </c>
      <c r="D823" s="33" t="s">
        <v>64</v>
      </c>
      <c r="E823" s="70" t="s">
        <v>15</v>
      </c>
      <c r="F823" s="97">
        <v>10.3986</v>
      </c>
      <c r="G823" s="98">
        <v>26.6724</v>
      </c>
      <c r="H823" s="99">
        <v>21.6234</v>
      </c>
      <c r="I823" s="100">
        <v>151.6679</v>
      </c>
      <c r="J823" s="99">
        <v>465.6979</v>
      </c>
      <c r="K823" s="99">
        <v>443.52179999999998</v>
      </c>
      <c r="L823" s="165">
        <f>SUM(BabycareRaw[[#This Row],[2022]:[YTD 24]])</f>
        <v>58.694400000000002</v>
      </c>
    </row>
    <row r="824" spans="1:12" ht="15" customHeight="1" x14ac:dyDescent="0.2">
      <c r="A824" s="27" t="s">
        <v>818</v>
      </c>
      <c r="B824" s="28" t="s">
        <v>5</v>
      </c>
      <c r="C824" s="28"/>
      <c r="D824" s="29"/>
      <c r="E824" s="68"/>
      <c r="F824" s="101">
        <v>1.8396999999999999</v>
      </c>
      <c r="G824" s="102">
        <v>4.3616000000000001</v>
      </c>
      <c r="H824" s="103">
        <v>0</v>
      </c>
      <c r="I824" s="104">
        <v>115.49760000000001</v>
      </c>
      <c r="J824" s="103">
        <v>300.46589999999998</v>
      </c>
      <c r="K824" s="103">
        <v>0</v>
      </c>
      <c r="L824" s="169">
        <f>SUM(BabycareRaw[[#This Row],[2022]:[YTD 24]])</f>
        <v>6.2012999999999998</v>
      </c>
    </row>
    <row r="825" spans="1:12" ht="14.25" customHeight="1" x14ac:dyDescent="0.2">
      <c r="A825" s="30" t="s">
        <v>708</v>
      </c>
      <c r="B825" s="31" t="s">
        <v>6</v>
      </c>
      <c r="C825" s="32"/>
      <c r="D825" s="33"/>
      <c r="E825" s="70"/>
      <c r="F825" s="97">
        <v>1.8396999999999999</v>
      </c>
      <c r="G825" s="98">
        <v>4.3616000000000001</v>
      </c>
      <c r="H825" s="99">
        <v>0</v>
      </c>
      <c r="I825" s="100">
        <v>115.49760000000001</v>
      </c>
      <c r="J825" s="99">
        <v>300.46589999999998</v>
      </c>
      <c r="K825" s="99">
        <v>0</v>
      </c>
      <c r="L825" s="165">
        <f>SUM(BabycareRaw[[#This Row],[2022]:[YTD 24]])</f>
        <v>6.2012999999999998</v>
      </c>
    </row>
    <row r="826" spans="1:12" ht="15" customHeight="1" x14ac:dyDescent="0.2">
      <c r="A826" s="35" t="s">
        <v>709</v>
      </c>
      <c r="B826" s="36" t="s">
        <v>8</v>
      </c>
      <c r="C826" s="36" t="s">
        <v>9</v>
      </c>
      <c r="D826" s="37" t="s">
        <v>20</v>
      </c>
      <c r="E826" s="71" t="s">
        <v>42</v>
      </c>
      <c r="F826" s="105">
        <v>1.8396999999999999</v>
      </c>
      <c r="G826" s="106">
        <v>4.3616000000000001</v>
      </c>
      <c r="H826" s="107">
        <v>0</v>
      </c>
      <c r="I826" s="108">
        <v>115.49760000000001</v>
      </c>
      <c r="J826" s="107">
        <v>300.46589999999998</v>
      </c>
      <c r="K826" s="107">
        <v>0</v>
      </c>
      <c r="L826" s="166">
        <f>SUM(BabycareRaw[[#This Row],[2022]:[YTD 24]])</f>
        <v>6.2012999999999998</v>
      </c>
    </row>
    <row r="827" spans="1:12" ht="15" customHeight="1" x14ac:dyDescent="0.2"/>
  </sheetData>
  <phoneticPr fontId="16"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539AF-428B-4425-8210-901A5256B21A}">
  <sheetPr codeName="Sheet13"/>
  <dimension ref="A1:J553"/>
  <sheetViews>
    <sheetView topLeftCell="B1" workbookViewId="0">
      <selection activeCell="J23" sqref="J23"/>
    </sheetView>
  </sheetViews>
  <sheetFormatPr defaultRowHeight="15" x14ac:dyDescent="0.25"/>
  <cols>
    <col min="1" max="1" width="43" bestFit="1" customWidth="1"/>
    <col min="2" max="2" width="2" customWidth="1"/>
    <col min="3" max="3" width="22.7109375" style="46" bestFit="1" customWidth="1"/>
    <col min="4" max="4" width="2" customWidth="1"/>
    <col min="5" max="5" width="16.28515625" bestFit="1" customWidth="1"/>
    <col min="6" max="6" width="2" customWidth="1"/>
    <col min="7" max="7" width="19" bestFit="1" customWidth="1"/>
    <col min="9" max="9" width="13.140625" bestFit="1" customWidth="1"/>
    <col min="10" max="10" width="13.28515625" customWidth="1"/>
  </cols>
  <sheetData>
    <row r="1" spans="1:10" x14ac:dyDescent="0.25">
      <c r="A1" s="75" t="s">
        <v>1149</v>
      </c>
      <c r="B1" s="48"/>
      <c r="C1" s="77" t="s">
        <v>872</v>
      </c>
      <c r="D1" s="48"/>
      <c r="E1" s="49" t="s">
        <v>874</v>
      </c>
      <c r="F1" s="48"/>
      <c r="G1" s="50" t="s">
        <v>1032</v>
      </c>
      <c r="I1" t="s">
        <v>1146</v>
      </c>
      <c r="J1" t="s">
        <v>1148</v>
      </c>
    </row>
    <row r="2" spans="1:10" x14ac:dyDescent="0.25">
      <c r="A2" s="76" t="s">
        <v>7</v>
      </c>
      <c r="B2" s="47"/>
      <c r="C2" s="78" t="s">
        <v>873</v>
      </c>
      <c r="D2" s="47"/>
      <c r="E2" s="44" t="s">
        <v>879</v>
      </c>
      <c r="F2" s="47"/>
      <c r="G2" s="51" t="s">
        <v>873</v>
      </c>
      <c r="I2" t="s">
        <v>872</v>
      </c>
      <c r="J2">
        <f>COUNTA(C2:C116)</f>
        <v>115</v>
      </c>
    </row>
    <row r="3" spans="1:10" x14ac:dyDescent="0.25">
      <c r="A3" s="76" t="s">
        <v>12</v>
      </c>
      <c r="B3" s="47"/>
      <c r="C3" s="78" t="s">
        <v>1033</v>
      </c>
      <c r="D3" s="47"/>
      <c r="E3" s="44" t="s">
        <v>880</v>
      </c>
      <c r="F3" s="47"/>
      <c r="G3" s="51" t="s">
        <v>713</v>
      </c>
      <c r="I3" t="s">
        <v>874</v>
      </c>
      <c r="J3">
        <f>COUNTA(E2:E152)</f>
        <v>151</v>
      </c>
    </row>
    <row r="4" spans="1:10" x14ac:dyDescent="0.25">
      <c r="A4" s="76" t="s">
        <v>14</v>
      </c>
      <c r="B4" s="47"/>
      <c r="C4" s="78" t="s">
        <v>1034</v>
      </c>
      <c r="D4" s="47"/>
      <c r="E4" s="44" t="s">
        <v>881</v>
      </c>
      <c r="F4" s="47"/>
      <c r="G4" s="51" t="s">
        <v>714</v>
      </c>
      <c r="I4" t="s">
        <v>1032</v>
      </c>
      <c r="J4">
        <f>COUNTA(G2:G108)</f>
        <v>107</v>
      </c>
    </row>
    <row r="5" spans="1:10" x14ac:dyDescent="0.25">
      <c r="A5" s="76" t="s">
        <v>16</v>
      </c>
      <c r="B5" s="47"/>
      <c r="C5" s="78" t="s">
        <v>1035</v>
      </c>
      <c r="D5" s="47"/>
      <c r="E5" s="44" t="s">
        <v>882</v>
      </c>
      <c r="F5" s="47"/>
      <c r="G5" s="51" t="s">
        <v>715</v>
      </c>
      <c r="I5" t="s">
        <v>1147</v>
      </c>
      <c r="J5">
        <f>COUNTA(A2:A552)</f>
        <v>551</v>
      </c>
    </row>
    <row r="6" spans="1:10" x14ac:dyDescent="0.25">
      <c r="A6" s="76" t="s">
        <v>18</v>
      </c>
      <c r="B6" s="47"/>
      <c r="C6" s="78" t="s">
        <v>1036</v>
      </c>
      <c r="D6" s="47"/>
      <c r="E6" s="44" t="s">
        <v>883</v>
      </c>
      <c r="F6" s="47"/>
      <c r="G6" s="51" t="s">
        <v>716</v>
      </c>
    </row>
    <row r="7" spans="1:10" x14ac:dyDescent="0.25">
      <c r="A7" s="76" t="s">
        <v>19</v>
      </c>
      <c r="B7" s="47"/>
      <c r="C7" s="78" t="s">
        <v>1037</v>
      </c>
      <c r="D7" s="47"/>
      <c r="E7" s="44" t="s">
        <v>884</v>
      </c>
      <c r="F7" s="47"/>
      <c r="G7" s="51" t="s">
        <v>717</v>
      </c>
    </row>
    <row r="8" spans="1:10" x14ac:dyDescent="0.25">
      <c r="A8" s="76" t="s">
        <v>22</v>
      </c>
      <c r="B8" s="47"/>
      <c r="C8" s="78" t="s">
        <v>1038</v>
      </c>
      <c r="D8" s="47"/>
      <c r="E8" s="44" t="s">
        <v>885</v>
      </c>
      <c r="F8" s="47"/>
      <c r="G8" s="51" t="s">
        <v>718</v>
      </c>
    </row>
    <row r="9" spans="1:10" x14ac:dyDescent="0.25">
      <c r="A9" s="76" t="s">
        <v>23</v>
      </c>
      <c r="B9" s="47"/>
      <c r="C9" s="78" t="s">
        <v>1039</v>
      </c>
      <c r="D9" s="47"/>
      <c r="E9" s="44" t="s">
        <v>886</v>
      </c>
      <c r="F9" s="47"/>
      <c r="G9" s="51" t="s">
        <v>719</v>
      </c>
    </row>
    <row r="10" spans="1:10" x14ac:dyDescent="0.25">
      <c r="A10" s="76" t="s">
        <v>25</v>
      </c>
      <c r="B10" s="47"/>
      <c r="C10" s="78" t="s">
        <v>1040</v>
      </c>
      <c r="D10" s="47"/>
      <c r="E10" s="44" t="s">
        <v>887</v>
      </c>
      <c r="F10" s="47"/>
      <c r="G10" s="51" t="s">
        <v>720</v>
      </c>
    </row>
    <row r="11" spans="1:10" x14ac:dyDescent="0.25">
      <c r="A11" s="76" t="s">
        <v>27</v>
      </c>
      <c r="B11" s="47"/>
      <c r="C11" s="78" t="s">
        <v>1041</v>
      </c>
      <c r="D11" s="47"/>
      <c r="E11" s="44" t="s">
        <v>888</v>
      </c>
      <c r="F11" s="47"/>
      <c r="G11" s="51" t="s">
        <v>721</v>
      </c>
    </row>
    <row r="12" spans="1:10" x14ac:dyDescent="0.25">
      <c r="A12" s="76" t="s">
        <v>28</v>
      </c>
      <c r="B12" s="47"/>
      <c r="C12" s="78" t="s">
        <v>722</v>
      </c>
      <c r="D12" s="47"/>
      <c r="E12" s="44" t="s">
        <v>889</v>
      </c>
      <c r="F12" s="47"/>
      <c r="G12" s="51" t="s">
        <v>722</v>
      </c>
    </row>
    <row r="13" spans="1:10" x14ac:dyDescent="0.25">
      <c r="A13" s="76" t="s">
        <v>29</v>
      </c>
      <c r="B13" s="47"/>
      <c r="C13" s="78" t="s">
        <v>1042</v>
      </c>
      <c r="D13" s="47"/>
      <c r="E13" s="44" t="s">
        <v>890</v>
      </c>
      <c r="F13" s="47"/>
      <c r="G13" s="51" t="s">
        <v>723</v>
      </c>
    </row>
    <row r="14" spans="1:10" x14ac:dyDescent="0.25">
      <c r="A14" s="76" t="s">
        <v>31</v>
      </c>
      <c r="B14" s="47"/>
      <c r="C14" s="78" t="s">
        <v>1043</v>
      </c>
      <c r="D14" s="47"/>
      <c r="E14" s="44" t="s">
        <v>891</v>
      </c>
      <c r="F14" s="47"/>
      <c r="G14" s="51" t="s">
        <v>724</v>
      </c>
    </row>
    <row r="15" spans="1:10" x14ac:dyDescent="0.25">
      <c r="A15" s="76" t="s">
        <v>33</v>
      </c>
      <c r="B15" s="47"/>
      <c r="C15" s="78" t="s">
        <v>1044</v>
      </c>
      <c r="D15" s="47"/>
      <c r="E15" s="44" t="s">
        <v>892</v>
      </c>
      <c r="F15" s="47"/>
      <c r="G15" s="51" t="s">
        <v>725</v>
      </c>
    </row>
    <row r="16" spans="1:10" x14ac:dyDescent="0.25">
      <c r="A16" s="76" t="s">
        <v>35</v>
      </c>
      <c r="B16" s="47"/>
      <c r="C16" s="78" t="s">
        <v>1045</v>
      </c>
      <c r="D16" s="47"/>
      <c r="E16" s="44" t="s">
        <v>893</v>
      </c>
      <c r="F16" s="47"/>
      <c r="G16" s="51" t="s">
        <v>726</v>
      </c>
    </row>
    <row r="17" spans="1:7" x14ac:dyDescent="0.25">
      <c r="A17" s="76" t="s">
        <v>36</v>
      </c>
      <c r="B17" s="47"/>
      <c r="C17" s="78" t="s">
        <v>1046</v>
      </c>
      <c r="D17" s="47"/>
      <c r="E17" s="44" t="s">
        <v>894</v>
      </c>
      <c r="F17" s="47"/>
      <c r="G17" s="51" t="s">
        <v>727</v>
      </c>
    </row>
    <row r="18" spans="1:7" x14ac:dyDescent="0.25">
      <c r="A18" s="76" t="s">
        <v>38</v>
      </c>
      <c r="B18" s="47"/>
      <c r="C18" s="78" t="s">
        <v>1047</v>
      </c>
      <c r="D18" s="47"/>
      <c r="E18" s="44" t="s">
        <v>895</v>
      </c>
      <c r="F18" s="47"/>
      <c r="G18" s="51" t="s">
        <v>728</v>
      </c>
    </row>
    <row r="19" spans="1:7" x14ac:dyDescent="0.25">
      <c r="A19" s="76" t="s">
        <v>39</v>
      </c>
      <c r="B19" s="47"/>
      <c r="C19" s="78" t="s">
        <v>1048</v>
      </c>
      <c r="D19" s="47"/>
      <c r="E19" s="44" t="s">
        <v>896</v>
      </c>
      <c r="F19" s="47"/>
      <c r="G19" s="51" t="s">
        <v>729</v>
      </c>
    </row>
    <row r="20" spans="1:7" x14ac:dyDescent="0.25">
      <c r="A20" s="76" t="s">
        <v>40</v>
      </c>
      <c r="B20" s="47"/>
      <c r="C20" s="78" t="s">
        <v>1049</v>
      </c>
      <c r="D20" s="47"/>
      <c r="E20" s="44" t="s">
        <v>897</v>
      </c>
      <c r="F20" s="47"/>
      <c r="G20" s="51" t="s">
        <v>730</v>
      </c>
    </row>
    <row r="21" spans="1:7" x14ac:dyDescent="0.25">
      <c r="A21" s="76" t="s">
        <v>41</v>
      </c>
      <c r="B21" s="47"/>
      <c r="C21" s="78" t="s">
        <v>1050</v>
      </c>
      <c r="D21" s="47"/>
      <c r="E21" s="44" t="s">
        <v>898</v>
      </c>
      <c r="F21" s="47"/>
      <c r="G21" s="51" t="s">
        <v>731</v>
      </c>
    </row>
    <row r="22" spans="1:7" x14ac:dyDescent="0.25">
      <c r="A22" s="76" t="s">
        <v>43</v>
      </c>
      <c r="B22" s="47"/>
      <c r="C22" s="78" t="s">
        <v>1051</v>
      </c>
      <c r="D22" s="47"/>
      <c r="E22" s="44" t="s">
        <v>899</v>
      </c>
      <c r="F22" s="47"/>
      <c r="G22" s="51" t="s">
        <v>732</v>
      </c>
    </row>
    <row r="23" spans="1:7" x14ac:dyDescent="0.25">
      <c r="A23" s="76" t="s">
        <v>44</v>
      </c>
      <c r="B23" s="47"/>
      <c r="C23" s="78" t="s">
        <v>1052</v>
      </c>
      <c r="D23" s="47"/>
      <c r="E23" s="44" t="s">
        <v>900</v>
      </c>
      <c r="F23" s="47"/>
      <c r="G23" s="51" t="s">
        <v>733</v>
      </c>
    </row>
    <row r="24" spans="1:7" x14ac:dyDescent="0.25">
      <c r="A24" s="76" t="s">
        <v>45</v>
      </c>
      <c r="B24" s="47"/>
      <c r="C24" s="78" t="s">
        <v>1141</v>
      </c>
      <c r="D24" s="47"/>
      <c r="E24" s="44" t="s">
        <v>901</v>
      </c>
      <c r="F24" s="47"/>
      <c r="G24" s="51" t="s">
        <v>734</v>
      </c>
    </row>
    <row r="25" spans="1:7" x14ac:dyDescent="0.25">
      <c r="A25" s="76" t="s">
        <v>46</v>
      </c>
      <c r="B25" s="47"/>
      <c r="C25" s="78" t="s">
        <v>735</v>
      </c>
      <c r="D25" s="47"/>
      <c r="E25" s="44" t="s">
        <v>902</v>
      </c>
      <c r="F25" s="47"/>
      <c r="G25" s="51" t="s">
        <v>735</v>
      </c>
    </row>
    <row r="26" spans="1:7" x14ac:dyDescent="0.25">
      <c r="A26" s="76" t="s">
        <v>47</v>
      </c>
      <c r="B26" s="47"/>
      <c r="C26" s="78" t="s">
        <v>1053</v>
      </c>
      <c r="D26" s="47"/>
      <c r="E26" s="44" t="s">
        <v>131</v>
      </c>
      <c r="F26" s="47"/>
      <c r="G26" s="51" t="s">
        <v>736</v>
      </c>
    </row>
    <row r="27" spans="1:7" x14ac:dyDescent="0.25">
      <c r="A27" s="76" t="s">
        <v>48</v>
      </c>
      <c r="B27" s="47"/>
      <c r="C27" s="78" t="s">
        <v>1054</v>
      </c>
      <c r="D27" s="47"/>
      <c r="E27" s="44" t="s">
        <v>903</v>
      </c>
      <c r="F27" s="47"/>
      <c r="G27" s="51" t="s">
        <v>737</v>
      </c>
    </row>
    <row r="28" spans="1:7" x14ac:dyDescent="0.25">
      <c r="A28" s="76" t="s">
        <v>49</v>
      </c>
      <c r="B28" s="47"/>
      <c r="C28" s="78" t="s">
        <v>738</v>
      </c>
      <c r="D28" s="47"/>
      <c r="E28" s="44" t="s">
        <v>904</v>
      </c>
      <c r="F28" s="47"/>
      <c r="G28" s="51" t="s">
        <v>738</v>
      </c>
    </row>
    <row r="29" spans="1:7" x14ac:dyDescent="0.25">
      <c r="A29" s="76" t="s">
        <v>50</v>
      </c>
      <c r="B29" s="47"/>
      <c r="C29" s="78" t="s">
        <v>1055</v>
      </c>
      <c r="D29" s="47"/>
      <c r="E29" s="44" t="s">
        <v>905</v>
      </c>
      <c r="F29" s="47"/>
      <c r="G29" s="51" t="s">
        <v>739</v>
      </c>
    </row>
    <row r="30" spans="1:7" x14ac:dyDescent="0.25">
      <c r="A30" s="76" t="s">
        <v>51</v>
      </c>
      <c r="B30" s="47"/>
      <c r="C30" s="78" t="s">
        <v>1056</v>
      </c>
      <c r="D30" s="47"/>
      <c r="E30" s="44" t="s">
        <v>906</v>
      </c>
      <c r="F30" s="47"/>
      <c r="G30" s="51" t="s">
        <v>740</v>
      </c>
    </row>
    <row r="31" spans="1:7" x14ac:dyDescent="0.25">
      <c r="A31" s="76" t="s">
        <v>52</v>
      </c>
      <c r="B31" s="47"/>
      <c r="C31" s="78" t="s">
        <v>1057</v>
      </c>
      <c r="D31" s="47"/>
      <c r="E31" s="44" t="s">
        <v>907</v>
      </c>
      <c r="F31" s="47"/>
      <c r="G31" s="51" t="s">
        <v>741</v>
      </c>
    </row>
    <row r="32" spans="1:7" x14ac:dyDescent="0.25">
      <c r="A32" s="76" t="s">
        <v>53</v>
      </c>
      <c r="B32" s="47"/>
      <c r="C32" s="78" t="s">
        <v>1058</v>
      </c>
      <c r="D32" s="47"/>
      <c r="E32" s="44" t="s">
        <v>908</v>
      </c>
      <c r="F32" s="47"/>
      <c r="G32" s="51" t="s">
        <v>742</v>
      </c>
    </row>
    <row r="33" spans="1:7" x14ac:dyDescent="0.25">
      <c r="A33" s="76" t="s">
        <v>54</v>
      </c>
      <c r="B33" s="47"/>
      <c r="C33" s="78" t="s">
        <v>1059</v>
      </c>
      <c r="D33" s="47"/>
      <c r="E33" s="44" t="s">
        <v>909</v>
      </c>
      <c r="F33" s="47"/>
      <c r="G33" s="51" t="s">
        <v>743</v>
      </c>
    </row>
    <row r="34" spans="1:7" x14ac:dyDescent="0.25">
      <c r="A34" s="76" t="s">
        <v>55</v>
      </c>
      <c r="B34" s="47"/>
      <c r="C34" s="78" t="s">
        <v>1060</v>
      </c>
      <c r="D34" s="47"/>
      <c r="E34" s="44" t="s">
        <v>910</v>
      </c>
      <c r="F34" s="47"/>
      <c r="G34" s="51" t="s">
        <v>744</v>
      </c>
    </row>
    <row r="35" spans="1:7" x14ac:dyDescent="0.25">
      <c r="A35" s="76" t="s">
        <v>56</v>
      </c>
      <c r="B35" s="47"/>
      <c r="C35" s="78" t="s">
        <v>1061</v>
      </c>
      <c r="D35" s="47"/>
      <c r="E35" s="44" t="s">
        <v>911</v>
      </c>
      <c r="F35" s="47"/>
      <c r="G35" s="51" t="s">
        <v>745</v>
      </c>
    </row>
    <row r="36" spans="1:7" x14ac:dyDescent="0.25">
      <c r="A36" s="76" t="s">
        <v>57</v>
      </c>
      <c r="B36" s="47"/>
      <c r="C36" s="78" t="s">
        <v>1062</v>
      </c>
      <c r="D36" s="47"/>
      <c r="E36" s="44" t="s">
        <v>912</v>
      </c>
      <c r="F36" s="47"/>
      <c r="G36" s="51" t="s">
        <v>746</v>
      </c>
    </row>
    <row r="37" spans="1:7" x14ac:dyDescent="0.25">
      <c r="A37" s="76" t="s">
        <v>58</v>
      </c>
      <c r="B37" s="47"/>
      <c r="C37" s="78" t="s">
        <v>1063</v>
      </c>
      <c r="D37" s="47"/>
      <c r="E37" s="44" t="s">
        <v>913</v>
      </c>
      <c r="F37" s="47"/>
      <c r="G37" s="51" t="s">
        <v>747</v>
      </c>
    </row>
    <row r="38" spans="1:7" x14ac:dyDescent="0.25">
      <c r="A38" s="76" t="s">
        <v>59</v>
      </c>
      <c r="B38" s="47"/>
      <c r="C38" s="78" t="s">
        <v>1064</v>
      </c>
      <c r="D38" s="47"/>
      <c r="E38" s="44" t="s">
        <v>914</v>
      </c>
      <c r="F38" s="47"/>
      <c r="G38" s="51" t="s">
        <v>748</v>
      </c>
    </row>
    <row r="39" spans="1:7" x14ac:dyDescent="0.25">
      <c r="A39" s="76" t="s">
        <v>60</v>
      </c>
      <c r="B39" s="47"/>
      <c r="C39" s="78" t="s">
        <v>1065</v>
      </c>
      <c r="D39" s="47"/>
      <c r="E39" s="44" t="s">
        <v>915</v>
      </c>
      <c r="F39" s="47"/>
      <c r="G39" s="51" t="s">
        <v>749</v>
      </c>
    </row>
    <row r="40" spans="1:7" x14ac:dyDescent="0.25">
      <c r="A40" s="76" t="s">
        <v>61</v>
      </c>
      <c r="B40" s="47"/>
      <c r="C40" s="78" t="s">
        <v>1066</v>
      </c>
      <c r="D40" s="47"/>
      <c r="E40" s="44" t="s">
        <v>916</v>
      </c>
      <c r="F40" s="47"/>
      <c r="G40" s="51" t="s">
        <v>750</v>
      </c>
    </row>
    <row r="41" spans="1:7" x14ac:dyDescent="0.25">
      <c r="A41" s="76" t="s">
        <v>62</v>
      </c>
      <c r="B41" s="47"/>
      <c r="C41" s="78" t="s">
        <v>1067</v>
      </c>
      <c r="D41" s="47"/>
      <c r="E41" s="44" t="s">
        <v>917</v>
      </c>
      <c r="F41" s="47"/>
      <c r="G41" s="51" t="s">
        <v>751</v>
      </c>
    </row>
    <row r="42" spans="1:7" x14ac:dyDescent="0.25">
      <c r="A42" s="76" t="s">
        <v>63</v>
      </c>
      <c r="B42" s="47"/>
      <c r="C42" s="78" t="s">
        <v>1068</v>
      </c>
      <c r="D42" s="47"/>
      <c r="E42" s="44" t="s">
        <v>918</v>
      </c>
      <c r="F42" s="47"/>
      <c r="G42" s="51" t="s">
        <v>752</v>
      </c>
    </row>
    <row r="43" spans="1:7" x14ac:dyDescent="0.25">
      <c r="A43" s="76" t="s">
        <v>65</v>
      </c>
      <c r="B43" s="47"/>
      <c r="C43" s="78" t="s">
        <v>1069</v>
      </c>
      <c r="D43" s="47"/>
      <c r="E43" s="44" t="s">
        <v>919</v>
      </c>
      <c r="F43" s="47"/>
      <c r="G43" s="51" t="s">
        <v>753</v>
      </c>
    </row>
    <row r="44" spans="1:7" x14ac:dyDescent="0.25">
      <c r="A44" s="76" t="s">
        <v>66</v>
      </c>
      <c r="B44" s="47"/>
      <c r="C44" s="78" t="s">
        <v>1070</v>
      </c>
      <c r="D44" s="47"/>
      <c r="E44" s="44" t="s">
        <v>920</v>
      </c>
      <c r="F44" s="47"/>
      <c r="G44" s="51" t="s">
        <v>754</v>
      </c>
    </row>
    <row r="45" spans="1:7" x14ac:dyDescent="0.25">
      <c r="A45" s="76" t="s">
        <v>67</v>
      </c>
      <c r="B45" s="47"/>
      <c r="C45" s="78" t="s">
        <v>1071</v>
      </c>
      <c r="D45" s="47"/>
      <c r="E45" s="44" t="s">
        <v>921</v>
      </c>
      <c r="F45" s="47"/>
      <c r="G45" s="51" t="s">
        <v>755</v>
      </c>
    </row>
    <row r="46" spans="1:7" x14ac:dyDescent="0.25">
      <c r="A46" s="76" t="s">
        <v>70</v>
      </c>
      <c r="B46" s="47"/>
      <c r="C46" s="78" t="s">
        <v>1072</v>
      </c>
      <c r="D46" s="47"/>
      <c r="E46" s="44" t="s">
        <v>922</v>
      </c>
      <c r="F46" s="47"/>
      <c r="G46" s="51" t="s">
        <v>756</v>
      </c>
    </row>
    <row r="47" spans="1:7" x14ac:dyDescent="0.25">
      <c r="A47" s="76" t="s">
        <v>71</v>
      </c>
      <c r="B47" s="47"/>
      <c r="C47" s="78" t="s">
        <v>1073</v>
      </c>
      <c r="D47" s="47"/>
      <c r="E47" s="44" t="s">
        <v>923</v>
      </c>
      <c r="F47" s="47"/>
      <c r="G47" s="51" t="s">
        <v>757</v>
      </c>
    </row>
    <row r="48" spans="1:7" ht="24.75" x14ac:dyDescent="0.25">
      <c r="A48" s="76" t="s">
        <v>72</v>
      </c>
      <c r="B48" s="47"/>
      <c r="C48" s="78" t="s">
        <v>1074</v>
      </c>
      <c r="D48" s="47"/>
      <c r="E48" s="44" t="s">
        <v>924</v>
      </c>
      <c r="F48" s="47"/>
      <c r="G48" s="51" t="s">
        <v>758</v>
      </c>
    </row>
    <row r="49" spans="1:7" x14ac:dyDescent="0.25">
      <c r="A49" s="76" t="s">
        <v>73</v>
      </c>
      <c r="B49" s="47"/>
      <c r="C49" s="78" t="s">
        <v>1075</v>
      </c>
      <c r="D49" s="47"/>
      <c r="E49" s="44" t="s">
        <v>925</v>
      </c>
      <c r="F49" s="47"/>
      <c r="G49" s="51" t="s">
        <v>759</v>
      </c>
    </row>
    <row r="50" spans="1:7" ht="24.75" x14ac:dyDescent="0.25">
      <c r="A50" s="76" t="s">
        <v>74</v>
      </c>
      <c r="B50" s="47"/>
      <c r="C50" s="78" t="s">
        <v>1076</v>
      </c>
      <c r="D50" s="47"/>
      <c r="E50" s="44" t="s">
        <v>926</v>
      </c>
      <c r="F50" s="47"/>
      <c r="G50" s="51" t="s">
        <v>760</v>
      </c>
    </row>
    <row r="51" spans="1:7" x14ac:dyDescent="0.25">
      <c r="A51" s="76" t="s">
        <v>75</v>
      </c>
      <c r="B51" s="47"/>
      <c r="C51" s="78" t="s">
        <v>1077</v>
      </c>
      <c r="D51" s="47"/>
      <c r="E51" s="44" t="s">
        <v>927</v>
      </c>
      <c r="F51" s="47"/>
      <c r="G51" s="51" t="s">
        <v>761</v>
      </c>
    </row>
    <row r="52" spans="1:7" ht="24.75" x14ac:dyDescent="0.25">
      <c r="A52" s="76" t="s">
        <v>76</v>
      </c>
      <c r="B52" s="47"/>
      <c r="C52" s="78" t="s">
        <v>948</v>
      </c>
      <c r="D52" s="47"/>
      <c r="E52" s="44" t="s">
        <v>928</v>
      </c>
      <c r="F52" s="47"/>
      <c r="G52" s="51" t="s">
        <v>762</v>
      </c>
    </row>
    <row r="53" spans="1:7" x14ac:dyDescent="0.25">
      <c r="A53" s="76" t="s">
        <v>77</v>
      </c>
      <c r="B53" s="47"/>
      <c r="C53" s="78" t="s">
        <v>1078</v>
      </c>
      <c r="D53" s="47"/>
      <c r="E53" s="44" t="s">
        <v>929</v>
      </c>
      <c r="F53" s="47"/>
      <c r="G53" s="51" t="s">
        <v>763</v>
      </c>
    </row>
    <row r="54" spans="1:7" x14ac:dyDescent="0.25">
      <c r="A54" s="76" t="s">
        <v>78</v>
      </c>
      <c r="B54" s="47"/>
      <c r="C54" s="78" t="s">
        <v>1079</v>
      </c>
      <c r="D54" s="47"/>
      <c r="E54" s="44" t="s">
        <v>930</v>
      </c>
      <c r="F54" s="47"/>
      <c r="G54" s="51" t="s">
        <v>764</v>
      </c>
    </row>
    <row r="55" spans="1:7" x14ac:dyDescent="0.25">
      <c r="A55" s="76" t="s">
        <v>79</v>
      </c>
      <c r="B55" s="47"/>
      <c r="C55" s="78" t="s">
        <v>1080</v>
      </c>
      <c r="D55" s="47"/>
      <c r="E55" s="44" t="s">
        <v>931</v>
      </c>
      <c r="F55" s="47"/>
      <c r="G55" s="51" t="s">
        <v>765</v>
      </c>
    </row>
    <row r="56" spans="1:7" x14ac:dyDescent="0.25">
      <c r="A56" s="76" t="s">
        <v>80</v>
      </c>
      <c r="B56" s="47"/>
      <c r="C56" s="78" t="s">
        <v>1081</v>
      </c>
      <c r="D56" s="47"/>
      <c r="E56" s="44" t="s">
        <v>932</v>
      </c>
      <c r="F56" s="47"/>
      <c r="G56" s="51" t="s">
        <v>766</v>
      </c>
    </row>
    <row r="57" spans="1:7" ht="24.75" x14ac:dyDescent="0.25">
      <c r="A57" s="76" t="s">
        <v>81</v>
      </c>
      <c r="B57" s="47"/>
      <c r="C57" s="78" t="s">
        <v>1082</v>
      </c>
      <c r="D57" s="47"/>
      <c r="E57" s="44" t="s">
        <v>933</v>
      </c>
      <c r="F57" s="47"/>
      <c r="G57" s="51" t="s">
        <v>767</v>
      </c>
    </row>
    <row r="58" spans="1:7" ht="24.75" x14ac:dyDescent="0.25">
      <c r="A58" s="76" t="s">
        <v>82</v>
      </c>
      <c r="B58" s="47"/>
      <c r="C58" s="78" t="s">
        <v>1083</v>
      </c>
      <c r="D58" s="47"/>
      <c r="E58" s="44" t="s">
        <v>934</v>
      </c>
      <c r="F58" s="47"/>
      <c r="G58" s="51" t="s">
        <v>768</v>
      </c>
    </row>
    <row r="59" spans="1:7" x14ac:dyDescent="0.25">
      <c r="A59" s="76" t="s">
        <v>83</v>
      </c>
      <c r="B59" s="47"/>
      <c r="C59" s="78" t="s">
        <v>1084</v>
      </c>
      <c r="D59" s="47"/>
      <c r="E59" s="44" t="s">
        <v>935</v>
      </c>
      <c r="F59" s="47"/>
      <c r="G59" s="51" t="s">
        <v>769</v>
      </c>
    </row>
    <row r="60" spans="1:7" ht="24.75" x14ac:dyDescent="0.25">
      <c r="A60" s="76" t="s">
        <v>85</v>
      </c>
      <c r="B60" s="47"/>
      <c r="C60" s="78" t="s">
        <v>1085</v>
      </c>
      <c r="D60" s="47"/>
      <c r="E60" s="44" t="s">
        <v>936</v>
      </c>
      <c r="F60" s="47"/>
      <c r="G60" s="51" t="s">
        <v>770</v>
      </c>
    </row>
    <row r="61" spans="1:7" x14ac:dyDescent="0.25">
      <c r="A61" s="76" t="s">
        <v>86</v>
      </c>
      <c r="B61" s="47"/>
      <c r="C61" s="78" t="s">
        <v>1086</v>
      </c>
      <c r="D61" s="47"/>
      <c r="E61" s="44" t="s">
        <v>937</v>
      </c>
      <c r="F61" s="47"/>
      <c r="G61" s="51" t="s">
        <v>771</v>
      </c>
    </row>
    <row r="62" spans="1:7" x14ac:dyDescent="0.25">
      <c r="A62" s="76" t="s">
        <v>87</v>
      </c>
      <c r="B62" s="47"/>
      <c r="C62" s="78" t="s">
        <v>1087</v>
      </c>
      <c r="D62" s="47"/>
      <c r="E62" s="44" t="s">
        <v>938</v>
      </c>
      <c r="F62" s="47"/>
      <c r="G62" s="51" t="s">
        <v>772</v>
      </c>
    </row>
    <row r="63" spans="1:7" x14ac:dyDescent="0.25">
      <c r="A63" s="76" t="s">
        <v>89</v>
      </c>
      <c r="B63" s="47"/>
      <c r="C63" s="78" t="s">
        <v>1088</v>
      </c>
      <c r="D63" s="47"/>
      <c r="E63" s="44" t="s">
        <v>939</v>
      </c>
      <c r="F63" s="47"/>
      <c r="G63" s="51" t="s">
        <v>773</v>
      </c>
    </row>
    <row r="64" spans="1:7" ht="24.75" x14ac:dyDescent="0.25">
      <c r="A64" s="76" t="s">
        <v>90</v>
      </c>
      <c r="B64" s="47"/>
      <c r="C64" s="78" t="s">
        <v>1089</v>
      </c>
      <c r="D64" s="47"/>
      <c r="E64" s="44" t="s">
        <v>940</v>
      </c>
      <c r="F64" s="47"/>
      <c r="G64" s="51" t="s">
        <v>774</v>
      </c>
    </row>
    <row r="65" spans="1:7" x14ac:dyDescent="0.25">
      <c r="A65" s="76" t="s">
        <v>91</v>
      </c>
      <c r="B65" s="47"/>
      <c r="C65" s="78" t="s">
        <v>1090</v>
      </c>
      <c r="D65" s="47"/>
      <c r="E65" s="44" t="s">
        <v>941</v>
      </c>
      <c r="F65" s="47"/>
      <c r="G65" s="51" t="s">
        <v>775</v>
      </c>
    </row>
    <row r="66" spans="1:7" x14ac:dyDescent="0.25">
      <c r="A66" s="76" t="s">
        <v>92</v>
      </c>
      <c r="B66" s="47"/>
      <c r="C66" s="78" t="s">
        <v>1091</v>
      </c>
      <c r="D66" s="47"/>
      <c r="E66" s="44" t="s">
        <v>942</v>
      </c>
      <c r="F66" s="47"/>
      <c r="G66" s="51" t="s">
        <v>776</v>
      </c>
    </row>
    <row r="67" spans="1:7" x14ac:dyDescent="0.25">
      <c r="A67" s="76" t="s">
        <v>93</v>
      </c>
      <c r="B67" s="47"/>
      <c r="C67" s="78" t="s">
        <v>1092</v>
      </c>
      <c r="D67" s="47"/>
      <c r="E67" s="44" t="s">
        <v>943</v>
      </c>
      <c r="F67" s="47"/>
      <c r="G67" s="51" t="s">
        <v>777</v>
      </c>
    </row>
    <row r="68" spans="1:7" x14ac:dyDescent="0.25">
      <c r="A68" s="76" t="s">
        <v>94</v>
      </c>
      <c r="B68" s="47"/>
      <c r="C68" s="78" t="s">
        <v>1093</v>
      </c>
      <c r="D68" s="47"/>
      <c r="E68" s="44" t="s">
        <v>944</v>
      </c>
      <c r="F68" s="47"/>
      <c r="G68" s="51" t="s">
        <v>778</v>
      </c>
    </row>
    <row r="69" spans="1:7" ht="24.75" x14ac:dyDescent="0.25">
      <c r="A69" s="76" t="s">
        <v>95</v>
      </c>
      <c r="B69" s="47"/>
      <c r="C69" s="78" t="s">
        <v>1094</v>
      </c>
      <c r="D69" s="47"/>
      <c r="E69" s="44" t="s">
        <v>945</v>
      </c>
      <c r="F69" s="47"/>
      <c r="G69" s="51" t="s">
        <v>779</v>
      </c>
    </row>
    <row r="70" spans="1:7" x14ac:dyDescent="0.25">
      <c r="A70" s="76" t="s">
        <v>96</v>
      </c>
      <c r="B70" s="47"/>
      <c r="C70" s="78" t="s">
        <v>1095</v>
      </c>
      <c r="D70" s="47"/>
      <c r="E70" s="44" t="s">
        <v>946</v>
      </c>
      <c r="F70" s="47"/>
      <c r="G70" s="51" t="s">
        <v>780</v>
      </c>
    </row>
    <row r="71" spans="1:7" x14ac:dyDescent="0.25">
      <c r="A71" s="76" t="s">
        <v>97</v>
      </c>
      <c r="B71" s="47"/>
      <c r="C71" s="78" t="s">
        <v>1096</v>
      </c>
      <c r="D71" s="47"/>
      <c r="E71" s="44" t="s">
        <v>947</v>
      </c>
      <c r="F71" s="47"/>
      <c r="G71" s="51" t="s">
        <v>781</v>
      </c>
    </row>
    <row r="72" spans="1:7" x14ac:dyDescent="0.25">
      <c r="A72" s="76" t="s">
        <v>98</v>
      </c>
      <c r="B72" s="47"/>
      <c r="C72" s="78" t="s">
        <v>1097</v>
      </c>
      <c r="D72" s="47"/>
      <c r="E72" s="44" t="s">
        <v>949</v>
      </c>
      <c r="F72" s="47"/>
      <c r="G72" s="51" t="s">
        <v>782</v>
      </c>
    </row>
    <row r="73" spans="1:7" x14ac:dyDescent="0.25">
      <c r="A73" s="76" t="s">
        <v>100</v>
      </c>
      <c r="B73" s="47"/>
      <c r="C73" s="78" t="s">
        <v>1098</v>
      </c>
      <c r="D73" s="47"/>
      <c r="E73" s="44" t="s">
        <v>950</v>
      </c>
      <c r="F73" s="47"/>
      <c r="G73" s="51" t="s">
        <v>783</v>
      </c>
    </row>
    <row r="74" spans="1:7" ht="24.75" x14ac:dyDescent="0.25">
      <c r="A74" s="76" t="s">
        <v>101</v>
      </c>
      <c r="B74" s="47"/>
      <c r="C74" s="78" t="s">
        <v>1099</v>
      </c>
      <c r="D74" s="47"/>
      <c r="E74" s="44" t="s">
        <v>951</v>
      </c>
      <c r="F74" s="47"/>
      <c r="G74" s="51" t="s">
        <v>784</v>
      </c>
    </row>
    <row r="75" spans="1:7" x14ac:dyDescent="0.25">
      <c r="A75" s="76" t="s">
        <v>104</v>
      </c>
      <c r="B75" s="47"/>
      <c r="C75" s="78" t="s">
        <v>1100</v>
      </c>
      <c r="D75" s="47"/>
      <c r="E75" s="44" t="s">
        <v>952</v>
      </c>
      <c r="F75" s="47"/>
      <c r="G75" s="51" t="s">
        <v>785</v>
      </c>
    </row>
    <row r="76" spans="1:7" x14ac:dyDescent="0.25">
      <c r="A76" s="76" t="s">
        <v>106</v>
      </c>
      <c r="B76" s="47"/>
      <c r="C76" s="78" t="s">
        <v>1101</v>
      </c>
      <c r="D76" s="47"/>
      <c r="E76" s="44" t="s">
        <v>953</v>
      </c>
      <c r="F76" s="47"/>
      <c r="G76" s="51" t="s">
        <v>786</v>
      </c>
    </row>
    <row r="77" spans="1:7" x14ac:dyDescent="0.25">
      <c r="A77" s="76" t="s">
        <v>107</v>
      </c>
      <c r="B77" s="47"/>
      <c r="C77" s="78" t="s">
        <v>1102</v>
      </c>
      <c r="D77" s="47"/>
      <c r="E77" s="44" t="s">
        <v>954</v>
      </c>
      <c r="F77" s="47"/>
      <c r="G77" s="51" t="s">
        <v>787</v>
      </c>
    </row>
    <row r="78" spans="1:7" x14ac:dyDescent="0.25">
      <c r="A78" s="76" t="s">
        <v>108</v>
      </c>
      <c r="B78" s="47"/>
      <c r="C78" s="78" t="s">
        <v>1103</v>
      </c>
      <c r="D78" s="47"/>
      <c r="E78" s="44" t="s">
        <v>955</v>
      </c>
      <c r="F78" s="47"/>
      <c r="G78" s="51" t="s">
        <v>788</v>
      </c>
    </row>
    <row r="79" spans="1:7" x14ac:dyDescent="0.25">
      <c r="A79" s="76" t="s">
        <v>109</v>
      </c>
      <c r="B79" s="47"/>
      <c r="C79" s="78" t="s">
        <v>1104</v>
      </c>
      <c r="D79" s="47"/>
      <c r="E79" s="44" t="s">
        <v>956</v>
      </c>
      <c r="F79" s="47"/>
      <c r="G79" s="51" t="s">
        <v>789</v>
      </c>
    </row>
    <row r="80" spans="1:7" ht="24.75" x14ac:dyDescent="0.25">
      <c r="A80" s="76" t="s">
        <v>110</v>
      </c>
      <c r="B80" s="47"/>
      <c r="C80" s="78" t="s">
        <v>1105</v>
      </c>
      <c r="D80" s="47"/>
      <c r="E80" s="44" t="s">
        <v>957</v>
      </c>
      <c r="F80" s="47"/>
      <c r="G80" s="51" t="s">
        <v>790</v>
      </c>
    </row>
    <row r="81" spans="1:7" x14ac:dyDescent="0.25">
      <c r="A81" s="76" t="s">
        <v>111</v>
      </c>
      <c r="B81" s="47"/>
      <c r="C81" s="78" t="s">
        <v>1106</v>
      </c>
      <c r="D81" s="47"/>
      <c r="E81" s="44" t="s">
        <v>958</v>
      </c>
      <c r="F81" s="47"/>
      <c r="G81" s="51" t="s">
        <v>791</v>
      </c>
    </row>
    <row r="82" spans="1:7" x14ac:dyDescent="0.25">
      <c r="A82" s="76" t="s">
        <v>112</v>
      </c>
      <c r="B82" s="47"/>
      <c r="C82" s="78" t="s">
        <v>1107</v>
      </c>
      <c r="D82" s="47"/>
      <c r="E82" s="44" t="s">
        <v>959</v>
      </c>
      <c r="F82" s="47"/>
      <c r="G82" s="51" t="s">
        <v>792</v>
      </c>
    </row>
    <row r="83" spans="1:7" x14ac:dyDescent="0.25">
      <c r="A83" s="76" t="s">
        <v>113</v>
      </c>
      <c r="B83" s="47"/>
      <c r="C83" s="78" t="s">
        <v>1108</v>
      </c>
      <c r="D83" s="47"/>
      <c r="E83" s="44" t="s">
        <v>960</v>
      </c>
      <c r="F83" s="47"/>
      <c r="G83" s="51" t="s">
        <v>793</v>
      </c>
    </row>
    <row r="84" spans="1:7" x14ac:dyDescent="0.25">
      <c r="A84" s="76" t="s">
        <v>114</v>
      </c>
      <c r="B84" s="47"/>
      <c r="C84" s="78" t="s">
        <v>1109</v>
      </c>
      <c r="D84" s="47"/>
      <c r="E84" s="44" t="s">
        <v>961</v>
      </c>
      <c r="F84" s="47"/>
      <c r="G84" s="51" t="s">
        <v>794</v>
      </c>
    </row>
    <row r="85" spans="1:7" x14ac:dyDescent="0.25">
      <c r="A85" s="76" t="s">
        <v>115</v>
      </c>
      <c r="B85" s="47"/>
      <c r="C85" s="78" t="s">
        <v>1110</v>
      </c>
      <c r="D85" s="47"/>
      <c r="E85" s="44" t="s">
        <v>962</v>
      </c>
      <c r="F85" s="47"/>
      <c r="G85" s="51" t="s">
        <v>795</v>
      </c>
    </row>
    <row r="86" spans="1:7" x14ac:dyDescent="0.25">
      <c r="A86" s="76" t="s">
        <v>116</v>
      </c>
      <c r="B86" s="47"/>
      <c r="C86" s="78" t="s">
        <v>1111</v>
      </c>
      <c r="D86" s="47"/>
      <c r="E86" s="44" t="s">
        <v>963</v>
      </c>
      <c r="F86" s="47"/>
      <c r="G86" s="51" t="s">
        <v>796</v>
      </c>
    </row>
    <row r="87" spans="1:7" x14ac:dyDescent="0.25">
      <c r="A87" s="76" t="s">
        <v>117</v>
      </c>
      <c r="B87" s="47"/>
      <c r="C87" s="78" t="s">
        <v>1112</v>
      </c>
      <c r="D87" s="47"/>
      <c r="E87" s="44" t="s">
        <v>964</v>
      </c>
      <c r="F87" s="47"/>
      <c r="G87" s="51" t="s">
        <v>797</v>
      </c>
    </row>
    <row r="88" spans="1:7" x14ac:dyDescent="0.25">
      <c r="A88" s="76" t="s">
        <v>120</v>
      </c>
      <c r="B88" s="47"/>
      <c r="C88" s="78" t="s">
        <v>1113</v>
      </c>
      <c r="D88" s="47"/>
      <c r="E88" s="44" t="s">
        <v>965</v>
      </c>
      <c r="F88" s="47"/>
      <c r="G88" s="51" t="s">
        <v>798</v>
      </c>
    </row>
    <row r="89" spans="1:7" ht="24.75" x14ac:dyDescent="0.25">
      <c r="A89" s="76" t="s">
        <v>121</v>
      </c>
      <c r="B89" s="47"/>
      <c r="C89" s="78" t="s">
        <v>1114</v>
      </c>
      <c r="D89" s="47"/>
      <c r="E89" s="44" t="s">
        <v>966</v>
      </c>
      <c r="F89" s="47"/>
      <c r="G89" s="51" t="s">
        <v>799</v>
      </c>
    </row>
    <row r="90" spans="1:7" x14ac:dyDescent="0.25">
      <c r="A90" s="76" t="s">
        <v>122</v>
      </c>
      <c r="B90" s="47"/>
      <c r="C90" s="78" t="s">
        <v>1115</v>
      </c>
      <c r="D90" s="47"/>
      <c r="E90" s="44" t="s">
        <v>967</v>
      </c>
      <c r="F90" s="47"/>
      <c r="G90" s="51" t="s">
        <v>800</v>
      </c>
    </row>
    <row r="91" spans="1:7" x14ac:dyDescent="0.25">
      <c r="A91" s="76" t="s">
        <v>124</v>
      </c>
      <c r="B91" s="47"/>
      <c r="C91" s="78" t="s">
        <v>1116</v>
      </c>
      <c r="D91" s="47"/>
      <c r="E91" s="44" t="s">
        <v>968</v>
      </c>
      <c r="F91" s="47"/>
      <c r="G91" s="51" t="s">
        <v>801</v>
      </c>
    </row>
    <row r="92" spans="1:7" x14ac:dyDescent="0.25">
      <c r="A92" s="76" t="s">
        <v>125</v>
      </c>
      <c r="B92" s="47"/>
      <c r="C92" s="78" t="s">
        <v>1117</v>
      </c>
      <c r="D92" s="47"/>
      <c r="E92" s="44" t="s">
        <v>969</v>
      </c>
      <c r="F92" s="47"/>
      <c r="G92" s="51" t="s">
        <v>802</v>
      </c>
    </row>
    <row r="93" spans="1:7" x14ac:dyDescent="0.25">
      <c r="A93" s="76" t="s">
        <v>127</v>
      </c>
      <c r="B93" s="47"/>
      <c r="C93" s="78" t="s">
        <v>1118</v>
      </c>
      <c r="D93" s="47"/>
      <c r="E93" s="44" t="s">
        <v>970</v>
      </c>
      <c r="F93" s="47"/>
      <c r="G93" s="51" t="s">
        <v>803</v>
      </c>
    </row>
    <row r="94" spans="1:7" x14ac:dyDescent="0.25">
      <c r="A94" s="76" t="s">
        <v>128</v>
      </c>
      <c r="B94" s="47"/>
      <c r="C94" s="78" t="s">
        <v>1119</v>
      </c>
      <c r="D94" s="47"/>
      <c r="E94" s="44" t="s">
        <v>971</v>
      </c>
      <c r="F94" s="47"/>
      <c r="G94" s="51" t="s">
        <v>804</v>
      </c>
    </row>
    <row r="95" spans="1:7" x14ac:dyDescent="0.25">
      <c r="A95" s="76" t="s">
        <v>129</v>
      </c>
      <c r="B95" s="47"/>
      <c r="C95" s="78" t="s">
        <v>1120</v>
      </c>
      <c r="D95" s="47"/>
      <c r="E95" s="44" t="s">
        <v>972</v>
      </c>
      <c r="F95" s="47"/>
      <c r="G95" s="51" t="s">
        <v>805</v>
      </c>
    </row>
    <row r="96" spans="1:7" x14ac:dyDescent="0.25">
      <c r="A96" s="76" t="s">
        <v>849</v>
      </c>
      <c r="B96" s="47"/>
      <c r="C96" s="78" t="s">
        <v>1121</v>
      </c>
      <c r="D96" s="47"/>
      <c r="E96" s="44" t="s">
        <v>973</v>
      </c>
      <c r="F96" s="47"/>
      <c r="G96" s="51" t="s">
        <v>806</v>
      </c>
    </row>
    <row r="97" spans="1:7" x14ac:dyDescent="0.25">
      <c r="A97" s="76" t="s">
        <v>850</v>
      </c>
      <c r="B97" s="47"/>
      <c r="C97" s="78" t="s">
        <v>1122</v>
      </c>
      <c r="D97" s="47"/>
      <c r="E97" s="44" t="s">
        <v>974</v>
      </c>
      <c r="F97" s="47"/>
      <c r="G97" s="51" t="s">
        <v>807</v>
      </c>
    </row>
    <row r="98" spans="1:7" ht="24.75" x14ac:dyDescent="0.25">
      <c r="A98" s="76" t="s">
        <v>851</v>
      </c>
      <c r="B98" s="47"/>
      <c r="C98" s="78" t="s">
        <v>1123</v>
      </c>
      <c r="D98" s="47"/>
      <c r="E98" s="44" t="s">
        <v>975</v>
      </c>
      <c r="F98" s="47"/>
      <c r="G98" s="51" t="s">
        <v>808</v>
      </c>
    </row>
    <row r="99" spans="1:7" ht="24.75" x14ac:dyDescent="0.25">
      <c r="A99" s="76" t="s">
        <v>852</v>
      </c>
      <c r="B99" s="47"/>
      <c r="C99" s="78" t="s">
        <v>1124</v>
      </c>
      <c r="D99" s="47"/>
      <c r="E99" s="44" t="s">
        <v>976</v>
      </c>
      <c r="F99" s="47"/>
      <c r="G99" s="51" t="s">
        <v>809</v>
      </c>
    </row>
    <row r="100" spans="1:7" x14ac:dyDescent="0.25">
      <c r="A100" s="76" t="s">
        <v>853</v>
      </c>
      <c r="B100" s="47"/>
      <c r="C100" s="78" t="s">
        <v>1125</v>
      </c>
      <c r="D100" s="47"/>
      <c r="E100" s="44" t="s">
        <v>977</v>
      </c>
      <c r="F100" s="47"/>
      <c r="G100" s="51" t="s">
        <v>810</v>
      </c>
    </row>
    <row r="101" spans="1:7" x14ac:dyDescent="0.25">
      <c r="A101" s="76" t="s">
        <v>854</v>
      </c>
      <c r="B101" s="47"/>
      <c r="C101" s="78" t="s">
        <v>1126</v>
      </c>
      <c r="D101" s="47"/>
      <c r="E101" s="44" t="s">
        <v>978</v>
      </c>
      <c r="F101" s="47"/>
      <c r="G101" s="51" t="s">
        <v>811</v>
      </c>
    </row>
    <row r="102" spans="1:7" x14ac:dyDescent="0.25">
      <c r="A102" s="76" t="s">
        <v>855</v>
      </c>
      <c r="B102" s="47"/>
      <c r="C102" s="78" t="s">
        <v>1127</v>
      </c>
      <c r="D102" s="47"/>
      <c r="E102" s="44" t="s">
        <v>979</v>
      </c>
      <c r="F102" s="47"/>
      <c r="G102" s="51" t="s">
        <v>812</v>
      </c>
    </row>
    <row r="103" spans="1:7" x14ac:dyDescent="0.25">
      <c r="A103" s="76" t="s">
        <v>819</v>
      </c>
      <c r="B103" s="47"/>
      <c r="C103" s="78" t="s">
        <v>1128</v>
      </c>
      <c r="D103" s="47"/>
      <c r="E103" s="44" t="s">
        <v>980</v>
      </c>
      <c r="F103" s="47"/>
      <c r="G103" s="51" t="s">
        <v>813</v>
      </c>
    </row>
    <row r="104" spans="1:7" x14ac:dyDescent="0.25">
      <c r="A104" s="76" t="s">
        <v>130</v>
      </c>
      <c r="B104" s="47"/>
      <c r="C104" s="78" t="s">
        <v>1129</v>
      </c>
      <c r="D104" s="47"/>
      <c r="E104" s="44" t="s">
        <v>981</v>
      </c>
      <c r="F104" s="47"/>
      <c r="G104" s="51" t="s">
        <v>814</v>
      </c>
    </row>
    <row r="105" spans="1:7" ht="24.75" x14ac:dyDescent="0.25">
      <c r="A105" s="76" t="s">
        <v>132</v>
      </c>
      <c r="B105" s="47"/>
      <c r="C105" s="78" t="s">
        <v>1020</v>
      </c>
      <c r="D105" s="47"/>
      <c r="E105" s="44" t="s">
        <v>982</v>
      </c>
      <c r="F105" s="47"/>
      <c r="G105" s="51" t="s">
        <v>815</v>
      </c>
    </row>
    <row r="106" spans="1:7" ht="24.75" x14ac:dyDescent="0.25">
      <c r="A106" s="76" t="s">
        <v>133</v>
      </c>
      <c r="B106" s="47"/>
      <c r="C106" s="78" t="s">
        <v>1130</v>
      </c>
      <c r="D106" s="47"/>
      <c r="E106" s="44" t="s">
        <v>983</v>
      </c>
      <c r="F106" s="47"/>
      <c r="G106" s="51" t="s">
        <v>816</v>
      </c>
    </row>
    <row r="107" spans="1:7" x14ac:dyDescent="0.25">
      <c r="A107" s="76" t="s">
        <v>134</v>
      </c>
      <c r="B107" s="47"/>
      <c r="C107" s="78" t="s">
        <v>1131</v>
      </c>
      <c r="D107" s="47"/>
      <c r="E107" s="44" t="s">
        <v>984</v>
      </c>
      <c r="F107" s="47"/>
      <c r="G107" s="51" t="s">
        <v>817</v>
      </c>
    </row>
    <row r="108" spans="1:7" x14ac:dyDescent="0.25">
      <c r="A108" s="76" t="s">
        <v>135</v>
      </c>
      <c r="B108" s="47"/>
      <c r="C108" s="78" t="s">
        <v>1132</v>
      </c>
      <c r="D108" s="47"/>
      <c r="E108" s="44" t="s">
        <v>985</v>
      </c>
      <c r="F108" s="47"/>
      <c r="G108" s="51" t="s">
        <v>818</v>
      </c>
    </row>
    <row r="109" spans="1:7" x14ac:dyDescent="0.25">
      <c r="A109" s="76" t="s">
        <v>136</v>
      </c>
      <c r="B109" s="47"/>
      <c r="C109" s="78" t="s">
        <v>1133</v>
      </c>
      <c r="D109" s="47"/>
      <c r="E109" s="44" t="s">
        <v>986</v>
      </c>
      <c r="F109" s="47"/>
      <c r="G109" s="74">
        <f>COUNTA(G2:G108)</f>
        <v>107</v>
      </c>
    </row>
    <row r="110" spans="1:7" x14ac:dyDescent="0.25">
      <c r="A110" s="76" t="s">
        <v>137</v>
      </c>
      <c r="B110" s="47"/>
      <c r="C110" s="78" t="s">
        <v>1134</v>
      </c>
      <c r="D110" s="47"/>
      <c r="E110" s="44" t="s">
        <v>987</v>
      </c>
      <c r="F110" s="47"/>
      <c r="G110" s="47"/>
    </row>
    <row r="111" spans="1:7" x14ac:dyDescent="0.25">
      <c r="A111" s="76" t="s">
        <v>138</v>
      </c>
      <c r="B111" s="47"/>
      <c r="C111" s="78" t="s">
        <v>1135</v>
      </c>
      <c r="D111" s="47"/>
      <c r="E111" s="44" t="s">
        <v>988</v>
      </c>
      <c r="F111" s="47"/>
      <c r="G111" s="47"/>
    </row>
    <row r="112" spans="1:7" x14ac:dyDescent="0.25">
      <c r="A112" s="76" t="s">
        <v>139</v>
      </c>
      <c r="B112" s="47"/>
      <c r="C112" s="78" t="s">
        <v>1136</v>
      </c>
      <c r="D112" s="47"/>
      <c r="E112" s="44" t="s">
        <v>989</v>
      </c>
      <c r="F112" s="47"/>
      <c r="G112" s="47"/>
    </row>
    <row r="113" spans="1:7" x14ac:dyDescent="0.25">
      <c r="A113" s="76" t="s">
        <v>140</v>
      </c>
      <c r="B113" s="47"/>
      <c r="C113" s="78" t="s">
        <v>1137</v>
      </c>
      <c r="D113" s="47"/>
      <c r="E113" s="44" t="s">
        <v>990</v>
      </c>
      <c r="F113" s="47"/>
      <c r="G113" s="47"/>
    </row>
    <row r="114" spans="1:7" ht="24.75" x14ac:dyDescent="0.25">
      <c r="A114" s="76" t="s">
        <v>141</v>
      </c>
      <c r="B114" s="47"/>
      <c r="C114" s="78" t="s">
        <v>1138</v>
      </c>
      <c r="D114" s="47"/>
      <c r="E114" s="44" t="s">
        <v>991</v>
      </c>
      <c r="F114" s="47"/>
      <c r="G114" s="47"/>
    </row>
    <row r="115" spans="1:7" x14ac:dyDescent="0.25">
      <c r="A115" s="76" t="s">
        <v>142</v>
      </c>
      <c r="B115" s="47"/>
      <c r="C115" s="78" t="s">
        <v>1139</v>
      </c>
      <c r="D115" s="47"/>
      <c r="E115" s="44" t="s">
        <v>992</v>
      </c>
      <c r="F115" s="47"/>
      <c r="G115" s="47"/>
    </row>
    <row r="116" spans="1:7" x14ac:dyDescent="0.25">
      <c r="A116" s="76" t="s">
        <v>143</v>
      </c>
      <c r="B116" s="47"/>
      <c r="C116" s="78" t="s">
        <v>1140</v>
      </c>
      <c r="D116" s="47"/>
      <c r="E116" s="44" t="s">
        <v>993</v>
      </c>
      <c r="F116" s="47"/>
      <c r="G116" s="47"/>
    </row>
    <row r="117" spans="1:7" x14ac:dyDescent="0.25">
      <c r="A117" s="76" t="s">
        <v>144</v>
      </c>
      <c r="C117" s="156">
        <f>COUNTA(C2:C116)</f>
        <v>115</v>
      </c>
      <c r="E117" s="44" t="s">
        <v>994</v>
      </c>
    </row>
    <row r="118" spans="1:7" x14ac:dyDescent="0.25">
      <c r="A118" s="76" t="s">
        <v>145</v>
      </c>
      <c r="E118" s="44" t="s">
        <v>995</v>
      </c>
    </row>
    <row r="119" spans="1:7" x14ac:dyDescent="0.25">
      <c r="A119" s="76" t="s">
        <v>146</v>
      </c>
      <c r="E119" s="44" t="s">
        <v>996</v>
      </c>
    </row>
    <row r="120" spans="1:7" ht="24.75" x14ac:dyDescent="0.25">
      <c r="A120" s="76" t="s">
        <v>147</v>
      </c>
      <c r="E120" s="44" t="s">
        <v>997</v>
      </c>
    </row>
    <row r="121" spans="1:7" x14ac:dyDescent="0.25">
      <c r="A121" s="76" t="s">
        <v>148</v>
      </c>
      <c r="E121" s="44" t="s">
        <v>998</v>
      </c>
    </row>
    <row r="122" spans="1:7" x14ac:dyDescent="0.25">
      <c r="A122" s="76" t="s">
        <v>149</v>
      </c>
      <c r="E122" s="44" t="s">
        <v>999</v>
      </c>
    </row>
    <row r="123" spans="1:7" x14ac:dyDescent="0.25">
      <c r="A123" s="76" t="s">
        <v>150</v>
      </c>
      <c r="E123" s="44" t="s">
        <v>1000</v>
      </c>
    </row>
    <row r="124" spans="1:7" x14ac:dyDescent="0.25">
      <c r="A124" s="76" t="s">
        <v>152</v>
      </c>
      <c r="E124" s="44" t="s">
        <v>1001</v>
      </c>
    </row>
    <row r="125" spans="1:7" x14ac:dyDescent="0.25">
      <c r="A125" s="76" t="s">
        <v>153</v>
      </c>
      <c r="E125" s="44" t="s">
        <v>1002</v>
      </c>
    </row>
    <row r="126" spans="1:7" x14ac:dyDescent="0.25">
      <c r="A126" s="76" t="s">
        <v>154</v>
      </c>
      <c r="E126" s="44" t="s">
        <v>1003</v>
      </c>
    </row>
    <row r="127" spans="1:7" x14ac:dyDescent="0.25">
      <c r="A127" s="76" t="s">
        <v>155</v>
      </c>
      <c r="E127" s="44" t="s">
        <v>1004</v>
      </c>
    </row>
    <row r="128" spans="1:7" x14ac:dyDescent="0.25">
      <c r="A128" s="76" t="s">
        <v>157</v>
      </c>
      <c r="E128" s="44" t="s">
        <v>1005</v>
      </c>
    </row>
    <row r="129" spans="1:5" x14ac:dyDescent="0.25">
      <c r="A129" s="76" t="s">
        <v>158</v>
      </c>
      <c r="E129" s="44" t="s">
        <v>1006</v>
      </c>
    </row>
    <row r="130" spans="1:5" x14ac:dyDescent="0.25">
      <c r="A130" s="76" t="s">
        <v>159</v>
      </c>
      <c r="E130" s="44" t="s">
        <v>1007</v>
      </c>
    </row>
    <row r="131" spans="1:5" x14ac:dyDescent="0.25">
      <c r="A131" s="76" t="s">
        <v>160</v>
      </c>
      <c r="E131" s="44" t="s">
        <v>1008</v>
      </c>
    </row>
    <row r="132" spans="1:5" x14ac:dyDescent="0.25">
      <c r="A132" s="76" t="s">
        <v>161</v>
      </c>
      <c r="E132" s="44" t="s">
        <v>1009</v>
      </c>
    </row>
    <row r="133" spans="1:5" x14ac:dyDescent="0.25">
      <c r="A133" s="76" t="s">
        <v>162</v>
      </c>
      <c r="E133" s="44" t="s">
        <v>1010</v>
      </c>
    </row>
    <row r="134" spans="1:5" x14ac:dyDescent="0.25">
      <c r="A134" s="76" t="s">
        <v>163</v>
      </c>
      <c r="E134" s="44" t="s">
        <v>1011</v>
      </c>
    </row>
    <row r="135" spans="1:5" x14ac:dyDescent="0.25">
      <c r="A135" s="76" t="s">
        <v>820</v>
      </c>
      <c r="E135" s="44" t="s">
        <v>1012</v>
      </c>
    </row>
    <row r="136" spans="1:5" x14ac:dyDescent="0.25">
      <c r="A136" s="76" t="s">
        <v>165</v>
      </c>
      <c r="E136" s="44" t="s">
        <v>1013</v>
      </c>
    </row>
    <row r="137" spans="1:5" x14ac:dyDescent="0.25">
      <c r="A137" s="76" t="s">
        <v>166</v>
      </c>
      <c r="E137" s="44" t="s">
        <v>1014</v>
      </c>
    </row>
    <row r="138" spans="1:5" x14ac:dyDescent="0.25">
      <c r="A138" s="76" t="s">
        <v>167</v>
      </c>
      <c r="E138" s="44" t="s">
        <v>1015</v>
      </c>
    </row>
    <row r="139" spans="1:5" x14ac:dyDescent="0.25">
      <c r="A139" s="76" t="s">
        <v>168</v>
      </c>
      <c r="E139" s="44" t="s">
        <v>1016</v>
      </c>
    </row>
    <row r="140" spans="1:5" x14ac:dyDescent="0.25">
      <c r="A140" s="76" t="s">
        <v>169</v>
      </c>
      <c r="E140" s="44" t="s">
        <v>1017</v>
      </c>
    </row>
    <row r="141" spans="1:5" x14ac:dyDescent="0.25">
      <c r="A141" s="76" t="s">
        <v>171</v>
      </c>
      <c r="E141" s="44" t="s">
        <v>1018</v>
      </c>
    </row>
    <row r="142" spans="1:5" x14ac:dyDescent="0.25">
      <c r="A142" s="76" t="s">
        <v>172</v>
      </c>
      <c r="E142" s="44" t="s">
        <v>1019</v>
      </c>
    </row>
    <row r="143" spans="1:5" x14ac:dyDescent="0.25">
      <c r="A143" s="76" t="s">
        <v>173</v>
      </c>
      <c r="E143" s="44" t="s">
        <v>1021</v>
      </c>
    </row>
    <row r="144" spans="1:5" x14ac:dyDescent="0.25">
      <c r="A144" s="76" t="s">
        <v>174</v>
      </c>
      <c r="E144" s="44" t="s">
        <v>1022</v>
      </c>
    </row>
    <row r="145" spans="1:5" x14ac:dyDescent="0.25">
      <c r="A145" s="76" t="s">
        <v>175</v>
      </c>
      <c r="E145" s="44" t="s">
        <v>1023</v>
      </c>
    </row>
    <row r="146" spans="1:5" x14ac:dyDescent="0.25">
      <c r="A146" s="76" t="s">
        <v>176</v>
      </c>
      <c r="E146" s="44" t="s">
        <v>1024</v>
      </c>
    </row>
    <row r="147" spans="1:5" x14ac:dyDescent="0.25">
      <c r="A147" s="76" t="s">
        <v>177</v>
      </c>
      <c r="E147" s="44" t="s">
        <v>1025</v>
      </c>
    </row>
    <row r="148" spans="1:5" x14ac:dyDescent="0.25">
      <c r="A148" s="76" t="s">
        <v>178</v>
      </c>
      <c r="E148" s="44" t="s">
        <v>1026</v>
      </c>
    </row>
    <row r="149" spans="1:5" x14ac:dyDescent="0.25">
      <c r="A149" s="76" t="s">
        <v>180</v>
      </c>
      <c r="E149" s="44" t="s">
        <v>1027</v>
      </c>
    </row>
    <row r="150" spans="1:5" x14ac:dyDescent="0.25">
      <c r="A150" s="76" t="s">
        <v>181</v>
      </c>
      <c r="E150" s="44" t="s">
        <v>1028</v>
      </c>
    </row>
    <row r="151" spans="1:5" x14ac:dyDescent="0.25">
      <c r="A151" s="76" t="s">
        <v>183</v>
      </c>
      <c r="E151" s="44" t="s">
        <v>1029</v>
      </c>
    </row>
    <row r="152" spans="1:5" x14ac:dyDescent="0.25">
      <c r="A152" s="76" t="s">
        <v>184</v>
      </c>
      <c r="E152" s="44" t="s">
        <v>1030</v>
      </c>
    </row>
    <row r="153" spans="1:5" x14ac:dyDescent="0.25">
      <c r="A153" s="76" t="s">
        <v>186</v>
      </c>
      <c r="E153" s="73">
        <f>COUNTA(E2:E152)</f>
        <v>151</v>
      </c>
    </row>
    <row r="154" spans="1:5" x14ac:dyDescent="0.25">
      <c r="A154" s="76" t="s">
        <v>187</v>
      </c>
    </row>
    <row r="155" spans="1:5" x14ac:dyDescent="0.25">
      <c r="A155" s="76" t="s">
        <v>188</v>
      </c>
    </row>
    <row r="156" spans="1:5" x14ac:dyDescent="0.25">
      <c r="A156" s="76" t="s">
        <v>190</v>
      </c>
    </row>
    <row r="157" spans="1:5" x14ac:dyDescent="0.25">
      <c r="A157" s="76" t="s">
        <v>191</v>
      </c>
    </row>
    <row r="158" spans="1:5" x14ac:dyDescent="0.25">
      <c r="A158" s="76" t="s">
        <v>192</v>
      </c>
    </row>
    <row r="159" spans="1:5" x14ac:dyDescent="0.25">
      <c r="A159" s="76" t="s">
        <v>193</v>
      </c>
    </row>
    <row r="160" spans="1:5" x14ac:dyDescent="0.25">
      <c r="A160" s="76" t="s">
        <v>194</v>
      </c>
    </row>
    <row r="161" spans="1:1" x14ac:dyDescent="0.25">
      <c r="A161" s="76" t="s">
        <v>195</v>
      </c>
    </row>
    <row r="162" spans="1:1" x14ac:dyDescent="0.25">
      <c r="A162" s="76" t="s">
        <v>196</v>
      </c>
    </row>
    <row r="163" spans="1:1" x14ac:dyDescent="0.25">
      <c r="A163" s="76" t="s">
        <v>197</v>
      </c>
    </row>
    <row r="164" spans="1:1" x14ac:dyDescent="0.25">
      <c r="A164" s="76" t="s">
        <v>198</v>
      </c>
    </row>
    <row r="165" spans="1:1" x14ac:dyDescent="0.25">
      <c r="A165" s="76" t="s">
        <v>199</v>
      </c>
    </row>
    <row r="166" spans="1:1" x14ac:dyDescent="0.25">
      <c r="A166" s="76" t="s">
        <v>201</v>
      </c>
    </row>
    <row r="167" spans="1:1" x14ac:dyDescent="0.25">
      <c r="A167" s="76" t="s">
        <v>203</v>
      </c>
    </row>
    <row r="168" spans="1:1" x14ac:dyDescent="0.25">
      <c r="A168" s="76" t="s">
        <v>205</v>
      </c>
    </row>
    <row r="169" spans="1:1" x14ac:dyDescent="0.25">
      <c r="A169" s="76" t="s">
        <v>821</v>
      </c>
    </row>
    <row r="170" spans="1:1" x14ac:dyDescent="0.25">
      <c r="A170" s="76" t="s">
        <v>208</v>
      </c>
    </row>
    <row r="171" spans="1:1" x14ac:dyDescent="0.25">
      <c r="A171" s="76" t="s">
        <v>209</v>
      </c>
    </row>
    <row r="172" spans="1:1" x14ac:dyDescent="0.25">
      <c r="A172" s="76" t="s">
        <v>210</v>
      </c>
    </row>
    <row r="173" spans="1:1" x14ac:dyDescent="0.25">
      <c r="A173" s="76" t="s">
        <v>211</v>
      </c>
    </row>
    <row r="174" spans="1:1" x14ac:dyDescent="0.25">
      <c r="A174" s="76" t="s">
        <v>212</v>
      </c>
    </row>
    <row r="175" spans="1:1" x14ac:dyDescent="0.25">
      <c r="A175" s="76" t="s">
        <v>214</v>
      </c>
    </row>
    <row r="176" spans="1:1" x14ac:dyDescent="0.25">
      <c r="A176" s="76" t="s">
        <v>216</v>
      </c>
    </row>
    <row r="177" spans="1:1" x14ac:dyDescent="0.25">
      <c r="A177" s="76" t="s">
        <v>218</v>
      </c>
    </row>
    <row r="178" spans="1:1" x14ac:dyDescent="0.25">
      <c r="A178" s="76" t="s">
        <v>220</v>
      </c>
    </row>
    <row r="179" spans="1:1" x14ac:dyDescent="0.25">
      <c r="A179" s="76" t="s">
        <v>222</v>
      </c>
    </row>
    <row r="180" spans="1:1" x14ac:dyDescent="0.25">
      <c r="A180" s="76" t="s">
        <v>223</v>
      </c>
    </row>
    <row r="181" spans="1:1" x14ac:dyDescent="0.25">
      <c r="A181" s="76" t="s">
        <v>224</v>
      </c>
    </row>
    <row r="182" spans="1:1" x14ac:dyDescent="0.25">
      <c r="A182" s="76" t="s">
        <v>226</v>
      </c>
    </row>
    <row r="183" spans="1:1" x14ac:dyDescent="0.25">
      <c r="A183" s="76" t="s">
        <v>227</v>
      </c>
    </row>
    <row r="184" spans="1:1" x14ac:dyDescent="0.25">
      <c r="A184" s="76" t="s">
        <v>229</v>
      </c>
    </row>
    <row r="185" spans="1:1" x14ac:dyDescent="0.25">
      <c r="A185" s="76" t="s">
        <v>230</v>
      </c>
    </row>
    <row r="186" spans="1:1" x14ac:dyDescent="0.25">
      <c r="A186" s="76" t="s">
        <v>232</v>
      </c>
    </row>
    <row r="187" spans="1:1" x14ac:dyDescent="0.25">
      <c r="A187" s="76" t="s">
        <v>233</v>
      </c>
    </row>
    <row r="188" spans="1:1" x14ac:dyDescent="0.25">
      <c r="A188" s="76" t="s">
        <v>234</v>
      </c>
    </row>
    <row r="189" spans="1:1" x14ac:dyDescent="0.25">
      <c r="A189" s="76" t="s">
        <v>236</v>
      </c>
    </row>
    <row r="190" spans="1:1" x14ac:dyDescent="0.25">
      <c r="A190" s="76" t="s">
        <v>237</v>
      </c>
    </row>
    <row r="191" spans="1:1" x14ac:dyDescent="0.25">
      <c r="A191" s="76" t="s">
        <v>239</v>
      </c>
    </row>
    <row r="192" spans="1:1" x14ac:dyDescent="0.25">
      <c r="A192" s="76" t="s">
        <v>240</v>
      </c>
    </row>
    <row r="193" spans="1:1" x14ac:dyDescent="0.25">
      <c r="A193" s="76" t="s">
        <v>241</v>
      </c>
    </row>
    <row r="194" spans="1:1" x14ac:dyDescent="0.25">
      <c r="A194" s="76" t="s">
        <v>242</v>
      </c>
    </row>
    <row r="195" spans="1:1" x14ac:dyDescent="0.25">
      <c r="A195" s="76" t="s">
        <v>243</v>
      </c>
    </row>
    <row r="196" spans="1:1" x14ac:dyDescent="0.25">
      <c r="A196" s="76" t="s">
        <v>244</v>
      </c>
    </row>
    <row r="197" spans="1:1" x14ac:dyDescent="0.25">
      <c r="A197" s="76" t="s">
        <v>245</v>
      </c>
    </row>
    <row r="198" spans="1:1" x14ac:dyDescent="0.25">
      <c r="A198" s="76" t="s">
        <v>246</v>
      </c>
    </row>
    <row r="199" spans="1:1" x14ac:dyDescent="0.25">
      <c r="A199" s="76" t="s">
        <v>248</v>
      </c>
    </row>
    <row r="200" spans="1:1" x14ac:dyDescent="0.25">
      <c r="A200" s="76" t="s">
        <v>250</v>
      </c>
    </row>
    <row r="201" spans="1:1" x14ac:dyDescent="0.25">
      <c r="A201" s="76" t="s">
        <v>251</v>
      </c>
    </row>
    <row r="202" spans="1:1" x14ac:dyDescent="0.25">
      <c r="A202" s="76" t="s">
        <v>252</v>
      </c>
    </row>
    <row r="203" spans="1:1" x14ac:dyDescent="0.25">
      <c r="A203" s="76" t="s">
        <v>254</v>
      </c>
    </row>
    <row r="204" spans="1:1" x14ac:dyDescent="0.25">
      <c r="A204" s="76" t="s">
        <v>255</v>
      </c>
    </row>
    <row r="205" spans="1:1" x14ac:dyDescent="0.25">
      <c r="A205" s="76" t="s">
        <v>257</v>
      </c>
    </row>
    <row r="206" spans="1:1" x14ac:dyDescent="0.25">
      <c r="A206" s="76" t="s">
        <v>258</v>
      </c>
    </row>
    <row r="207" spans="1:1" x14ac:dyDescent="0.25">
      <c r="A207" s="76" t="s">
        <v>259</v>
      </c>
    </row>
    <row r="208" spans="1:1" x14ac:dyDescent="0.25">
      <c r="A208" s="76" t="s">
        <v>260</v>
      </c>
    </row>
    <row r="209" spans="1:1" x14ac:dyDescent="0.25">
      <c r="A209" s="76" t="s">
        <v>261</v>
      </c>
    </row>
    <row r="210" spans="1:1" x14ac:dyDescent="0.25">
      <c r="A210" s="76" t="s">
        <v>262</v>
      </c>
    </row>
    <row r="211" spans="1:1" x14ac:dyDescent="0.25">
      <c r="A211" s="76" t="s">
        <v>264</v>
      </c>
    </row>
    <row r="212" spans="1:1" x14ac:dyDescent="0.25">
      <c r="A212" s="76" t="s">
        <v>266</v>
      </c>
    </row>
    <row r="213" spans="1:1" x14ac:dyDescent="0.25">
      <c r="A213" s="76" t="s">
        <v>267</v>
      </c>
    </row>
    <row r="214" spans="1:1" x14ac:dyDescent="0.25">
      <c r="A214" s="76" t="s">
        <v>269</v>
      </c>
    </row>
    <row r="215" spans="1:1" x14ac:dyDescent="0.25">
      <c r="A215" s="76" t="s">
        <v>271</v>
      </c>
    </row>
    <row r="216" spans="1:1" x14ac:dyDescent="0.25">
      <c r="A216" s="76" t="s">
        <v>272</v>
      </c>
    </row>
    <row r="217" spans="1:1" x14ac:dyDescent="0.25">
      <c r="A217" s="76" t="s">
        <v>822</v>
      </c>
    </row>
    <row r="218" spans="1:1" x14ac:dyDescent="0.25">
      <c r="A218" s="76" t="s">
        <v>275</v>
      </c>
    </row>
    <row r="219" spans="1:1" x14ac:dyDescent="0.25">
      <c r="A219" s="76" t="s">
        <v>277</v>
      </c>
    </row>
    <row r="220" spans="1:1" x14ac:dyDescent="0.25">
      <c r="A220" s="76" t="s">
        <v>278</v>
      </c>
    </row>
    <row r="221" spans="1:1" x14ac:dyDescent="0.25">
      <c r="A221" s="76" t="s">
        <v>279</v>
      </c>
    </row>
    <row r="222" spans="1:1" x14ac:dyDescent="0.25">
      <c r="A222" s="76" t="s">
        <v>280</v>
      </c>
    </row>
    <row r="223" spans="1:1" x14ac:dyDescent="0.25">
      <c r="A223" s="76" t="s">
        <v>281</v>
      </c>
    </row>
    <row r="224" spans="1:1" x14ac:dyDescent="0.25">
      <c r="A224" s="76" t="s">
        <v>282</v>
      </c>
    </row>
    <row r="225" spans="1:1" x14ac:dyDescent="0.25">
      <c r="A225" s="76" t="s">
        <v>283</v>
      </c>
    </row>
    <row r="226" spans="1:1" x14ac:dyDescent="0.25">
      <c r="A226" s="76" t="s">
        <v>284</v>
      </c>
    </row>
    <row r="227" spans="1:1" x14ac:dyDescent="0.25">
      <c r="A227" s="76" t="s">
        <v>286</v>
      </c>
    </row>
    <row r="228" spans="1:1" x14ac:dyDescent="0.25">
      <c r="A228" s="76" t="s">
        <v>288</v>
      </c>
    </row>
    <row r="229" spans="1:1" x14ac:dyDescent="0.25">
      <c r="A229" s="76" t="s">
        <v>290</v>
      </c>
    </row>
    <row r="230" spans="1:1" x14ac:dyDescent="0.25">
      <c r="A230" s="76" t="s">
        <v>291</v>
      </c>
    </row>
    <row r="231" spans="1:1" x14ac:dyDescent="0.25">
      <c r="A231" s="76" t="s">
        <v>293</v>
      </c>
    </row>
    <row r="232" spans="1:1" x14ac:dyDescent="0.25">
      <c r="A232" s="76" t="s">
        <v>294</v>
      </c>
    </row>
    <row r="233" spans="1:1" x14ac:dyDescent="0.25">
      <c r="A233" s="76" t="s">
        <v>296</v>
      </c>
    </row>
    <row r="234" spans="1:1" x14ac:dyDescent="0.25">
      <c r="A234" s="76" t="s">
        <v>297</v>
      </c>
    </row>
    <row r="235" spans="1:1" x14ac:dyDescent="0.25">
      <c r="A235" s="76" t="s">
        <v>298</v>
      </c>
    </row>
    <row r="236" spans="1:1" x14ac:dyDescent="0.25">
      <c r="A236" s="76" t="s">
        <v>299</v>
      </c>
    </row>
    <row r="237" spans="1:1" x14ac:dyDescent="0.25">
      <c r="A237" s="76" t="s">
        <v>300</v>
      </c>
    </row>
    <row r="238" spans="1:1" x14ac:dyDescent="0.25">
      <c r="A238" s="76" t="s">
        <v>823</v>
      </c>
    </row>
    <row r="239" spans="1:1" x14ac:dyDescent="0.25">
      <c r="A239" s="76" t="s">
        <v>302</v>
      </c>
    </row>
    <row r="240" spans="1:1" x14ac:dyDescent="0.25">
      <c r="A240" s="76" t="s">
        <v>303</v>
      </c>
    </row>
    <row r="241" spans="1:1" x14ac:dyDescent="0.25">
      <c r="A241" s="76" t="s">
        <v>304</v>
      </c>
    </row>
    <row r="242" spans="1:1" x14ac:dyDescent="0.25">
      <c r="A242" s="76" t="s">
        <v>305</v>
      </c>
    </row>
    <row r="243" spans="1:1" x14ac:dyDescent="0.25">
      <c r="A243" s="76" t="s">
        <v>306</v>
      </c>
    </row>
    <row r="244" spans="1:1" x14ac:dyDescent="0.25">
      <c r="A244" s="76" t="s">
        <v>307</v>
      </c>
    </row>
    <row r="245" spans="1:1" x14ac:dyDescent="0.25">
      <c r="A245" s="76" t="s">
        <v>308</v>
      </c>
    </row>
    <row r="246" spans="1:1" x14ac:dyDescent="0.25">
      <c r="A246" s="76" t="s">
        <v>309</v>
      </c>
    </row>
    <row r="247" spans="1:1" x14ac:dyDescent="0.25">
      <c r="A247" s="76" t="s">
        <v>310</v>
      </c>
    </row>
    <row r="248" spans="1:1" x14ac:dyDescent="0.25">
      <c r="A248" s="76" t="s">
        <v>312</v>
      </c>
    </row>
    <row r="249" spans="1:1" x14ac:dyDescent="0.25">
      <c r="A249" s="76" t="s">
        <v>313</v>
      </c>
    </row>
    <row r="250" spans="1:1" x14ac:dyDescent="0.25">
      <c r="A250" s="76" t="s">
        <v>315</v>
      </c>
    </row>
    <row r="251" spans="1:1" x14ac:dyDescent="0.25">
      <c r="A251" s="76" t="s">
        <v>317</v>
      </c>
    </row>
    <row r="252" spans="1:1" x14ac:dyDescent="0.25">
      <c r="A252" s="76" t="s">
        <v>318</v>
      </c>
    </row>
    <row r="253" spans="1:1" x14ac:dyDescent="0.25">
      <c r="A253" s="76" t="s">
        <v>319</v>
      </c>
    </row>
    <row r="254" spans="1:1" x14ac:dyDescent="0.25">
      <c r="A254" s="76" t="s">
        <v>320</v>
      </c>
    </row>
    <row r="255" spans="1:1" x14ac:dyDescent="0.25">
      <c r="A255" s="76" t="s">
        <v>321</v>
      </c>
    </row>
    <row r="256" spans="1:1" x14ac:dyDescent="0.25">
      <c r="A256" s="76" t="s">
        <v>322</v>
      </c>
    </row>
    <row r="257" spans="1:1" x14ac:dyDescent="0.25">
      <c r="A257" s="76" t="s">
        <v>323</v>
      </c>
    </row>
    <row r="258" spans="1:1" x14ac:dyDescent="0.25">
      <c r="A258" s="76" t="s">
        <v>324</v>
      </c>
    </row>
    <row r="259" spans="1:1" x14ac:dyDescent="0.25">
      <c r="A259" s="76" t="s">
        <v>326</v>
      </c>
    </row>
    <row r="260" spans="1:1" x14ac:dyDescent="0.25">
      <c r="A260" s="76" t="s">
        <v>328</v>
      </c>
    </row>
    <row r="261" spans="1:1" x14ac:dyDescent="0.25">
      <c r="A261" s="76" t="s">
        <v>329</v>
      </c>
    </row>
    <row r="262" spans="1:1" x14ac:dyDescent="0.25">
      <c r="A262" s="76" t="s">
        <v>330</v>
      </c>
    </row>
    <row r="263" spans="1:1" x14ac:dyDescent="0.25">
      <c r="A263" s="76" t="s">
        <v>331</v>
      </c>
    </row>
    <row r="264" spans="1:1" x14ac:dyDescent="0.25">
      <c r="A264" s="76" t="s">
        <v>332</v>
      </c>
    </row>
    <row r="265" spans="1:1" x14ac:dyDescent="0.25">
      <c r="A265" s="76" t="s">
        <v>333</v>
      </c>
    </row>
    <row r="266" spans="1:1" x14ac:dyDescent="0.25">
      <c r="A266" s="76" t="s">
        <v>334</v>
      </c>
    </row>
    <row r="267" spans="1:1" x14ac:dyDescent="0.25">
      <c r="A267" s="76" t="s">
        <v>335</v>
      </c>
    </row>
    <row r="268" spans="1:1" x14ac:dyDescent="0.25">
      <c r="A268" s="76" t="s">
        <v>336</v>
      </c>
    </row>
    <row r="269" spans="1:1" x14ac:dyDescent="0.25">
      <c r="A269" s="76" t="s">
        <v>337</v>
      </c>
    </row>
    <row r="270" spans="1:1" x14ac:dyDescent="0.25">
      <c r="A270" s="76" t="s">
        <v>338</v>
      </c>
    </row>
    <row r="271" spans="1:1" x14ac:dyDescent="0.25">
      <c r="A271" s="76" t="s">
        <v>339</v>
      </c>
    </row>
    <row r="272" spans="1:1" x14ac:dyDescent="0.25">
      <c r="A272" s="76" t="s">
        <v>340</v>
      </c>
    </row>
    <row r="273" spans="1:1" x14ac:dyDescent="0.25">
      <c r="A273" s="76" t="s">
        <v>341</v>
      </c>
    </row>
    <row r="274" spans="1:1" x14ac:dyDescent="0.25">
      <c r="A274" s="76" t="s">
        <v>342</v>
      </c>
    </row>
    <row r="275" spans="1:1" x14ac:dyDescent="0.25">
      <c r="A275" s="76" t="s">
        <v>343</v>
      </c>
    </row>
    <row r="276" spans="1:1" x14ac:dyDescent="0.25">
      <c r="A276" s="76" t="s">
        <v>344</v>
      </c>
    </row>
    <row r="277" spans="1:1" x14ac:dyDescent="0.25">
      <c r="A277" s="76" t="s">
        <v>345</v>
      </c>
    </row>
    <row r="278" spans="1:1" x14ac:dyDescent="0.25">
      <c r="A278" s="76" t="s">
        <v>346</v>
      </c>
    </row>
    <row r="279" spans="1:1" x14ac:dyDescent="0.25">
      <c r="A279" s="76" t="s">
        <v>347</v>
      </c>
    </row>
    <row r="280" spans="1:1" x14ac:dyDescent="0.25">
      <c r="A280" s="76" t="s">
        <v>348</v>
      </c>
    </row>
    <row r="281" spans="1:1" x14ac:dyDescent="0.25">
      <c r="A281" s="76" t="s">
        <v>349</v>
      </c>
    </row>
    <row r="282" spans="1:1" x14ac:dyDescent="0.25">
      <c r="A282" s="76" t="s">
        <v>350</v>
      </c>
    </row>
    <row r="283" spans="1:1" x14ac:dyDescent="0.25">
      <c r="A283" s="76" t="s">
        <v>351</v>
      </c>
    </row>
    <row r="284" spans="1:1" x14ac:dyDescent="0.25">
      <c r="A284" s="76" t="s">
        <v>352</v>
      </c>
    </row>
    <row r="285" spans="1:1" x14ac:dyDescent="0.25">
      <c r="A285" s="76" t="s">
        <v>353</v>
      </c>
    </row>
    <row r="286" spans="1:1" x14ac:dyDescent="0.25">
      <c r="A286" s="76" t="s">
        <v>354</v>
      </c>
    </row>
    <row r="287" spans="1:1" x14ac:dyDescent="0.25">
      <c r="A287" s="76" t="s">
        <v>355</v>
      </c>
    </row>
    <row r="288" spans="1:1" x14ac:dyDescent="0.25">
      <c r="A288" s="76" t="s">
        <v>356</v>
      </c>
    </row>
    <row r="289" spans="1:1" x14ac:dyDescent="0.25">
      <c r="A289" s="76" t="s">
        <v>357</v>
      </c>
    </row>
    <row r="290" spans="1:1" x14ac:dyDescent="0.25">
      <c r="A290" s="76" t="s">
        <v>360</v>
      </c>
    </row>
    <row r="291" spans="1:1" x14ac:dyDescent="0.25">
      <c r="A291" s="76" t="s">
        <v>362</v>
      </c>
    </row>
    <row r="292" spans="1:1" x14ac:dyDescent="0.25">
      <c r="A292" s="76" t="s">
        <v>365</v>
      </c>
    </row>
    <row r="293" spans="1:1" x14ac:dyDescent="0.25">
      <c r="A293" s="76" t="s">
        <v>366</v>
      </c>
    </row>
    <row r="294" spans="1:1" x14ac:dyDescent="0.25">
      <c r="A294" s="76" t="s">
        <v>367</v>
      </c>
    </row>
    <row r="295" spans="1:1" x14ac:dyDescent="0.25">
      <c r="A295" s="76" t="s">
        <v>369</v>
      </c>
    </row>
    <row r="296" spans="1:1" x14ac:dyDescent="0.25">
      <c r="A296" s="76" t="s">
        <v>370</v>
      </c>
    </row>
    <row r="297" spans="1:1" x14ac:dyDescent="0.25">
      <c r="A297" s="76" t="s">
        <v>371</v>
      </c>
    </row>
    <row r="298" spans="1:1" x14ac:dyDescent="0.25">
      <c r="A298" s="76" t="s">
        <v>373</v>
      </c>
    </row>
    <row r="299" spans="1:1" x14ac:dyDescent="0.25">
      <c r="A299" s="76" t="s">
        <v>375</v>
      </c>
    </row>
    <row r="300" spans="1:1" x14ac:dyDescent="0.25">
      <c r="A300" s="76" t="s">
        <v>377</v>
      </c>
    </row>
    <row r="301" spans="1:1" x14ac:dyDescent="0.25">
      <c r="A301" s="76" t="s">
        <v>378</v>
      </c>
    </row>
    <row r="302" spans="1:1" x14ac:dyDescent="0.25">
      <c r="A302" s="76" t="s">
        <v>379</v>
      </c>
    </row>
    <row r="303" spans="1:1" x14ac:dyDescent="0.25">
      <c r="A303" s="76" t="s">
        <v>380</v>
      </c>
    </row>
    <row r="304" spans="1:1" x14ac:dyDescent="0.25">
      <c r="A304" s="76" t="s">
        <v>381</v>
      </c>
    </row>
    <row r="305" spans="1:1" x14ac:dyDescent="0.25">
      <c r="A305" s="76" t="s">
        <v>382</v>
      </c>
    </row>
    <row r="306" spans="1:1" x14ac:dyDescent="0.25">
      <c r="A306" s="76" t="s">
        <v>383</v>
      </c>
    </row>
    <row r="307" spans="1:1" x14ac:dyDescent="0.25">
      <c r="A307" s="76" t="s">
        <v>385</v>
      </c>
    </row>
    <row r="308" spans="1:1" x14ac:dyDescent="0.25">
      <c r="A308" s="76" t="s">
        <v>386</v>
      </c>
    </row>
    <row r="309" spans="1:1" x14ac:dyDescent="0.25">
      <c r="A309" s="76" t="s">
        <v>387</v>
      </c>
    </row>
    <row r="310" spans="1:1" x14ac:dyDescent="0.25">
      <c r="A310" s="76" t="s">
        <v>388</v>
      </c>
    </row>
    <row r="311" spans="1:1" x14ac:dyDescent="0.25">
      <c r="A311" s="76" t="s">
        <v>389</v>
      </c>
    </row>
    <row r="312" spans="1:1" x14ac:dyDescent="0.25">
      <c r="A312" s="76" t="s">
        <v>390</v>
      </c>
    </row>
    <row r="313" spans="1:1" x14ac:dyDescent="0.25">
      <c r="A313" s="76" t="s">
        <v>392</v>
      </c>
    </row>
    <row r="314" spans="1:1" x14ac:dyDescent="0.25">
      <c r="A314" s="76" t="s">
        <v>394</v>
      </c>
    </row>
    <row r="315" spans="1:1" x14ac:dyDescent="0.25">
      <c r="A315" s="76" t="s">
        <v>396</v>
      </c>
    </row>
    <row r="316" spans="1:1" x14ac:dyDescent="0.25">
      <c r="A316" s="76" t="s">
        <v>397</v>
      </c>
    </row>
    <row r="317" spans="1:1" x14ac:dyDescent="0.25">
      <c r="A317" s="76" t="s">
        <v>398</v>
      </c>
    </row>
    <row r="318" spans="1:1" x14ac:dyDescent="0.25">
      <c r="A318" s="76" t="s">
        <v>399</v>
      </c>
    </row>
    <row r="319" spans="1:1" x14ac:dyDescent="0.25">
      <c r="A319" s="76" t="s">
        <v>401</v>
      </c>
    </row>
    <row r="320" spans="1:1" x14ac:dyDescent="0.25">
      <c r="A320" s="76" t="s">
        <v>403</v>
      </c>
    </row>
    <row r="321" spans="1:1" x14ac:dyDescent="0.25">
      <c r="A321" s="76" t="s">
        <v>405</v>
      </c>
    </row>
    <row r="322" spans="1:1" x14ac:dyDescent="0.25">
      <c r="A322" s="76" t="s">
        <v>406</v>
      </c>
    </row>
    <row r="323" spans="1:1" x14ac:dyDescent="0.25">
      <c r="A323" s="76" t="s">
        <v>408</v>
      </c>
    </row>
    <row r="324" spans="1:1" x14ac:dyDescent="0.25">
      <c r="A324" s="76" t="s">
        <v>409</v>
      </c>
    </row>
    <row r="325" spans="1:1" x14ac:dyDescent="0.25">
      <c r="A325" s="76" t="s">
        <v>411</v>
      </c>
    </row>
    <row r="326" spans="1:1" x14ac:dyDescent="0.25">
      <c r="A326" s="76" t="s">
        <v>412</v>
      </c>
    </row>
    <row r="327" spans="1:1" x14ac:dyDescent="0.25">
      <c r="A327" s="76" t="s">
        <v>413</v>
      </c>
    </row>
    <row r="328" spans="1:1" x14ac:dyDescent="0.25">
      <c r="A328" s="76" t="s">
        <v>414</v>
      </c>
    </row>
    <row r="329" spans="1:1" x14ac:dyDescent="0.25">
      <c r="A329" s="76" t="s">
        <v>415</v>
      </c>
    </row>
    <row r="330" spans="1:1" x14ac:dyDescent="0.25">
      <c r="A330" s="76" t="s">
        <v>417</v>
      </c>
    </row>
    <row r="331" spans="1:1" x14ac:dyDescent="0.25">
      <c r="A331" s="76" t="s">
        <v>418</v>
      </c>
    </row>
    <row r="332" spans="1:1" x14ac:dyDescent="0.25">
      <c r="A332" s="76" t="s">
        <v>420</v>
      </c>
    </row>
    <row r="333" spans="1:1" x14ac:dyDescent="0.25">
      <c r="A333" s="76" t="s">
        <v>422</v>
      </c>
    </row>
    <row r="334" spans="1:1" x14ac:dyDescent="0.25">
      <c r="A334" s="76" t="s">
        <v>425</v>
      </c>
    </row>
    <row r="335" spans="1:1" x14ac:dyDescent="0.25">
      <c r="A335" s="76" t="s">
        <v>426</v>
      </c>
    </row>
    <row r="336" spans="1:1" x14ac:dyDescent="0.25">
      <c r="A336" s="76" t="s">
        <v>427</v>
      </c>
    </row>
    <row r="337" spans="1:1" x14ac:dyDescent="0.25">
      <c r="A337" s="76" t="s">
        <v>429</v>
      </c>
    </row>
    <row r="338" spans="1:1" x14ac:dyDescent="0.25">
      <c r="A338" s="76" t="s">
        <v>431</v>
      </c>
    </row>
    <row r="339" spans="1:1" x14ac:dyDescent="0.25">
      <c r="A339" s="76" t="s">
        <v>433</v>
      </c>
    </row>
    <row r="340" spans="1:1" x14ac:dyDescent="0.25">
      <c r="A340" s="76" t="s">
        <v>435</v>
      </c>
    </row>
    <row r="341" spans="1:1" x14ac:dyDescent="0.25">
      <c r="A341" s="76" t="s">
        <v>437</v>
      </c>
    </row>
    <row r="342" spans="1:1" x14ac:dyDescent="0.25">
      <c r="A342" s="76" t="s">
        <v>439</v>
      </c>
    </row>
    <row r="343" spans="1:1" x14ac:dyDescent="0.25">
      <c r="A343" s="76" t="s">
        <v>824</v>
      </c>
    </row>
    <row r="344" spans="1:1" x14ac:dyDescent="0.25">
      <c r="A344" s="76" t="s">
        <v>442</v>
      </c>
    </row>
    <row r="345" spans="1:1" x14ac:dyDescent="0.25">
      <c r="A345" s="76" t="s">
        <v>443</v>
      </c>
    </row>
    <row r="346" spans="1:1" x14ac:dyDescent="0.25">
      <c r="A346" s="76" t="s">
        <v>445</v>
      </c>
    </row>
    <row r="347" spans="1:1" x14ac:dyDescent="0.25">
      <c r="A347" s="76" t="s">
        <v>447</v>
      </c>
    </row>
    <row r="348" spans="1:1" x14ac:dyDescent="0.25">
      <c r="A348" s="76" t="s">
        <v>449</v>
      </c>
    </row>
    <row r="349" spans="1:1" x14ac:dyDescent="0.25">
      <c r="A349" s="76" t="s">
        <v>450</v>
      </c>
    </row>
    <row r="350" spans="1:1" x14ac:dyDescent="0.25">
      <c r="A350" s="76" t="s">
        <v>452</v>
      </c>
    </row>
    <row r="351" spans="1:1" x14ac:dyDescent="0.25">
      <c r="A351" s="76" t="s">
        <v>453</v>
      </c>
    </row>
    <row r="352" spans="1:1" x14ac:dyDescent="0.25">
      <c r="A352" s="76" t="s">
        <v>454</v>
      </c>
    </row>
    <row r="353" spans="1:1" x14ac:dyDescent="0.25">
      <c r="A353" s="76" t="s">
        <v>455</v>
      </c>
    </row>
    <row r="354" spans="1:1" x14ac:dyDescent="0.25">
      <c r="A354" s="76" t="s">
        <v>457</v>
      </c>
    </row>
    <row r="355" spans="1:1" x14ac:dyDescent="0.25">
      <c r="A355" s="76" t="s">
        <v>458</v>
      </c>
    </row>
    <row r="356" spans="1:1" x14ac:dyDescent="0.25">
      <c r="A356" s="76" t="s">
        <v>459</v>
      </c>
    </row>
    <row r="357" spans="1:1" x14ac:dyDescent="0.25">
      <c r="A357" s="76" t="s">
        <v>460</v>
      </c>
    </row>
    <row r="358" spans="1:1" x14ac:dyDescent="0.25">
      <c r="A358" s="76" t="s">
        <v>462</v>
      </c>
    </row>
    <row r="359" spans="1:1" x14ac:dyDescent="0.25">
      <c r="A359" s="76" t="s">
        <v>464</v>
      </c>
    </row>
    <row r="360" spans="1:1" x14ac:dyDescent="0.25">
      <c r="A360" s="76" t="s">
        <v>466</v>
      </c>
    </row>
    <row r="361" spans="1:1" x14ac:dyDescent="0.25">
      <c r="A361" s="76" t="s">
        <v>467</v>
      </c>
    </row>
    <row r="362" spans="1:1" x14ac:dyDescent="0.25">
      <c r="A362" s="76" t="s">
        <v>468</v>
      </c>
    </row>
    <row r="363" spans="1:1" x14ac:dyDescent="0.25">
      <c r="A363" s="76" t="s">
        <v>469</v>
      </c>
    </row>
    <row r="364" spans="1:1" x14ac:dyDescent="0.25">
      <c r="A364" s="76" t="s">
        <v>470</v>
      </c>
    </row>
    <row r="365" spans="1:1" x14ac:dyDescent="0.25">
      <c r="A365" s="76" t="s">
        <v>471</v>
      </c>
    </row>
    <row r="366" spans="1:1" x14ac:dyDescent="0.25">
      <c r="A366" s="76" t="s">
        <v>472</v>
      </c>
    </row>
    <row r="367" spans="1:1" x14ac:dyDescent="0.25">
      <c r="A367" s="76" t="s">
        <v>473</v>
      </c>
    </row>
    <row r="368" spans="1:1" x14ac:dyDescent="0.25">
      <c r="A368" s="76" t="s">
        <v>475</v>
      </c>
    </row>
    <row r="369" spans="1:1" x14ac:dyDescent="0.25">
      <c r="A369" s="76" t="s">
        <v>477</v>
      </c>
    </row>
    <row r="370" spans="1:1" x14ac:dyDescent="0.25">
      <c r="A370" s="76" t="s">
        <v>478</v>
      </c>
    </row>
    <row r="371" spans="1:1" x14ac:dyDescent="0.25">
      <c r="A371" s="76" t="s">
        <v>479</v>
      </c>
    </row>
    <row r="372" spans="1:1" x14ac:dyDescent="0.25">
      <c r="A372" s="76" t="s">
        <v>480</v>
      </c>
    </row>
    <row r="373" spans="1:1" x14ac:dyDescent="0.25">
      <c r="A373" s="76" t="s">
        <v>481</v>
      </c>
    </row>
    <row r="374" spans="1:1" x14ac:dyDescent="0.25">
      <c r="A374" s="76" t="s">
        <v>482</v>
      </c>
    </row>
    <row r="375" spans="1:1" x14ac:dyDescent="0.25">
      <c r="A375" s="76" t="s">
        <v>483</v>
      </c>
    </row>
    <row r="376" spans="1:1" x14ac:dyDescent="0.25">
      <c r="A376" s="76" t="s">
        <v>484</v>
      </c>
    </row>
    <row r="377" spans="1:1" x14ac:dyDescent="0.25">
      <c r="A377" s="76" t="s">
        <v>485</v>
      </c>
    </row>
    <row r="378" spans="1:1" x14ac:dyDescent="0.25">
      <c r="A378" s="76" t="s">
        <v>486</v>
      </c>
    </row>
    <row r="379" spans="1:1" x14ac:dyDescent="0.25">
      <c r="A379" s="76" t="s">
        <v>487</v>
      </c>
    </row>
    <row r="380" spans="1:1" x14ac:dyDescent="0.25">
      <c r="A380" s="76" t="s">
        <v>488</v>
      </c>
    </row>
    <row r="381" spans="1:1" x14ac:dyDescent="0.25">
      <c r="A381" s="76" t="s">
        <v>489</v>
      </c>
    </row>
    <row r="382" spans="1:1" x14ac:dyDescent="0.25">
      <c r="A382" s="76" t="s">
        <v>490</v>
      </c>
    </row>
    <row r="383" spans="1:1" x14ac:dyDescent="0.25">
      <c r="A383" s="76" t="s">
        <v>491</v>
      </c>
    </row>
    <row r="384" spans="1:1" x14ac:dyDescent="0.25">
      <c r="A384" s="76" t="s">
        <v>492</v>
      </c>
    </row>
    <row r="385" spans="1:1" x14ac:dyDescent="0.25">
      <c r="A385" s="76" t="s">
        <v>493</v>
      </c>
    </row>
    <row r="386" spans="1:1" x14ac:dyDescent="0.25">
      <c r="A386" s="76" t="s">
        <v>494</v>
      </c>
    </row>
    <row r="387" spans="1:1" x14ac:dyDescent="0.25">
      <c r="A387" s="76" t="s">
        <v>495</v>
      </c>
    </row>
    <row r="388" spans="1:1" x14ac:dyDescent="0.25">
      <c r="A388" s="76" t="s">
        <v>496</v>
      </c>
    </row>
    <row r="389" spans="1:1" x14ac:dyDescent="0.25">
      <c r="A389" s="76" t="s">
        <v>497</v>
      </c>
    </row>
    <row r="390" spans="1:1" x14ac:dyDescent="0.25">
      <c r="A390" s="76" t="s">
        <v>498</v>
      </c>
    </row>
    <row r="391" spans="1:1" x14ac:dyDescent="0.25">
      <c r="A391" s="76" t="s">
        <v>499</v>
      </c>
    </row>
    <row r="392" spans="1:1" x14ac:dyDescent="0.25">
      <c r="A392" s="76" t="s">
        <v>500</v>
      </c>
    </row>
    <row r="393" spans="1:1" x14ac:dyDescent="0.25">
      <c r="A393" s="76" t="s">
        <v>501</v>
      </c>
    </row>
    <row r="394" spans="1:1" x14ac:dyDescent="0.25">
      <c r="A394" s="76" t="s">
        <v>502</v>
      </c>
    </row>
    <row r="395" spans="1:1" x14ac:dyDescent="0.25">
      <c r="A395" s="76" t="s">
        <v>503</v>
      </c>
    </row>
    <row r="396" spans="1:1" x14ac:dyDescent="0.25">
      <c r="A396" s="76" t="s">
        <v>504</v>
      </c>
    </row>
    <row r="397" spans="1:1" x14ac:dyDescent="0.25">
      <c r="A397" s="76" t="s">
        <v>505</v>
      </c>
    </row>
    <row r="398" spans="1:1" x14ac:dyDescent="0.25">
      <c r="A398" s="76" t="s">
        <v>506</v>
      </c>
    </row>
    <row r="399" spans="1:1" x14ac:dyDescent="0.25">
      <c r="A399" s="76" t="s">
        <v>507</v>
      </c>
    </row>
    <row r="400" spans="1:1" x14ac:dyDescent="0.25">
      <c r="A400" s="76" t="s">
        <v>508</v>
      </c>
    </row>
    <row r="401" spans="1:1" x14ac:dyDescent="0.25">
      <c r="A401" s="76" t="s">
        <v>509</v>
      </c>
    </row>
    <row r="402" spans="1:1" x14ac:dyDescent="0.25">
      <c r="A402" s="76" t="s">
        <v>510</v>
      </c>
    </row>
    <row r="403" spans="1:1" x14ac:dyDescent="0.25">
      <c r="A403" s="76" t="s">
        <v>511</v>
      </c>
    </row>
    <row r="404" spans="1:1" x14ac:dyDescent="0.25">
      <c r="A404" s="76" t="s">
        <v>512</v>
      </c>
    </row>
    <row r="405" spans="1:1" x14ac:dyDescent="0.25">
      <c r="A405" s="76" t="s">
        <v>513</v>
      </c>
    </row>
    <row r="406" spans="1:1" x14ac:dyDescent="0.25">
      <c r="A406" s="76" t="s">
        <v>514</v>
      </c>
    </row>
    <row r="407" spans="1:1" x14ac:dyDescent="0.25">
      <c r="A407" s="76" t="s">
        <v>515</v>
      </c>
    </row>
    <row r="408" spans="1:1" x14ac:dyDescent="0.25">
      <c r="A408" s="76" t="s">
        <v>516</v>
      </c>
    </row>
    <row r="409" spans="1:1" x14ac:dyDescent="0.25">
      <c r="A409" s="76" t="s">
        <v>517</v>
      </c>
    </row>
    <row r="410" spans="1:1" x14ac:dyDescent="0.25">
      <c r="A410" s="76" t="s">
        <v>518</v>
      </c>
    </row>
    <row r="411" spans="1:1" x14ac:dyDescent="0.25">
      <c r="A411" s="76" t="s">
        <v>519</v>
      </c>
    </row>
    <row r="412" spans="1:1" x14ac:dyDescent="0.25">
      <c r="A412" s="76" t="s">
        <v>520</v>
      </c>
    </row>
    <row r="413" spans="1:1" x14ac:dyDescent="0.25">
      <c r="A413" s="76" t="s">
        <v>521</v>
      </c>
    </row>
    <row r="414" spans="1:1" x14ac:dyDescent="0.25">
      <c r="A414" s="76" t="s">
        <v>522</v>
      </c>
    </row>
    <row r="415" spans="1:1" x14ac:dyDescent="0.25">
      <c r="A415" s="76" t="s">
        <v>523</v>
      </c>
    </row>
    <row r="416" spans="1:1" x14ac:dyDescent="0.25">
      <c r="A416" s="76" t="s">
        <v>524</v>
      </c>
    </row>
    <row r="417" spans="1:1" x14ac:dyDescent="0.25">
      <c r="A417" s="76" t="s">
        <v>525</v>
      </c>
    </row>
    <row r="418" spans="1:1" x14ac:dyDescent="0.25">
      <c r="A418" s="76" t="s">
        <v>526</v>
      </c>
    </row>
    <row r="419" spans="1:1" x14ac:dyDescent="0.25">
      <c r="A419" s="76" t="s">
        <v>527</v>
      </c>
    </row>
    <row r="420" spans="1:1" x14ac:dyDescent="0.25">
      <c r="A420" s="76" t="s">
        <v>528</v>
      </c>
    </row>
    <row r="421" spans="1:1" x14ac:dyDescent="0.25">
      <c r="A421" s="76" t="s">
        <v>529</v>
      </c>
    </row>
    <row r="422" spans="1:1" x14ac:dyDescent="0.25">
      <c r="A422" s="76" t="s">
        <v>530</v>
      </c>
    </row>
    <row r="423" spans="1:1" x14ac:dyDescent="0.25">
      <c r="A423" s="76" t="s">
        <v>531</v>
      </c>
    </row>
    <row r="424" spans="1:1" x14ac:dyDescent="0.25">
      <c r="A424" s="76" t="s">
        <v>532</v>
      </c>
    </row>
    <row r="425" spans="1:1" x14ac:dyDescent="0.25">
      <c r="A425" s="76" t="s">
        <v>533</v>
      </c>
    </row>
    <row r="426" spans="1:1" x14ac:dyDescent="0.25">
      <c r="A426" s="76" t="s">
        <v>534</v>
      </c>
    </row>
    <row r="427" spans="1:1" x14ac:dyDescent="0.25">
      <c r="A427" s="76" t="s">
        <v>535</v>
      </c>
    </row>
    <row r="428" spans="1:1" x14ac:dyDescent="0.25">
      <c r="A428" s="76" t="s">
        <v>536</v>
      </c>
    </row>
    <row r="429" spans="1:1" x14ac:dyDescent="0.25">
      <c r="A429" s="76" t="s">
        <v>537</v>
      </c>
    </row>
    <row r="430" spans="1:1" x14ac:dyDescent="0.25">
      <c r="A430" s="76" t="s">
        <v>538</v>
      </c>
    </row>
    <row r="431" spans="1:1" x14ac:dyDescent="0.25">
      <c r="A431" s="76" t="s">
        <v>539</v>
      </c>
    </row>
    <row r="432" spans="1:1" x14ac:dyDescent="0.25">
      <c r="A432" s="76" t="s">
        <v>540</v>
      </c>
    </row>
    <row r="433" spans="1:1" x14ac:dyDescent="0.25">
      <c r="A433" s="76" t="s">
        <v>541</v>
      </c>
    </row>
    <row r="434" spans="1:1" x14ac:dyDescent="0.25">
      <c r="A434" s="76" t="s">
        <v>542</v>
      </c>
    </row>
    <row r="435" spans="1:1" x14ac:dyDescent="0.25">
      <c r="A435" s="76" t="s">
        <v>543</v>
      </c>
    </row>
    <row r="436" spans="1:1" x14ac:dyDescent="0.25">
      <c r="A436" s="76" t="s">
        <v>544</v>
      </c>
    </row>
    <row r="437" spans="1:1" x14ac:dyDescent="0.25">
      <c r="A437" s="76" t="s">
        <v>545</v>
      </c>
    </row>
    <row r="438" spans="1:1" x14ac:dyDescent="0.25">
      <c r="A438" s="76" t="s">
        <v>546</v>
      </c>
    </row>
    <row r="439" spans="1:1" x14ac:dyDescent="0.25">
      <c r="A439" s="76" t="s">
        <v>547</v>
      </c>
    </row>
    <row r="440" spans="1:1" x14ac:dyDescent="0.25">
      <c r="A440" s="76" t="s">
        <v>548</v>
      </c>
    </row>
    <row r="441" spans="1:1" x14ac:dyDescent="0.25">
      <c r="A441" s="76" t="s">
        <v>550</v>
      </c>
    </row>
    <row r="442" spans="1:1" x14ac:dyDescent="0.25">
      <c r="A442" s="76" t="s">
        <v>551</v>
      </c>
    </row>
    <row r="443" spans="1:1" x14ac:dyDescent="0.25">
      <c r="A443" s="76" t="s">
        <v>552</v>
      </c>
    </row>
    <row r="444" spans="1:1" x14ac:dyDescent="0.25">
      <c r="A444" s="76" t="s">
        <v>553</v>
      </c>
    </row>
    <row r="445" spans="1:1" x14ac:dyDescent="0.25">
      <c r="A445" s="76" t="s">
        <v>554</v>
      </c>
    </row>
    <row r="446" spans="1:1" x14ac:dyDescent="0.25">
      <c r="A446" s="76" t="s">
        <v>557</v>
      </c>
    </row>
    <row r="447" spans="1:1" x14ac:dyDescent="0.25">
      <c r="A447" s="76" t="s">
        <v>825</v>
      </c>
    </row>
    <row r="448" spans="1:1" x14ac:dyDescent="0.25">
      <c r="A448" s="76" t="s">
        <v>559</v>
      </c>
    </row>
    <row r="449" spans="1:1" x14ac:dyDescent="0.25">
      <c r="A449" s="76" t="s">
        <v>560</v>
      </c>
    </row>
    <row r="450" spans="1:1" x14ac:dyDescent="0.25">
      <c r="A450" s="76" t="s">
        <v>562</v>
      </c>
    </row>
    <row r="451" spans="1:1" x14ac:dyDescent="0.25">
      <c r="A451" s="76" t="s">
        <v>564</v>
      </c>
    </row>
    <row r="452" spans="1:1" x14ac:dyDescent="0.25">
      <c r="A452" s="76" t="s">
        <v>565</v>
      </c>
    </row>
    <row r="453" spans="1:1" x14ac:dyDescent="0.25">
      <c r="A453" s="76" t="s">
        <v>566</v>
      </c>
    </row>
    <row r="454" spans="1:1" x14ac:dyDescent="0.25">
      <c r="A454" s="76" t="s">
        <v>567</v>
      </c>
    </row>
    <row r="455" spans="1:1" x14ac:dyDescent="0.25">
      <c r="A455" s="76" t="s">
        <v>569</v>
      </c>
    </row>
    <row r="456" spans="1:1" x14ac:dyDescent="0.25">
      <c r="A456" s="76" t="s">
        <v>571</v>
      </c>
    </row>
    <row r="457" spans="1:1" x14ac:dyDescent="0.25">
      <c r="A457" s="76" t="s">
        <v>573</v>
      </c>
    </row>
    <row r="458" spans="1:1" x14ac:dyDescent="0.25">
      <c r="A458" s="76" t="s">
        <v>574</v>
      </c>
    </row>
    <row r="459" spans="1:1" x14ac:dyDescent="0.25">
      <c r="A459" s="76" t="s">
        <v>576</v>
      </c>
    </row>
    <row r="460" spans="1:1" x14ac:dyDescent="0.25">
      <c r="A460" s="76" t="s">
        <v>578</v>
      </c>
    </row>
    <row r="461" spans="1:1" x14ac:dyDescent="0.25">
      <c r="A461" s="76" t="s">
        <v>580</v>
      </c>
    </row>
    <row r="462" spans="1:1" x14ac:dyDescent="0.25">
      <c r="A462" s="76" t="s">
        <v>582</v>
      </c>
    </row>
    <row r="463" spans="1:1" x14ac:dyDescent="0.25">
      <c r="A463" s="76" t="s">
        <v>584</v>
      </c>
    </row>
    <row r="464" spans="1:1" x14ac:dyDescent="0.25">
      <c r="A464" s="76" t="s">
        <v>585</v>
      </c>
    </row>
    <row r="465" spans="1:1" x14ac:dyDescent="0.25">
      <c r="A465" s="76" t="s">
        <v>587</v>
      </c>
    </row>
    <row r="466" spans="1:1" x14ac:dyDescent="0.25">
      <c r="A466" s="76" t="s">
        <v>588</v>
      </c>
    </row>
    <row r="467" spans="1:1" x14ac:dyDescent="0.25">
      <c r="A467" s="76" t="s">
        <v>589</v>
      </c>
    </row>
    <row r="468" spans="1:1" x14ac:dyDescent="0.25">
      <c r="A468" s="76" t="s">
        <v>826</v>
      </c>
    </row>
    <row r="469" spans="1:1" x14ac:dyDescent="0.25">
      <c r="A469" s="76" t="s">
        <v>591</v>
      </c>
    </row>
    <row r="470" spans="1:1" x14ac:dyDescent="0.25">
      <c r="A470" s="76" t="s">
        <v>593</v>
      </c>
    </row>
    <row r="471" spans="1:1" x14ac:dyDescent="0.25">
      <c r="A471" s="76" t="s">
        <v>594</v>
      </c>
    </row>
    <row r="472" spans="1:1" x14ac:dyDescent="0.25">
      <c r="A472" s="76" t="s">
        <v>596</v>
      </c>
    </row>
    <row r="473" spans="1:1" x14ac:dyDescent="0.25">
      <c r="A473" s="76" t="s">
        <v>597</v>
      </c>
    </row>
    <row r="474" spans="1:1" x14ac:dyDescent="0.25">
      <c r="A474" s="76" t="s">
        <v>599</v>
      </c>
    </row>
    <row r="475" spans="1:1" x14ac:dyDescent="0.25">
      <c r="A475" s="76" t="s">
        <v>600</v>
      </c>
    </row>
    <row r="476" spans="1:1" x14ac:dyDescent="0.25">
      <c r="A476" s="76" t="s">
        <v>602</v>
      </c>
    </row>
    <row r="477" spans="1:1" x14ac:dyDescent="0.25">
      <c r="A477" s="76" t="s">
        <v>604</v>
      </c>
    </row>
    <row r="478" spans="1:1" x14ac:dyDescent="0.25">
      <c r="A478" s="76" t="s">
        <v>605</v>
      </c>
    </row>
    <row r="479" spans="1:1" x14ac:dyDescent="0.25">
      <c r="A479" s="76" t="s">
        <v>606</v>
      </c>
    </row>
    <row r="480" spans="1:1" x14ac:dyDescent="0.25">
      <c r="A480" s="76" t="s">
        <v>607</v>
      </c>
    </row>
    <row r="481" spans="1:1" x14ac:dyDescent="0.25">
      <c r="A481" s="76" t="s">
        <v>609</v>
      </c>
    </row>
    <row r="482" spans="1:1" x14ac:dyDescent="0.25">
      <c r="A482" s="76" t="s">
        <v>610</v>
      </c>
    </row>
    <row r="483" spans="1:1" x14ac:dyDescent="0.25">
      <c r="A483" s="76" t="s">
        <v>611</v>
      </c>
    </row>
    <row r="484" spans="1:1" x14ac:dyDescent="0.25">
      <c r="A484" s="76" t="s">
        <v>612</v>
      </c>
    </row>
    <row r="485" spans="1:1" x14ac:dyDescent="0.25">
      <c r="A485" s="76" t="s">
        <v>613</v>
      </c>
    </row>
    <row r="486" spans="1:1" x14ac:dyDescent="0.25">
      <c r="A486" s="76" t="s">
        <v>615</v>
      </c>
    </row>
    <row r="487" spans="1:1" x14ac:dyDescent="0.25">
      <c r="A487" s="76" t="s">
        <v>617</v>
      </c>
    </row>
    <row r="488" spans="1:1" x14ac:dyDescent="0.25">
      <c r="A488" s="76" t="s">
        <v>618</v>
      </c>
    </row>
    <row r="489" spans="1:1" x14ac:dyDescent="0.25">
      <c r="A489" s="76" t="s">
        <v>619</v>
      </c>
    </row>
    <row r="490" spans="1:1" x14ac:dyDescent="0.25">
      <c r="A490" s="76" t="s">
        <v>620</v>
      </c>
    </row>
    <row r="491" spans="1:1" x14ac:dyDescent="0.25">
      <c r="A491" s="76" t="s">
        <v>621</v>
      </c>
    </row>
    <row r="492" spans="1:1" x14ac:dyDescent="0.25">
      <c r="A492" s="76" t="s">
        <v>622</v>
      </c>
    </row>
    <row r="493" spans="1:1" x14ac:dyDescent="0.25">
      <c r="A493" s="76" t="s">
        <v>624</v>
      </c>
    </row>
    <row r="494" spans="1:1" x14ac:dyDescent="0.25">
      <c r="A494" s="76" t="s">
        <v>625</v>
      </c>
    </row>
    <row r="495" spans="1:1" x14ac:dyDescent="0.25">
      <c r="A495" s="76" t="s">
        <v>626</v>
      </c>
    </row>
    <row r="496" spans="1:1" x14ac:dyDescent="0.25">
      <c r="A496" s="76" t="s">
        <v>627</v>
      </c>
    </row>
    <row r="497" spans="1:1" x14ac:dyDescent="0.25">
      <c r="A497" s="76" t="s">
        <v>628</v>
      </c>
    </row>
    <row r="498" spans="1:1" x14ac:dyDescent="0.25">
      <c r="A498" s="76" t="s">
        <v>629</v>
      </c>
    </row>
    <row r="499" spans="1:1" x14ac:dyDescent="0.25">
      <c r="A499" s="76" t="s">
        <v>631</v>
      </c>
    </row>
    <row r="500" spans="1:1" x14ac:dyDescent="0.25">
      <c r="A500" s="76" t="s">
        <v>632</v>
      </c>
    </row>
    <row r="501" spans="1:1" x14ac:dyDescent="0.25">
      <c r="A501" s="76" t="s">
        <v>633</v>
      </c>
    </row>
    <row r="502" spans="1:1" x14ac:dyDescent="0.25">
      <c r="A502" s="76" t="s">
        <v>634</v>
      </c>
    </row>
    <row r="503" spans="1:1" x14ac:dyDescent="0.25">
      <c r="A503" s="76" t="s">
        <v>635</v>
      </c>
    </row>
    <row r="504" spans="1:1" x14ac:dyDescent="0.25">
      <c r="A504" s="76" t="s">
        <v>636</v>
      </c>
    </row>
    <row r="505" spans="1:1" x14ac:dyDescent="0.25">
      <c r="A505" s="76" t="s">
        <v>637</v>
      </c>
    </row>
    <row r="506" spans="1:1" x14ac:dyDescent="0.25">
      <c r="A506" s="76" t="s">
        <v>638</v>
      </c>
    </row>
    <row r="507" spans="1:1" x14ac:dyDescent="0.25">
      <c r="A507" s="76" t="s">
        <v>639</v>
      </c>
    </row>
    <row r="508" spans="1:1" x14ac:dyDescent="0.25">
      <c r="A508" s="76" t="s">
        <v>641</v>
      </c>
    </row>
    <row r="509" spans="1:1" x14ac:dyDescent="0.25">
      <c r="A509" s="76" t="s">
        <v>643</v>
      </c>
    </row>
    <row r="510" spans="1:1" x14ac:dyDescent="0.25">
      <c r="A510" s="76" t="s">
        <v>645</v>
      </c>
    </row>
    <row r="511" spans="1:1" x14ac:dyDescent="0.25">
      <c r="A511" s="76" t="s">
        <v>646</v>
      </c>
    </row>
    <row r="512" spans="1:1" x14ac:dyDescent="0.25">
      <c r="A512" s="76" t="s">
        <v>647</v>
      </c>
    </row>
    <row r="513" spans="1:1" x14ac:dyDescent="0.25">
      <c r="A513" s="76" t="s">
        <v>649</v>
      </c>
    </row>
    <row r="514" spans="1:1" x14ac:dyDescent="0.25">
      <c r="A514" s="76" t="s">
        <v>651</v>
      </c>
    </row>
    <row r="515" spans="1:1" x14ac:dyDescent="0.25">
      <c r="A515" s="76" t="s">
        <v>653</v>
      </c>
    </row>
    <row r="516" spans="1:1" x14ac:dyDescent="0.25">
      <c r="A516" s="76" t="s">
        <v>655</v>
      </c>
    </row>
    <row r="517" spans="1:1" x14ac:dyDescent="0.25">
      <c r="A517" s="76" t="s">
        <v>656</v>
      </c>
    </row>
    <row r="518" spans="1:1" x14ac:dyDescent="0.25">
      <c r="A518" s="76" t="s">
        <v>657</v>
      </c>
    </row>
    <row r="519" spans="1:1" x14ac:dyDescent="0.25">
      <c r="A519" s="76" t="s">
        <v>659</v>
      </c>
    </row>
    <row r="520" spans="1:1" x14ac:dyDescent="0.25">
      <c r="A520" s="76" t="s">
        <v>660</v>
      </c>
    </row>
    <row r="521" spans="1:1" x14ac:dyDescent="0.25">
      <c r="A521" s="76" t="s">
        <v>662</v>
      </c>
    </row>
    <row r="522" spans="1:1" x14ac:dyDescent="0.25">
      <c r="A522" s="76" t="s">
        <v>663</v>
      </c>
    </row>
    <row r="523" spans="1:1" x14ac:dyDescent="0.25">
      <c r="A523" s="76" t="s">
        <v>664</v>
      </c>
    </row>
    <row r="524" spans="1:1" x14ac:dyDescent="0.25">
      <c r="A524" s="76" t="s">
        <v>665</v>
      </c>
    </row>
    <row r="525" spans="1:1" x14ac:dyDescent="0.25">
      <c r="A525" s="76" t="s">
        <v>666</v>
      </c>
    </row>
    <row r="526" spans="1:1" x14ac:dyDescent="0.25">
      <c r="A526" s="76" t="s">
        <v>668</v>
      </c>
    </row>
    <row r="527" spans="1:1" x14ac:dyDescent="0.25">
      <c r="A527" s="76" t="s">
        <v>670</v>
      </c>
    </row>
    <row r="528" spans="1:1" x14ac:dyDescent="0.25">
      <c r="A528" s="76" t="s">
        <v>672</v>
      </c>
    </row>
    <row r="529" spans="1:1" x14ac:dyDescent="0.25">
      <c r="A529" s="76" t="s">
        <v>673</v>
      </c>
    </row>
    <row r="530" spans="1:1" x14ac:dyDescent="0.25">
      <c r="A530" s="76" t="s">
        <v>675</v>
      </c>
    </row>
    <row r="531" spans="1:1" x14ac:dyDescent="0.25">
      <c r="A531" s="76" t="s">
        <v>676</v>
      </c>
    </row>
    <row r="532" spans="1:1" x14ac:dyDescent="0.25">
      <c r="A532" s="76" t="s">
        <v>677</v>
      </c>
    </row>
    <row r="533" spans="1:1" x14ac:dyDescent="0.25">
      <c r="A533" s="76" t="s">
        <v>678</v>
      </c>
    </row>
    <row r="534" spans="1:1" x14ac:dyDescent="0.25">
      <c r="A534" s="76" t="s">
        <v>679</v>
      </c>
    </row>
    <row r="535" spans="1:1" x14ac:dyDescent="0.25">
      <c r="A535" s="76" t="s">
        <v>681</v>
      </c>
    </row>
    <row r="536" spans="1:1" x14ac:dyDescent="0.25">
      <c r="A536" s="76" t="s">
        <v>682</v>
      </c>
    </row>
    <row r="537" spans="1:1" x14ac:dyDescent="0.25">
      <c r="A537" s="76" t="s">
        <v>827</v>
      </c>
    </row>
    <row r="538" spans="1:1" x14ac:dyDescent="0.25">
      <c r="A538" s="76" t="s">
        <v>685</v>
      </c>
    </row>
    <row r="539" spans="1:1" x14ac:dyDescent="0.25">
      <c r="A539" s="76" t="s">
        <v>686</v>
      </c>
    </row>
    <row r="540" spans="1:1" x14ac:dyDescent="0.25">
      <c r="A540" s="76" t="s">
        <v>688</v>
      </c>
    </row>
    <row r="541" spans="1:1" x14ac:dyDescent="0.25">
      <c r="A541" s="76" t="s">
        <v>690</v>
      </c>
    </row>
    <row r="542" spans="1:1" x14ac:dyDescent="0.25">
      <c r="A542" s="76" t="s">
        <v>691</v>
      </c>
    </row>
    <row r="543" spans="1:1" x14ac:dyDescent="0.25">
      <c r="A543" s="76" t="s">
        <v>693</v>
      </c>
    </row>
    <row r="544" spans="1:1" x14ac:dyDescent="0.25">
      <c r="A544" s="76" t="s">
        <v>695</v>
      </c>
    </row>
    <row r="545" spans="1:1" x14ac:dyDescent="0.25">
      <c r="A545" s="76" t="s">
        <v>697</v>
      </c>
    </row>
    <row r="546" spans="1:1" x14ac:dyDescent="0.25">
      <c r="A546" s="76" t="s">
        <v>699</v>
      </c>
    </row>
    <row r="547" spans="1:1" x14ac:dyDescent="0.25">
      <c r="A547" s="76" t="s">
        <v>700</v>
      </c>
    </row>
    <row r="548" spans="1:1" x14ac:dyDescent="0.25">
      <c r="A548" s="76" t="s">
        <v>702</v>
      </c>
    </row>
    <row r="549" spans="1:1" x14ac:dyDescent="0.25">
      <c r="A549" s="76" t="s">
        <v>704</v>
      </c>
    </row>
    <row r="550" spans="1:1" x14ac:dyDescent="0.25">
      <c r="A550" s="76" t="s">
        <v>706</v>
      </c>
    </row>
    <row r="551" spans="1:1" x14ac:dyDescent="0.25">
      <c r="A551" s="76" t="s">
        <v>707</v>
      </c>
    </row>
    <row r="552" spans="1:1" x14ac:dyDescent="0.25">
      <c r="A552" s="76" t="s">
        <v>709</v>
      </c>
    </row>
    <row r="553" spans="1:1" x14ac:dyDescent="0.25">
      <c r="A553" s="73">
        <f>COUNTA(A2:A552)</f>
        <v>551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1AEE-7CB8-46B8-9499-76F4A69EB3B2}">
  <sheetPr codeName="Sheet6"/>
  <dimension ref="B1:O113"/>
  <sheetViews>
    <sheetView workbookViewId="0">
      <selection activeCell="K6" sqref="K6"/>
    </sheetView>
  </sheetViews>
  <sheetFormatPr defaultRowHeight="15" outlineLevelRow="1" x14ac:dyDescent="0.25"/>
  <cols>
    <col min="1" max="1" width="2" style="46" customWidth="1"/>
    <col min="2" max="2" width="30.85546875" style="46" bestFit="1" customWidth="1"/>
    <col min="3" max="4" width="11.85546875" style="46" bestFit="1" customWidth="1"/>
    <col min="5" max="5" width="11" style="46" bestFit="1" customWidth="1"/>
    <col min="6" max="8" width="12.7109375" style="46" bestFit="1" customWidth="1"/>
    <col min="9" max="9" width="13.28515625" style="46" bestFit="1" customWidth="1"/>
    <col min="10" max="10" width="9.140625" style="46" bestFit="1" customWidth="1"/>
    <col min="11" max="12" width="10" style="46" bestFit="1" customWidth="1"/>
    <col min="13" max="13" width="11.5703125" style="46" bestFit="1" customWidth="1"/>
    <col min="14" max="14" width="14.42578125" style="46" bestFit="1" customWidth="1"/>
    <col min="15" max="16" width="9.140625" style="46"/>
    <col min="17" max="17" width="12.28515625" style="46" bestFit="1" customWidth="1"/>
    <col min="18" max="18" width="11.5703125" style="46" bestFit="1" customWidth="1"/>
    <col min="19" max="16384" width="9.140625" style="46"/>
  </cols>
  <sheetData>
    <row r="1" spans="2:15" ht="16.5" thickBot="1" x14ac:dyDescent="0.3">
      <c r="B1" s="110" t="s">
        <v>1163</v>
      </c>
    </row>
    <row r="2" spans="2:15" ht="15.75" customHeight="1" outlineLevel="1" x14ac:dyDescent="0.25">
      <c r="B2" s="266" t="s">
        <v>1208</v>
      </c>
      <c r="C2" s="264" t="s">
        <v>1207</v>
      </c>
      <c r="D2" s="264"/>
      <c r="E2" s="264"/>
      <c r="F2" s="264" t="s">
        <v>1</v>
      </c>
      <c r="G2" s="264"/>
      <c r="H2" s="264"/>
      <c r="I2" s="191" t="s">
        <v>1204</v>
      </c>
      <c r="J2" s="192" t="s">
        <v>1203</v>
      </c>
      <c r="K2" s="192"/>
      <c r="L2" s="193"/>
      <c r="M2" s="264" t="s">
        <v>1206</v>
      </c>
      <c r="N2" s="264"/>
      <c r="O2" s="265"/>
    </row>
    <row r="3" spans="2:15" ht="15.75" customHeight="1" outlineLevel="1" x14ac:dyDescent="0.25">
      <c r="B3" s="267"/>
      <c r="C3" s="174" t="s">
        <v>1200</v>
      </c>
      <c r="D3" s="184">
        <f>((D4-C4)/C4)</f>
        <v>3.2341622320586405E-2</v>
      </c>
      <c r="E3" s="185">
        <f>((E4-D4)/D4)</f>
        <v>-0.46405413093330117</v>
      </c>
      <c r="F3" s="174" t="s">
        <v>1201</v>
      </c>
      <c r="G3" s="185">
        <f>((G4-F4)/F4)</f>
        <v>-5.5203387177456317E-3</v>
      </c>
      <c r="H3" s="185">
        <f>((H4-G4)/G4)</f>
        <v>-0.49415463741777094</v>
      </c>
      <c r="I3" s="189" t="s">
        <v>1202</v>
      </c>
      <c r="J3" s="176">
        <f>D3-G3</f>
        <v>3.7861961038332038E-2</v>
      </c>
      <c r="K3" s="176">
        <f>E3-H3</f>
        <v>3.0100506484469769E-2</v>
      </c>
      <c r="L3" s="175"/>
      <c r="M3" s="174" t="s">
        <v>1202</v>
      </c>
      <c r="N3" s="184">
        <f>((N4-M4)/M4)</f>
        <v>3.8072132103248772E-2</v>
      </c>
      <c r="O3" s="186">
        <f>((O4-N4)/N4)</f>
        <v>5.9505352249970757E-2</v>
      </c>
    </row>
    <row r="4" spans="2:15" ht="15.75" outlineLevel="1" thickBot="1" x14ac:dyDescent="0.3">
      <c r="B4" s="177" t="s">
        <v>1199</v>
      </c>
      <c r="C4" s="183">
        <v>31416.343000000001</v>
      </c>
      <c r="D4" s="183">
        <v>32432.398499999999</v>
      </c>
      <c r="E4" s="183">
        <v>17382.009999999998</v>
      </c>
      <c r="F4" s="183">
        <v>1194607.8559999999</v>
      </c>
      <c r="G4" s="183">
        <v>1188013.216</v>
      </c>
      <c r="H4" s="183">
        <v>600950.97600000002</v>
      </c>
      <c r="I4" s="190" t="s">
        <v>1205</v>
      </c>
      <c r="J4" s="178"/>
      <c r="K4" s="178"/>
      <c r="L4" s="179"/>
      <c r="M4" s="187">
        <f>C4/F4</f>
        <v>2.6298456721349405E-2</v>
      </c>
      <c r="N4" s="187">
        <f>D4/G4</f>
        <v>2.729969503975619E-2</v>
      </c>
      <c r="O4" s="188">
        <f>E4/H4</f>
        <v>2.8924173009413662E-2</v>
      </c>
    </row>
    <row r="5" spans="2:15" x14ac:dyDescent="0.25">
      <c r="B5" s="180"/>
      <c r="C5" s="181"/>
      <c r="D5" s="181"/>
      <c r="E5" s="181"/>
      <c r="F5" s="181"/>
      <c r="G5" s="181"/>
      <c r="H5" s="181"/>
      <c r="I5" s="156"/>
      <c r="J5" s="156"/>
      <c r="K5" s="156"/>
      <c r="L5" s="156"/>
      <c r="M5" s="182"/>
      <c r="N5" s="182"/>
      <c r="O5" s="182"/>
    </row>
    <row r="6" spans="2:15" x14ac:dyDescent="0.25">
      <c r="B6" s="198" t="s">
        <v>872</v>
      </c>
      <c r="C6" s="199" t="s">
        <v>1142</v>
      </c>
      <c r="D6" s="199" t="s">
        <v>1143</v>
      </c>
      <c r="E6" s="199" t="s">
        <v>1151</v>
      </c>
      <c r="F6" s="199" t="s">
        <v>1144</v>
      </c>
      <c r="G6" s="199" t="s">
        <v>1145</v>
      </c>
      <c r="H6" s="199" t="s">
        <v>1154</v>
      </c>
      <c r="I6" s="200" t="s">
        <v>1175</v>
      </c>
      <c r="J6" s="199" t="s">
        <v>1153</v>
      </c>
      <c r="K6" s="199" t="s">
        <v>1171</v>
      </c>
      <c r="L6" s="199" t="s">
        <v>1200</v>
      </c>
      <c r="M6" s="199" t="s">
        <v>1209</v>
      </c>
      <c r="N6" s="201" t="s">
        <v>1212</v>
      </c>
      <c r="O6" s="46" t="s">
        <v>1216</v>
      </c>
    </row>
    <row r="7" spans="2:15" x14ac:dyDescent="0.25">
      <c r="B7" s="202" t="s">
        <v>714</v>
      </c>
      <c r="C7" s="144">
        <v>3341.5012999999999</v>
      </c>
      <c r="D7" s="144">
        <v>3428.0437000000002</v>
      </c>
      <c r="E7" s="147">
        <v>1852.1968999999999</v>
      </c>
      <c r="F7" s="149">
        <v>125970.25199999999</v>
      </c>
      <c r="G7" s="147">
        <v>127615.61199999999</v>
      </c>
      <c r="H7" s="147">
        <v>64977.618000000002</v>
      </c>
      <c r="I7" s="170">
        <f>SUM(Table4[[#This Row],[Volume 2022]:[Volume 2024]])</f>
        <v>318563.48200000002</v>
      </c>
      <c r="J7" s="171">
        <v>8621.7419000000009</v>
      </c>
      <c r="K7" s="203">
        <f>Table4[[#This Row],[Total Value]]/Table4[[#This Row],[Total Volume]]</f>
        <v>2.7064438917703694E-2</v>
      </c>
      <c r="L7" s="204">
        <f>IFERROR((Table4[[#This Row],[2023]]-Table4[[#This Row],[2022]])/Table4[[#This Row],[2022]],0)</f>
        <v>2.5899256720325163E-2</v>
      </c>
      <c r="M7" s="204">
        <f>IFERROR(((Table4[[#This Row],[Volume 2023]]-Table4[[#This Row],[Volume 2022]])/Table4[[#This Row],[Volume 2022]]),0)</f>
        <v>1.3061496455528251E-2</v>
      </c>
      <c r="N7" s="205">
        <f>IFERROR(Table4[[#This Row],[YoY Growth]]-Table4[[#This Row],[Voume growth]],0)</f>
        <v>1.2837760264796912E-2</v>
      </c>
    </row>
    <row r="8" spans="2:15" x14ac:dyDescent="0.25">
      <c r="B8" s="206" t="s">
        <v>791</v>
      </c>
      <c r="C8" s="111">
        <v>1818.5395000000001</v>
      </c>
      <c r="D8" s="112">
        <v>2101.7049999999999</v>
      </c>
      <c r="E8" s="113">
        <v>1233.5607</v>
      </c>
      <c r="F8" s="114">
        <v>45983.127500000002</v>
      </c>
      <c r="G8" s="113">
        <v>53803.2785</v>
      </c>
      <c r="H8" s="113">
        <v>29897.358</v>
      </c>
      <c r="I8" s="172">
        <f>SUM(Table4[[#This Row],[Volume 2022]:[Volume 2024]])</f>
        <v>129683.764</v>
      </c>
      <c r="J8" s="171">
        <v>5153.8051999999998</v>
      </c>
      <c r="K8" s="203">
        <f>Table4[[#This Row],[Total Value]]/Table4[[#This Row],[Total Volume]]</f>
        <v>3.974132953142847E-2</v>
      </c>
      <c r="L8" s="204">
        <f>IFERROR((Table4[[#This Row],[2023]]-Table4[[#This Row],[2022]])/Table4[[#This Row],[2022]],0)</f>
        <v>0.15571039287296198</v>
      </c>
      <c r="M8" s="204">
        <f>IFERROR(((Table4[[#This Row],[Volume 2023]]-Table4[[#This Row],[Volume 2022]])/Table4[[#This Row],[Volume 2022]]),0)</f>
        <v>0.17006566158424083</v>
      </c>
      <c r="N8" s="205">
        <f>IFERROR(Table4[[#This Row],[YoY Growth]]-Table4[[#This Row],[Voume growth]],0)</f>
        <v>-1.4355268711278846E-2</v>
      </c>
    </row>
    <row r="9" spans="2:15" x14ac:dyDescent="0.25">
      <c r="B9" s="206" t="s">
        <v>744</v>
      </c>
      <c r="C9" s="111">
        <v>1012.9229</v>
      </c>
      <c r="D9" s="112">
        <v>822.98099999999999</v>
      </c>
      <c r="E9" s="113">
        <v>367.98759999999999</v>
      </c>
      <c r="F9" s="114">
        <v>57405.585500000001</v>
      </c>
      <c r="G9" s="113">
        <v>44546.773000000001</v>
      </c>
      <c r="H9" s="113">
        <v>18766.233499999998</v>
      </c>
      <c r="I9" s="172">
        <f>SUM(Table4[[#This Row],[Volume 2022]:[Volume 2024]])</f>
        <v>120718.592</v>
      </c>
      <c r="J9" s="171">
        <v>2203.8915000000002</v>
      </c>
      <c r="K9" s="203">
        <f>Table4[[#This Row],[Total Value]]/Table4[[#This Row],[Total Volume]]</f>
        <v>1.8256438080391131E-2</v>
      </c>
      <c r="L9" s="204">
        <f>IFERROR((Table4[[#This Row],[2023]]-Table4[[#This Row],[2022]])/Table4[[#This Row],[2022]],0)</f>
        <v>-0.18751861568141073</v>
      </c>
      <c r="M9" s="204">
        <f>IFERROR(((Table4[[#This Row],[Volume 2023]]-Table4[[#This Row],[Volume 2022]])/Table4[[#This Row],[Volume 2022]]),0)</f>
        <v>-0.22399932668572817</v>
      </c>
      <c r="N9" s="205">
        <f>IFERROR(Table4[[#This Row],[YoY Growth]]-Table4[[#This Row],[Voume growth]],0)</f>
        <v>3.6480711004317434E-2</v>
      </c>
    </row>
    <row r="10" spans="2:15" x14ac:dyDescent="0.25">
      <c r="B10" s="206" t="s">
        <v>803</v>
      </c>
      <c r="C10" s="111">
        <v>632.96190000000001</v>
      </c>
      <c r="D10" s="112">
        <v>529.41039999999998</v>
      </c>
      <c r="E10" s="113">
        <v>262.13749999999999</v>
      </c>
      <c r="F10" s="114">
        <v>36136.764000000003</v>
      </c>
      <c r="G10" s="113">
        <v>28913.011500000001</v>
      </c>
      <c r="H10" s="113">
        <v>13646.2943</v>
      </c>
      <c r="I10" s="172">
        <f>SUM(Table4[[#This Row],[Volume 2022]:[Volume 2024]])</f>
        <v>78696.069799999997</v>
      </c>
      <c r="J10" s="171">
        <v>1424.5098</v>
      </c>
      <c r="K10" s="203">
        <f>Table4[[#This Row],[Total Value]]/Table4[[#This Row],[Total Volume]]</f>
        <v>1.8101409684375371E-2</v>
      </c>
      <c r="L10" s="204">
        <f>IFERROR((Table4[[#This Row],[2023]]-Table4[[#This Row],[2022]])/Table4[[#This Row],[2022]],0)</f>
        <v>-0.16359831452730414</v>
      </c>
      <c r="M10" s="204">
        <f>IFERROR(((Table4[[#This Row],[Volume 2023]]-Table4[[#This Row],[Volume 2022]])/Table4[[#This Row],[Volume 2022]]),0)</f>
        <v>-0.19990037016042725</v>
      </c>
      <c r="N10" s="205">
        <f>IFERROR(Table4[[#This Row],[YoY Growth]]-Table4[[#This Row],[Voume growth]],0)</f>
        <v>3.6302055633123109E-2</v>
      </c>
    </row>
    <row r="11" spans="2:15" x14ac:dyDescent="0.25">
      <c r="B11" s="206" t="s">
        <v>715</v>
      </c>
      <c r="C11" s="111">
        <v>511.78089999999997</v>
      </c>
      <c r="D11" s="112">
        <v>507.3048</v>
      </c>
      <c r="E11" s="113">
        <v>295.71379999999999</v>
      </c>
      <c r="F11" s="114">
        <v>23199.701799999999</v>
      </c>
      <c r="G11" s="113">
        <v>21680.539100000002</v>
      </c>
      <c r="H11" s="113">
        <v>11434.4841</v>
      </c>
      <c r="I11" s="172">
        <f>SUM(Table4[[#This Row],[Volume 2022]:[Volume 2024]])</f>
        <v>56314.725000000006</v>
      </c>
      <c r="J11" s="171">
        <v>1314.7995000000001</v>
      </c>
      <c r="K11" s="203">
        <f>Table4[[#This Row],[Total Value]]/Table4[[#This Row],[Total Volume]]</f>
        <v>2.3347348317868905E-2</v>
      </c>
      <c r="L11" s="204">
        <f>IFERROR((Table4[[#This Row],[2023]]-Table4[[#This Row],[2022]])/Table4[[#This Row],[2022]],0)</f>
        <v>-8.7461255392688054E-3</v>
      </c>
      <c r="M11" s="204">
        <f>IFERROR(((Table4[[#This Row],[Volume 2023]]-Table4[[#This Row],[Volume 2022]])/Table4[[#This Row],[Volume 2022]]),0)</f>
        <v>-6.5481992531472855E-2</v>
      </c>
      <c r="N11" s="205">
        <f>IFERROR(Table4[[#This Row],[YoY Growth]]-Table4[[#This Row],[Voume growth]],0)</f>
        <v>5.6735866992204051E-2</v>
      </c>
    </row>
    <row r="12" spans="2:15" x14ac:dyDescent="0.25">
      <c r="B12" s="206" t="s">
        <v>725</v>
      </c>
      <c r="C12" s="111">
        <v>471.6447</v>
      </c>
      <c r="D12" s="112">
        <v>448.00150000000002</v>
      </c>
      <c r="E12" s="113">
        <v>276.14030000000002</v>
      </c>
      <c r="F12" s="114">
        <v>13724.156499999999</v>
      </c>
      <c r="G12" s="113">
        <v>13181.351199999999</v>
      </c>
      <c r="H12" s="113">
        <v>8823.5241000000005</v>
      </c>
      <c r="I12" s="172">
        <f>SUM(Table4[[#This Row],[Volume 2022]:[Volume 2024]])</f>
        <v>35729.031799999997</v>
      </c>
      <c r="J12" s="171">
        <v>1195.7865000000002</v>
      </c>
      <c r="K12" s="203">
        <f>Table4[[#This Row],[Total Value]]/Table4[[#This Row],[Total Volume]]</f>
        <v>3.3468203300152127E-2</v>
      </c>
      <c r="L12" s="204">
        <f>IFERROR((Table4[[#This Row],[2023]]-Table4[[#This Row],[2022]])/Table4[[#This Row],[2022]],0)</f>
        <v>-5.0129260436934789E-2</v>
      </c>
      <c r="M12" s="204">
        <f>IFERROR(((Table4[[#This Row],[Volume 2023]]-Table4[[#This Row],[Volume 2022]])/Table4[[#This Row],[Volume 2022]]),0)</f>
        <v>-3.9551086436532552E-2</v>
      </c>
      <c r="N12" s="205">
        <f>IFERROR(Table4[[#This Row],[YoY Growth]]-Table4[[#This Row],[Voume growth]],0)</f>
        <v>-1.0578174000402236E-2</v>
      </c>
    </row>
    <row r="13" spans="2:15" x14ac:dyDescent="0.25">
      <c r="B13" s="206" t="s">
        <v>767</v>
      </c>
      <c r="C13" s="111">
        <v>394.68380000000002</v>
      </c>
      <c r="D13" s="112">
        <v>409.49610000000001</v>
      </c>
      <c r="E13" s="113">
        <v>321.2638</v>
      </c>
      <c r="F13" s="114">
        <v>18974.913799999998</v>
      </c>
      <c r="G13" s="113">
        <v>19732.122100000001</v>
      </c>
      <c r="H13" s="113">
        <v>15809.1695</v>
      </c>
      <c r="I13" s="172">
        <f>SUM(Table4[[#This Row],[Volume 2022]:[Volume 2024]])</f>
        <v>54516.205400000006</v>
      </c>
      <c r="J13" s="171">
        <v>1125.4437</v>
      </c>
      <c r="K13" s="203">
        <f>Table4[[#This Row],[Total Value]]/Table4[[#This Row],[Total Volume]]</f>
        <v>2.0644204631307665E-2</v>
      </c>
      <c r="L13" s="204">
        <f>IFERROR((Table4[[#This Row],[2023]]-Table4[[#This Row],[2022]])/Table4[[#This Row],[2022]],0)</f>
        <v>3.7529536302224699E-2</v>
      </c>
      <c r="M13" s="204">
        <f>IFERROR(((Table4[[#This Row],[Volume 2023]]-Table4[[#This Row],[Volume 2022]])/Table4[[#This Row],[Volume 2022]]),0)</f>
        <v>3.9905757042227097E-2</v>
      </c>
      <c r="N13" s="205">
        <f>IFERROR(Table4[[#This Row],[YoY Growth]]-Table4[[#This Row],[Voume growth]],0)</f>
        <v>-2.376220740002398E-3</v>
      </c>
    </row>
    <row r="14" spans="2:15" x14ac:dyDescent="0.25">
      <c r="B14" s="206" t="s">
        <v>750</v>
      </c>
      <c r="C14" s="111">
        <v>332.01650000000001</v>
      </c>
      <c r="D14" s="112">
        <v>406.09359999999998</v>
      </c>
      <c r="E14" s="113">
        <v>185.505</v>
      </c>
      <c r="F14" s="114">
        <v>9811.9591</v>
      </c>
      <c r="G14" s="113">
        <v>12002.149100000001</v>
      </c>
      <c r="H14" s="113">
        <v>5143.8028000000004</v>
      </c>
      <c r="I14" s="172">
        <f>SUM(Table4[[#This Row],[Volume 2022]:[Volume 2024]])</f>
        <v>26957.911000000004</v>
      </c>
      <c r="J14" s="171">
        <v>923.61509999999998</v>
      </c>
      <c r="K14" s="203">
        <f>Table4[[#This Row],[Total Value]]/Table4[[#This Row],[Total Volume]]</f>
        <v>3.426137507464877E-2</v>
      </c>
      <c r="L14" s="204">
        <f>IFERROR((Table4[[#This Row],[2023]]-Table4[[#This Row],[2022]])/Table4[[#This Row],[2022]],0)</f>
        <v>0.22311270674800793</v>
      </c>
      <c r="M14" s="204">
        <f>IFERROR(((Table4[[#This Row],[Volume 2023]]-Table4[[#This Row],[Volume 2022]])/Table4[[#This Row],[Volume 2022]]),0)</f>
        <v>0.22321638091622298</v>
      </c>
      <c r="N14" s="205">
        <f>IFERROR(Table4[[#This Row],[YoY Growth]]-Table4[[#This Row],[Voume growth]],0)</f>
        <v>-1.0367416821505104E-4</v>
      </c>
    </row>
    <row r="15" spans="2:15" x14ac:dyDescent="0.25">
      <c r="B15" s="206" t="s">
        <v>805</v>
      </c>
      <c r="C15" s="111">
        <v>466.315</v>
      </c>
      <c r="D15" s="112">
        <v>321.99369999999999</v>
      </c>
      <c r="E15" s="113">
        <v>119.931</v>
      </c>
      <c r="F15" s="114">
        <v>27928.0566</v>
      </c>
      <c r="G15" s="113">
        <v>19049.5026</v>
      </c>
      <c r="H15" s="113">
        <v>6464.4501</v>
      </c>
      <c r="I15" s="172">
        <f>SUM(Table4[[#This Row],[Volume 2022]:[Volume 2024]])</f>
        <v>53442.009300000005</v>
      </c>
      <c r="J15" s="171">
        <v>908.23970000000008</v>
      </c>
      <c r="K15" s="203">
        <f>Table4[[#This Row],[Total Value]]/Table4[[#This Row],[Total Volume]]</f>
        <v>1.6994864375355738E-2</v>
      </c>
      <c r="L15" s="204">
        <f>IFERROR((Table4[[#This Row],[2023]]-Table4[[#This Row],[2022]])/Table4[[#This Row],[2022]],0)</f>
        <v>-0.30949315376944769</v>
      </c>
      <c r="M15" s="204">
        <f>IFERROR(((Table4[[#This Row],[Volume 2023]]-Table4[[#This Row],[Volume 2022]])/Table4[[#This Row],[Volume 2022]]),0)</f>
        <v>-0.31790804949886847</v>
      </c>
      <c r="N15" s="205">
        <f>IFERROR(Table4[[#This Row],[YoY Growth]]-Table4[[#This Row],[Voume growth]],0)</f>
        <v>8.4148957294207793E-3</v>
      </c>
    </row>
    <row r="16" spans="2:15" x14ac:dyDescent="0.25">
      <c r="B16" s="206" t="s">
        <v>771</v>
      </c>
      <c r="C16" s="111">
        <v>336.51549999999997</v>
      </c>
      <c r="D16" s="112">
        <v>318.62270000000001</v>
      </c>
      <c r="E16" s="113">
        <v>125.7655</v>
      </c>
      <c r="F16" s="114">
        <v>10227.0057</v>
      </c>
      <c r="G16" s="113">
        <v>9928.9132000000009</v>
      </c>
      <c r="H16" s="113">
        <v>3640.5189</v>
      </c>
      <c r="I16" s="172">
        <f>SUM(Table4[[#This Row],[Volume 2022]:[Volume 2024]])</f>
        <v>23796.4378</v>
      </c>
      <c r="J16" s="171">
        <v>780.90369999999996</v>
      </c>
      <c r="K16" s="203">
        <f>Table4[[#This Row],[Total Value]]/Table4[[#This Row],[Total Volume]]</f>
        <v>3.281599147583341E-2</v>
      </c>
      <c r="L16" s="204">
        <f>IFERROR((Table4[[#This Row],[2023]]-Table4[[#This Row],[2022]])/Table4[[#This Row],[2022]],0)</f>
        <v>-5.3170804910917822E-2</v>
      </c>
      <c r="M16" s="204">
        <f>IFERROR(((Table4[[#This Row],[Volume 2023]]-Table4[[#This Row],[Volume 2022]])/Table4[[#This Row],[Volume 2022]]),0)</f>
        <v>-2.9147583246188945E-2</v>
      </c>
      <c r="N16" s="205">
        <f>IFERROR(Table4[[#This Row],[YoY Growth]]-Table4[[#This Row],[Voume growth]],0)</f>
        <v>-2.4023221664728877E-2</v>
      </c>
    </row>
    <row r="17" spans="2:14" x14ac:dyDescent="0.25">
      <c r="B17" s="206" t="s">
        <v>749</v>
      </c>
      <c r="C17" s="111">
        <v>230.7484</v>
      </c>
      <c r="D17" s="112">
        <v>302.06599999999997</v>
      </c>
      <c r="E17" s="113">
        <v>144.0025</v>
      </c>
      <c r="F17" s="114">
        <v>11792.665300000001</v>
      </c>
      <c r="G17" s="113">
        <v>15544.8174</v>
      </c>
      <c r="H17" s="113">
        <v>7126.6583000000001</v>
      </c>
      <c r="I17" s="172">
        <f>SUM(Table4[[#This Row],[Volume 2022]:[Volume 2024]])</f>
        <v>34464.141000000003</v>
      </c>
      <c r="J17" s="171">
        <v>676.81690000000003</v>
      </c>
      <c r="K17" s="203">
        <f>Table4[[#This Row],[Total Value]]/Table4[[#This Row],[Total Volume]]</f>
        <v>1.9638293030428352E-2</v>
      </c>
      <c r="L17" s="204">
        <f>IFERROR((Table4[[#This Row],[2023]]-Table4[[#This Row],[2022]])/Table4[[#This Row],[2022]],0)</f>
        <v>0.30907083212711323</v>
      </c>
      <c r="M17" s="204">
        <f>IFERROR(((Table4[[#This Row],[Volume 2023]]-Table4[[#This Row],[Volume 2022]])/Table4[[#This Row],[Volume 2022]]),0)</f>
        <v>0.31817676534922085</v>
      </c>
      <c r="N17" s="205">
        <f>IFERROR(Table4[[#This Row],[YoY Growth]]-Table4[[#This Row],[Voume growth]],0)</f>
        <v>-9.1059332221076206E-3</v>
      </c>
    </row>
    <row r="18" spans="2:14" x14ac:dyDescent="0.25">
      <c r="B18" s="206" t="s">
        <v>754</v>
      </c>
      <c r="C18" s="111">
        <v>220.27789999999999</v>
      </c>
      <c r="D18" s="112">
        <v>271.99849999999998</v>
      </c>
      <c r="E18" s="113">
        <v>141.2388</v>
      </c>
      <c r="F18" s="114">
        <v>1748.9223999999999</v>
      </c>
      <c r="G18" s="113">
        <v>2358.5315000000001</v>
      </c>
      <c r="H18" s="113">
        <v>1240.7411999999999</v>
      </c>
      <c r="I18" s="172">
        <f>SUM(Table4[[#This Row],[Volume 2022]:[Volume 2024]])</f>
        <v>5348.1951000000008</v>
      </c>
      <c r="J18" s="171">
        <v>633.51519999999994</v>
      </c>
      <c r="K18" s="203">
        <f>Table4[[#This Row],[Total Value]]/Table4[[#This Row],[Total Volume]]</f>
        <v>0.11845401825374692</v>
      </c>
      <c r="L18" s="204">
        <f>IFERROR((Table4[[#This Row],[2023]]-Table4[[#This Row],[2022]])/Table4[[#This Row],[2022]],0)</f>
        <v>0.23479704500542267</v>
      </c>
      <c r="M18" s="204">
        <f>IFERROR(((Table4[[#This Row],[Volume 2023]]-Table4[[#This Row],[Volume 2022]])/Table4[[#This Row],[Volume 2022]]),0)</f>
        <v>0.34856269208971202</v>
      </c>
      <c r="N18" s="205">
        <f>IFERROR(Table4[[#This Row],[YoY Growth]]-Table4[[#This Row],[Voume growth]],0)</f>
        <v>-0.11376564708428935</v>
      </c>
    </row>
    <row r="19" spans="2:14" x14ac:dyDescent="0.25">
      <c r="B19" s="206" t="s">
        <v>790</v>
      </c>
      <c r="C19" s="111">
        <v>192.72300000000001</v>
      </c>
      <c r="D19" s="112">
        <v>183.24340000000001</v>
      </c>
      <c r="E19" s="113">
        <v>97.209599999999995</v>
      </c>
      <c r="F19" s="114">
        <v>7900.9691000000003</v>
      </c>
      <c r="G19" s="113">
        <v>6838.8454000000002</v>
      </c>
      <c r="H19" s="113">
        <v>3264.5805999999998</v>
      </c>
      <c r="I19" s="172">
        <f>SUM(Table4[[#This Row],[Volume 2022]:[Volume 2024]])</f>
        <v>18004.395100000002</v>
      </c>
      <c r="J19" s="171">
        <v>473.17600000000004</v>
      </c>
      <c r="K19" s="203">
        <f>Table4[[#This Row],[Total Value]]/Table4[[#This Row],[Total Volume]]</f>
        <v>2.6281138431582186E-2</v>
      </c>
      <c r="L19" s="204">
        <f>IFERROR((Table4[[#This Row],[2023]]-Table4[[#This Row],[2022]])/Table4[[#This Row],[2022]],0)</f>
        <v>-4.9187694255485873E-2</v>
      </c>
      <c r="M19" s="204">
        <f>IFERROR(((Table4[[#This Row],[Volume 2023]]-Table4[[#This Row],[Volume 2022]])/Table4[[#This Row],[Volume 2022]]),0)</f>
        <v>-0.13442954738299129</v>
      </c>
      <c r="N19" s="205">
        <f>IFERROR(Table4[[#This Row],[YoY Growth]]-Table4[[#This Row],[Voume growth]],0)</f>
        <v>8.5241853127505415E-2</v>
      </c>
    </row>
    <row r="20" spans="2:14" x14ac:dyDescent="0.25">
      <c r="B20" s="206" t="s">
        <v>762</v>
      </c>
      <c r="C20" s="111">
        <v>168.57919999999999</v>
      </c>
      <c r="D20" s="112">
        <v>187.82560000000001</v>
      </c>
      <c r="E20" s="113">
        <v>100.9211</v>
      </c>
      <c r="F20" s="114">
        <v>4051.7896000000001</v>
      </c>
      <c r="G20" s="113">
        <v>4420.8852999999999</v>
      </c>
      <c r="H20" s="113">
        <v>2421.1071000000002</v>
      </c>
      <c r="I20" s="172">
        <f>SUM(Table4[[#This Row],[Volume 2022]:[Volume 2024]])</f>
        <v>10893.781999999999</v>
      </c>
      <c r="J20" s="171">
        <v>457.32590000000005</v>
      </c>
      <c r="K20" s="203">
        <f>Table4[[#This Row],[Total Value]]/Table4[[#This Row],[Total Volume]]</f>
        <v>4.1980452702284669E-2</v>
      </c>
      <c r="L20" s="204">
        <f>IFERROR((Table4[[#This Row],[2023]]-Table4[[#This Row],[2022]])/Table4[[#This Row],[2022]],0)</f>
        <v>0.11416829597008424</v>
      </c>
      <c r="M20" s="204">
        <f>IFERROR(((Table4[[#This Row],[Volume 2023]]-Table4[[#This Row],[Volume 2022]])/Table4[[#This Row],[Volume 2022]]),0)</f>
        <v>9.1094488223179171E-2</v>
      </c>
      <c r="N20" s="205">
        <f>IFERROR(Table4[[#This Row],[YoY Growth]]-Table4[[#This Row],[Voume growth]],0)</f>
        <v>2.3073807746905067E-2</v>
      </c>
    </row>
    <row r="21" spans="2:14" x14ac:dyDescent="0.25">
      <c r="B21" s="206" t="s">
        <v>777</v>
      </c>
      <c r="C21" s="111">
        <v>131.49090000000001</v>
      </c>
      <c r="D21" s="112">
        <v>246.0711</v>
      </c>
      <c r="E21" s="113">
        <v>78.181899999999999</v>
      </c>
      <c r="F21" s="114">
        <v>7528.2015000000001</v>
      </c>
      <c r="G21" s="113">
        <v>14073.58</v>
      </c>
      <c r="H21" s="113">
        <v>4344.6674999999996</v>
      </c>
      <c r="I21" s="172">
        <f>SUM(Table4[[#This Row],[Volume 2022]:[Volume 2024]])</f>
        <v>25946.449000000001</v>
      </c>
      <c r="J21" s="171">
        <v>455.7439</v>
      </c>
      <c r="K21" s="203">
        <f>Table4[[#This Row],[Total Value]]/Table4[[#This Row],[Total Volume]]</f>
        <v>1.7564788923524755E-2</v>
      </c>
      <c r="L21" s="204">
        <f>IFERROR((Table4[[#This Row],[2023]]-Table4[[#This Row],[2022]])/Table4[[#This Row],[2022]],0)</f>
        <v>0.87139262108632598</v>
      </c>
      <c r="M21" s="204">
        <f>IFERROR(((Table4[[#This Row],[Volume 2023]]-Table4[[#This Row],[Volume 2022]])/Table4[[#This Row],[Volume 2022]]),0)</f>
        <v>0.86944783558197791</v>
      </c>
      <c r="N21" s="205">
        <f>IFERROR(Table4[[#This Row],[YoY Growth]]-Table4[[#This Row],[Voume growth]],0)</f>
        <v>1.9447855043480677E-3</v>
      </c>
    </row>
    <row r="22" spans="2:14" x14ac:dyDescent="0.25">
      <c r="B22" s="206" t="s">
        <v>735</v>
      </c>
      <c r="C22" s="111">
        <v>212.42590000000001</v>
      </c>
      <c r="D22" s="112">
        <v>118.93340000000001</v>
      </c>
      <c r="E22" s="113">
        <v>32.276800000000001</v>
      </c>
      <c r="F22" s="114">
        <v>11963.103999999999</v>
      </c>
      <c r="G22" s="113">
        <v>6284.8913000000002</v>
      </c>
      <c r="H22" s="113">
        <v>1340.7376999999999</v>
      </c>
      <c r="I22" s="172">
        <f>SUM(Table4[[#This Row],[Volume 2022]:[Volume 2024]])</f>
        <v>19588.733</v>
      </c>
      <c r="J22" s="171">
        <v>363.6361</v>
      </c>
      <c r="K22" s="203">
        <f>Table4[[#This Row],[Total Value]]/Table4[[#This Row],[Total Volume]]</f>
        <v>1.8563533435266077E-2</v>
      </c>
      <c r="L22" s="204">
        <f>IFERROR((Table4[[#This Row],[2023]]-Table4[[#This Row],[2022]])/Table4[[#This Row],[2022]],0)</f>
        <v>-0.44011817767984035</v>
      </c>
      <c r="M22" s="204">
        <f>IFERROR(((Table4[[#This Row],[Volume 2023]]-Table4[[#This Row],[Volume 2022]])/Table4[[#This Row],[Volume 2022]]),0)</f>
        <v>-0.47464376302337585</v>
      </c>
      <c r="N22" s="205">
        <f>IFERROR(Table4[[#This Row],[YoY Growth]]-Table4[[#This Row],[Voume growth]],0)</f>
        <v>3.4525585343535503E-2</v>
      </c>
    </row>
    <row r="23" spans="2:14" x14ac:dyDescent="0.25">
      <c r="B23" s="206" t="s">
        <v>804</v>
      </c>
      <c r="C23" s="111">
        <v>154.93469999999999</v>
      </c>
      <c r="D23" s="112">
        <v>154.98240000000001</v>
      </c>
      <c r="E23" s="113">
        <v>45.514299999999999</v>
      </c>
      <c r="F23" s="114">
        <v>4738.4238999999998</v>
      </c>
      <c r="G23" s="113">
        <v>5792.3320000000003</v>
      </c>
      <c r="H23" s="113">
        <v>1599.6686</v>
      </c>
      <c r="I23" s="172">
        <f>SUM(Table4[[#This Row],[Volume 2022]:[Volume 2024]])</f>
        <v>12130.424500000001</v>
      </c>
      <c r="J23" s="171">
        <v>355.4314</v>
      </c>
      <c r="K23" s="203">
        <f>Table4[[#This Row],[Total Value]]/Table4[[#This Row],[Total Volume]]</f>
        <v>2.9300821253205111E-2</v>
      </c>
      <c r="L23" s="204">
        <f>IFERROR((Table4[[#This Row],[2023]]-Table4[[#This Row],[2022]])/Table4[[#This Row],[2022]],0)</f>
        <v>3.0787163882603627E-4</v>
      </c>
      <c r="M23" s="204">
        <f>IFERROR(((Table4[[#This Row],[Volume 2023]]-Table4[[#This Row],[Volume 2022]])/Table4[[#This Row],[Volume 2022]]),0)</f>
        <v>0.22241743715668846</v>
      </c>
      <c r="N23" s="205">
        <f>IFERROR(Table4[[#This Row],[YoY Growth]]-Table4[[#This Row],[Voume growth]],0)</f>
        <v>-0.22210956551786243</v>
      </c>
    </row>
    <row r="24" spans="2:14" x14ac:dyDescent="0.25">
      <c r="B24" s="206" t="s">
        <v>738</v>
      </c>
      <c r="C24" s="111">
        <v>28.101500000000001</v>
      </c>
      <c r="D24" s="112">
        <v>242.1942</v>
      </c>
      <c r="E24" s="113">
        <v>67.606399999999994</v>
      </c>
      <c r="F24" s="114">
        <v>1283.3091999999999</v>
      </c>
      <c r="G24" s="113">
        <v>13602.248900000001</v>
      </c>
      <c r="H24" s="113">
        <v>3938.0097000000001</v>
      </c>
      <c r="I24" s="172">
        <f>SUM(Table4[[#This Row],[Volume 2022]:[Volume 2024]])</f>
        <v>18823.567800000001</v>
      </c>
      <c r="J24" s="171">
        <v>337.90210000000002</v>
      </c>
      <c r="K24" s="203">
        <f>Table4[[#This Row],[Total Value]]/Table4[[#This Row],[Total Volume]]</f>
        <v>1.7951012453653978E-2</v>
      </c>
      <c r="L24" s="204">
        <f>IFERROR((Table4[[#This Row],[2023]]-Table4[[#This Row],[2022]])/Table4[[#This Row],[2022]],0)</f>
        <v>7.618550611177338</v>
      </c>
      <c r="M24" s="204">
        <f>IFERROR(((Table4[[#This Row],[Volume 2023]]-Table4[[#This Row],[Volume 2022]])/Table4[[#This Row],[Volume 2022]]),0)</f>
        <v>9.5993543099355954</v>
      </c>
      <c r="N24" s="205">
        <f>IFERROR(Table4[[#This Row],[YoY Growth]]-Table4[[#This Row],[Voume growth]],0)</f>
        <v>-1.9808036987582573</v>
      </c>
    </row>
    <row r="25" spans="2:14" x14ac:dyDescent="0.25">
      <c r="B25" s="206" t="s">
        <v>739</v>
      </c>
      <c r="C25" s="111">
        <v>0</v>
      </c>
      <c r="D25" s="112">
        <v>170.6652</v>
      </c>
      <c r="E25" s="113">
        <v>101.533</v>
      </c>
      <c r="F25" s="114">
        <v>0</v>
      </c>
      <c r="G25" s="113">
        <v>10947.355799999999</v>
      </c>
      <c r="H25" s="113">
        <v>5713.8589000000002</v>
      </c>
      <c r="I25" s="172">
        <f>SUM(Table4[[#This Row],[Volume 2022]:[Volume 2024]])</f>
        <v>16661.2147</v>
      </c>
      <c r="J25" s="171">
        <v>272.19819999999999</v>
      </c>
      <c r="K25" s="203">
        <f>Table4[[#This Row],[Total Value]]/Table4[[#This Row],[Total Volume]]</f>
        <v>1.6337236204032591E-2</v>
      </c>
      <c r="L25" s="204">
        <f>IFERROR((Table4[[#This Row],[2023]]-Table4[[#This Row],[2022]])/Table4[[#This Row],[2022]],0)</f>
        <v>0</v>
      </c>
      <c r="M25" s="204">
        <f>IFERROR(((Table4[[#This Row],[Volume 2023]]-Table4[[#This Row],[Volume 2022]])/Table4[[#This Row],[Volume 2022]]),0)</f>
        <v>0</v>
      </c>
      <c r="N25" s="205">
        <f>IFERROR(Table4[[#This Row],[YoY Growth]]-Table4[[#This Row],[Voume growth]],0)</f>
        <v>0</v>
      </c>
    </row>
    <row r="26" spans="2:14" x14ac:dyDescent="0.25">
      <c r="B26" s="207" t="s">
        <v>718</v>
      </c>
      <c r="C26" s="208">
        <v>104.66630000000001</v>
      </c>
      <c r="D26" s="209">
        <v>94.425600000000003</v>
      </c>
      <c r="E26" s="210">
        <v>45.948500000000003</v>
      </c>
      <c r="F26" s="211">
        <v>5728.6422000000002</v>
      </c>
      <c r="G26" s="210">
        <v>5002.3734000000004</v>
      </c>
      <c r="H26" s="210">
        <v>2228.9189999999999</v>
      </c>
      <c r="I26" s="212">
        <f>SUM(Table4[[#This Row],[Volume 2022]:[Volume 2024]])</f>
        <v>12959.934600000001</v>
      </c>
      <c r="J26" s="213">
        <v>245.04040000000001</v>
      </c>
      <c r="K26" s="214">
        <f>Table4[[#This Row],[Total Value]]/Table4[[#This Row],[Total Volume]]</f>
        <v>1.8907533684622144E-2</v>
      </c>
      <c r="L26" s="215">
        <f>IFERROR((Table4[[#This Row],[2023]]-Table4[[#This Row],[2022]])/Table4[[#This Row],[2022]],0)</f>
        <v>-9.7841425559134151E-2</v>
      </c>
      <c r="M26" s="215">
        <f>IFERROR(((Table4[[#This Row],[Volume 2023]]-Table4[[#This Row],[Volume 2022]])/Table4[[#This Row],[Volume 2022]]),0)</f>
        <v>-0.1267785235391381</v>
      </c>
      <c r="N26" s="216">
        <f>IFERROR(Table4[[#This Row],[YoY Growth]]-Table4[[#This Row],[Voume growth]],0)</f>
        <v>2.8937097980003948E-2</v>
      </c>
    </row>
    <row r="27" spans="2:14" hidden="1" x14ac:dyDescent="0.25">
      <c r="B27" s="194" t="s">
        <v>727</v>
      </c>
      <c r="C27" s="195">
        <v>113.30880000000001</v>
      </c>
      <c r="D27" s="144">
        <v>81.313699999999997</v>
      </c>
      <c r="E27" s="147">
        <v>48.297400000000003</v>
      </c>
      <c r="F27" s="149">
        <v>1483.433</v>
      </c>
      <c r="G27" s="147">
        <v>1045.7734</v>
      </c>
      <c r="H27" s="147">
        <v>598.3963</v>
      </c>
      <c r="I27" s="196">
        <f>SUM(Table4[[#This Row],[Volume 2022]:[Volume 2024]])</f>
        <v>3127.6026999999999</v>
      </c>
      <c r="J27" s="197">
        <v>242.91990000000001</v>
      </c>
      <c r="K27" s="173">
        <f>Table4[[#This Row],[Total Value]]/Table4[[#This Row],[Total Volume]]</f>
        <v>7.7669679719869794E-2</v>
      </c>
      <c r="L27" s="173">
        <f>IFERROR((Table4[[#This Row],[2023]]-Table4[[#This Row],[2022]])/Table4[[#This Row],[2022]],0)</f>
        <v>-0.28237083086221021</v>
      </c>
      <c r="M27" s="173">
        <f>IFERROR(((Table4[[#This Row],[Volume 2023]]-Table4[[#This Row],[Volume 2022]])/Table4[[#This Row],[Volume 2022]]),0)</f>
        <v>-0.29503159225930659</v>
      </c>
    </row>
    <row r="28" spans="2:14" hidden="1" x14ac:dyDescent="0.25">
      <c r="B28" s="121" t="s">
        <v>794</v>
      </c>
      <c r="C28" s="111">
        <v>78.612799999999993</v>
      </c>
      <c r="D28" s="112">
        <v>83.733099999999993</v>
      </c>
      <c r="E28" s="113">
        <v>33.060899999999997</v>
      </c>
      <c r="F28" s="114">
        <v>5148.8362999999999</v>
      </c>
      <c r="G28" s="113">
        <v>5284.2040999999999</v>
      </c>
      <c r="H28" s="113">
        <v>2040.6587</v>
      </c>
      <c r="I28" s="151">
        <f>SUM(Table4[[#This Row],[Volume 2022]:[Volume 2024]])</f>
        <v>12473.6991</v>
      </c>
      <c r="J28" s="120">
        <v>195.40679999999998</v>
      </c>
      <c r="K28" s="173">
        <f>Table4[[#This Row],[Total Value]]/Table4[[#This Row],[Total Volume]]</f>
        <v>1.5665505351175255E-2</v>
      </c>
      <c r="L28" s="173">
        <f>IFERROR((Table4[[#This Row],[2023]]-Table4[[#This Row],[2022]])/Table4[[#This Row],[2022]],0)</f>
        <v>6.5133158976655212E-2</v>
      </c>
      <c r="M28" s="173">
        <f>IFERROR(((Table4[[#This Row],[Volume 2023]]-Table4[[#This Row],[Volume 2022]])/Table4[[#This Row],[Volume 2022]]),0)</f>
        <v>2.6290950442530089E-2</v>
      </c>
    </row>
    <row r="29" spans="2:14" hidden="1" x14ac:dyDescent="0.25">
      <c r="B29" s="121" t="s">
        <v>775</v>
      </c>
      <c r="C29" s="111">
        <v>27.204899999999999</v>
      </c>
      <c r="D29" s="112">
        <v>84.962400000000002</v>
      </c>
      <c r="E29" s="113">
        <v>67.934799999999996</v>
      </c>
      <c r="F29" s="114">
        <v>1705.1168</v>
      </c>
      <c r="G29" s="113">
        <v>4625.1881000000003</v>
      </c>
      <c r="H29" s="113">
        <v>3467.3735000000001</v>
      </c>
      <c r="I29" s="151">
        <f>SUM(Table4[[#This Row],[Volume 2022]:[Volume 2024]])</f>
        <v>9797.6784000000007</v>
      </c>
      <c r="J29" s="120">
        <v>180.10210000000001</v>
      </c>
      <c r="K29" s="173">
        <f>Table4[[#This Row],[Total Value]]/Table4[[#This Row],[Total Volume]]</f>
        <v>1.838211999283422E-2</v>
      </c>
      <c r="L29" s="173">
        <f>IFERROR((Table4[[#This Row],[2023]]-Table4[[#This Row],[2022]])/Table4[[#This Row],[2022]],0)</f>
        <v>2.1230550378792059</v>
      </c>
      <c r="M29" s="173">
        <f>IFERROR(((Table4[[#This Row],[Volume 2023]]-Table4[[#This Row],[Volume 2022]])/Table4[[#This Row],[Volume 2022]]),0)</f>
        <v>1.7125344727117817</v>
      </c>
    </row>
    <row r="30" spans="2:14" hidden="1" x14ac:dyDescent="0.25">
      <c r="B30" s="121" t="s">
        <v>731</v>
      </c>
      <c r="C30" s="111">
        <v>36.0259</v>
      </c>
      <c r="D30" s="112">
        <v>55.229399999999998</v>
      </c>
      <c r="E30" s="113">
        <v>85.139799999999994</v>
      </c>
      <c r="F30" s="114">
        <v>1024.5518</v>
      </c>
      <c r="G30" s="113">
        <v>1623.7085999999999</v>
      </c>
      <c r="H30" s="113">
        <v>2439.0855000000001</v>
      </c>
      <c r="I30" s="151">
        <f>SUM(Table4[[#This Row],[Volume 2022]:[Volume 2024]])</f>
        <v>5087.3459000000003</v>
      </c>
      <c r="J30" s="120">
        <v>176.39510000000001</v>
      </c>
      <c r="K30" s="173">
        <f>Table4[[#This Row],[Total Value]]/Table4[[#This Row],[Total Volume]]</f>
        <v>3.4673305780131836E-2</v>
      </c>
      <c r="L30" s="173">
        <f>IFERROR((Table4[[#This Row],[2023]]-Table4[[#This Row],[2022]])/Table4[[#This Row],[2022]],0)</f>
        <v>0.53304705781118578</v>
      </c>
      <c r="M30" s="173">
        <f>IFERROR(((Table4[[#This Row],[Volume 2023]]-Table4[[#This Row],[Volume 2022]])/Table4[[#This Row],[Volume 2022]]),0)</f>
        <v>0.58479893354342849</v>
      </c>
    </row>
    <row r="31" spans="2:14" hidden="1" x14ac:dyDescent="0.25">
      <c r="B31" s="121" t="s">
        <v>752</v>
      </c>
      <c r="C31" s="111">
        <v>113.4864</v>
      </c>
      <c r="D31" s="112">
        <v>49.046199999999999</v>
      </c>
      <c r="E31" s="113">
        <v>12.333</v>
      </c>
      <c r="F31" s="114">
        <v>2663.5762</v>
      </c>
      <c r="G31" s="113">
        <v>1050.6376</v>
      </c>
      <c r="H31" s="113">
        <v>244.38679999999999</v>
      </c>
      <c r="I31" s="151">
        <f>SUM(Table4[[#This Row],[Volume 2022]:[Volume 2024]])</f>
        <v>3958.6005999999998</v>
      </c>
      <c r="J31" s="120">
        <v>174.8656</v>
      </c>
      <c r="K31" s="173">
        <f>Table4[[#This Row],[Total Value]]/Table4[[#This Row],[Total Volume]]</f>
        <v>4.4173590030780072E-2</v>
      </c>
      <c r="L31" s="173">
        <f>IFERROR((Table4[[#This Row],[2023]]-Table4[[#This Row],[2022]])/Table4[[#This Row],[2022]],0)</f>
        <v>-0.56782310479493581</v>
      </c>
      <c r="M31" s="173">
        <f>IFERROR(((Table4[[#This Row],[Volume 2023]]-Table4[[#This Row],[Volume 2022]])/Table4[[#This Row],[Volume 2022]]),0)</f>
        <v>-0.6055537663987236</v>
      </c>
    </row>
    <row r="32" spans="2:14" hidden="1" x14ac:dyDescent="0.25">
      <c r="B32" s="121" t="s">
        <v>800</v>
      </c>
      <c r="C32" s="111">
        <v>26.3474</v>
      </c>
      <c r="D32" s="112">
        <v>72.5916</v>
      </c>
      <c r="E32" s="113">
        <v>62.0075</v>
      </c>
      <c r="F32" s="114">
        <v>920.46799999999996</v>
      </c>
      <c r="G32" s="113">
        <v>3084.2015999999999</v>
      </c>
      <c r="H32" s="113">
        <v>2719.9431</v>
      </c>
      <c r="I32" s="151">
        <f>SUM(Table4[[#This Row],[Volume 2022]:[Volume 2024]])</f>
        <v>6724.6126999999997</v>
      </c>
      <c r="J32" s="120">
        <v>160.94649999999999</v>
      </c>
      <c r="K32" s="173">
        <f>Table4[[#This Row],[Total Value]]/Table4[[#This Row],[Total Volume]]</f>
        <v>2.3933943437367031E-2</v>
      </c>
      <c r="L32" s="173">
        <f>IFERROR((Table4[[#This Row],[2023]]-Table4[[#This Row],[2022]])/Table4[[#This Row],[2022]],0)</f>
        <v>1.7551712882485557</v>
      </c>
      <c r="M32" s="173">
        <f>IFERROR(((Table4[[#This Row],[Volume 2023]]-Table4[[#This Row],[Volume 2022]])/Table4[[#This Row],[Volume 2022]]),0)</f>
        <v>2.3506885627745886</v>
      </c>
    </row>
    <row r="33" spans="2:13" ht="24.75" hidden="1" x14ac:dyDescent="0.25">
      <c r="B33" s="121" t="s">
        <v>774</v>
      </c>
      <c r="C33" s="111">
        <v>62.723500000000001</v>
      </c>
      <c r="D33" s="112">
        <v>72.771000000000001</v>
      </c>
      <c r="E33" s="113">
        <v>17.986000000000001</v>
      </c>
      <c r="F33" s="114">
        <v>4142.5168000000003</v>
      </c>
      <c r="G33" s="113">
        <v>3738.1192999999998</v>
      </c>
      <c r="H33" s="113">
        <v>966.62199999999996</v>
      </c>
      <c r="I33" s="151">
        <f>SUM(Table4[[#This Row],[Volume 2022]:[Volume 2024]])</f>
        <v>8847.2580999999991</v>
      </c>
      <c r="J33" s="120">
        <v>153.48050000000001</v>
      </c>
      <c r="K33" s="173">
        <f>Table4[[#This Row],[Total Value]]/Table4[[#This Row],[Total Volume]]</f>
        <v>1.7347804061463971E-2</v>
      </c>
      <c r="L33" s="173">
        <f>IFERROR((Table4[[#This Row],[2023]]-Table4[[#This Row],[2022]])/Table4[[#This Row],[2022]],0)</f>
        <v>0.1601871706776567</v>
      </c>
      <c r="M33" s="173">
        <f>IFERROR(((Table4[[#This Row],[Volume 2023]]-Table4[[#This Row],[Volume 2022]])/Table4[[#This Row],[Volume 2022]]),0)</f>
        <v>-9.7621209405837642E-2</v>
      </c>
    </row>
    <row r="34" spans="2:13" hidden="1" x14ac:dyDescent="0.25">
      <c r="B34" s="121" t="s">
        <v>748</v>
      </c>
      <c r="C34" s="111">
        <v>77.652299999999997</v>
      </c>
      <c r="D34" s="112">
        <v>36.366500000000002</v>
      </c>
      <c r="E34" s="113">
        <v>17.4222</v>
      </c>
      <c r="F34" s="114">
        <v>3136.2818000000002</v>
      </c>
      <c r="G34" s="113">
        <v>1512.1391000000001</v>
      </c>
      <c r="H34" s="113">
        <v>684.81539999999995</v>
      </c>
      <c r="I34" s="151">
        <f>SUM(Table4[[#This Row],[Volume 2022]:[Volume 2024]])</f>
        <v>5333.2363000000005</v>
      </c>
      <c r="J34" s="120">
        <v>131.441</v>
      </c>
      <c r="K34" s="173">
        <f>Table4[[#This Row],[Total Value]]/Table4[[#This Row],[Total Volume]]</f>
        <v>2.4645635896538089E-2</v>
      </c>
      <c r="L34" s="173">
        <f>IFERROR((Table4[[#This Row],[2023]]-Table4[[#This Row],[2022]])/Table4[[#This Row],[2022]],0)</f>
        <v>-0.53167517253191465</v>
      </c>
      <c r="M34" s="173">
        <f>IFERROR(((Table4[[#This Row],[Volume 2023]]-Table4[[#This Row],[Volume 2022]])/Table4[[#This Row],[Volume 2022]]),0)</f>
        <v>-0.51785611229195028</v>
      </c>
    </row>
    <row r="35" spans="2:13" hidden="1" x14ac:dyDescent="0.25">
      <c r="B35" s="121" t="s">
        <v>795</v>
      </c>
      <c r="C35" s="111">
        <v>65.863699999999994</v>
      </c>
      <c r="D35" s="112">
        <v>45.340600000000002</v>
      </c>
      <c r="E35" s="113">
        <v>13.16</v>
      </c>
      <c r="F35" s="114">
        <v>4126.7388000000001</v>
      </c>
      <c r="G35" s="113">
        <v>2357.3103999999998</v>
      </c>
      <c r="H35" s="113">
        <v>741.50080000000003</v>
      </c>
      <c r="I35" s="151">
        <f>SUM(Table4[[#This Row],[Volume 2022]:[Volume 2024]])</f>
        <v>7225.5499999999993</v>
      </c>
      <c r="J35" s="120">
        <v>124.36429999999999</v>
      </c>
      <c r="K35" s="173">
        <f>Table4[[#This Row],[Total Value]]/Table4[[#This Row],[Total Volume]]</f>
        <v>1.7211741666724331E-2</v>
      </c>
      <c r="L35" s="173">
        <f>IFERROR((Table4[[#This Row],[2023]]-Table4[[#This Row],[2022]])/Table4[[#This Row],[2022]],0)</f>
        <v>-0.31159956091139723</v>
      </c>
      <c r="M35" s="173">
        <f>IFERROR(((Table4[[#This Row],[Volume 2023]]-Table4[[#This Row],[Volume 2022]])/Table4[[#This Row],[Volume 2022]]),0)</f>
        <v>-0.42877160047057017</v>
      </c>
    </row>
    <row r="36" spans="2:13" hidden="1" x14ac:dyDescent="0.25">
      <c r="B36" s="121" t="s">
        <v>810</v>
      </c>
      <c r="C36" s="111">
        <v>55.096499999999999</v>
      </c>
      <c r="D36" s="112">
        <v>43.348100000000002</v>
      </c>
      <c r="E36" s="113">
        <v>24.53</v>
      </c>
      <c r="F36" s="114">
        <v>2000.4357</v>
      </c>
      <c r="G36" s="113">
        <v>1647.0114000000001</v>
      </c>
      <c r="H36" s="113">
        <v>929.35159999999996</v>
      </c>
      <c r="I36" s="151">
        <f>SUM(Table4[[#This Row],[Volume 2022]:[Volume 2024]])</f>
        <v>4576.7987000000003</v>
      </c>
      <c r="J36" s="120">
        <v>122.97460000000001</v>
      </c>
      <c r="K36" s="173">
        <f>Table4[[#This Row],[Total Value]]/Table4[[#This Row],[Total Volume]]</f>
        <v>2.6869130162967405E-2</v>
      </c>
      <c r="L36" s="173">
        <f>IFERROR((Table4[[#This Row],[2023]]-Table4[[#This Row],[2022]])/Table4[[#This Row],[2022]],0)</f>
        <v>-0.21323314548111036</v>
      </c>
      <c r="M36" s="173">
        <f>IFERROR(((Table4[[#This Row],[Volume 2023]]-Table4[[#This Row],[Volume 2022]])/Table4[[#This Row],[Volume 2022]]),0)</f>
        <v>-0.17667366164281106</v>
      </c>
    </row>
    <row r="37" spans="2:13" hidden="1" x14ac:dyDescent="0.25">
      <c r="B37" s="121" t="s">
        <v>799</v>
      </c>
      <c r="C37" s="111">
        <v>60.899500000000003</v>
      </c>
      <c r="D37" s="112">
        <v>35.979399999999998</v>
      </c>
      <c r="E37" s="113">
        <v>13.2829</v>
      </c>
      <c r="F37" s="114">
        <v>1646.9927</v>
      </c>
      <c r="G37" s="113">
        <v>1006.4904</v>
      </c>
      <c r="H37" s="113">
        <v>408.45429999999999</v>
      </c>
      <c r="I37" s="151">
        <f>SUM(Table4[[#This Row],[Volume 2022]:[Volume 2024]])</f>
        <v>3061.9373999999998</v>
      </c>
      <c r="J37" s="120">
        <v>110.1618</v>
      </c>
      <c r="K37" s="173">
        <f>Table4[[#This Row],[Total Value]]/Table4[[#This Row],[Total Volume]]</f>
        <v>3.5977809343848768E-2</v>
      </c>
      <c r="L37" s="173">
        <f>IFERROR((Table4[[#This Row],[2023]]-Table4[[#This Row],[2022]])/Table4[[#This Row],[2022]],0)</f>
        <v>-0.40920040394420321</v>
      </c>
      <c r="M37" s="173">
        <f>IFERROR(((Table4[[#This Row],[Volume 2023]]-Table4[[#This Row],[Volume 2022]])/Table4[[#This Row],[Volume 2022]]),0)</f>
        <v>-0.38889200905383492</v>
      </c>
    </row>
    <row r="38" spans="2:13" hidden="1" x14ac:dyDescent="0.25">
      <c r="B38" s="121" t="s">
        <v>817</v>
      </c>
      <c r="C38" s="111">
        <v>19.4955</v>
      </c>
      <c r="D38" s="112">
        <v>39.761400000000002</v>
      </c>
      <c r="E38" s="113">
        <v>26.269500000000001</v>
      </c>
      <c r="F38" s="114">
        <v>286.0496</v>
      </c>
      <c r="G38" s="113">
        <v>652.10860000000002</v>
      </c>
      <c r="H38" s="113">
        <v>499.83789999999999</v>
      </c>
      <c r="I38" s="151">
        <f>SUM(Table4[[#This Row],[Volume 2022]:[Volume 2024]])</f>
        <v>1437.9961000000001</v>
      </c>
      <c r="J38" s="120">
        <v>85.526399999999995</v>
      </c>
      <c r="K38" s="173">
        <f>Table4[[#This Row],[Total Value]]/Table4[[#This Row],[Total Volume]]</f>
        <v>5.9476100109033668E-2</v>
      </c>
      <c r="L38" s="173">
        <f>IFERROR((Table4[[#This Row],[2023]]-Table4[[#This Row],[2022]])/Table4[[#This Row],[2022]],0)</f>
        <v>1.0395168115719013</v>
      </c>
      <c r="M38" s="173">
        <f>IFERROR(((Table4[[#This Row],[Volume 2023]]-Table4[[#This Row],[Volume 2022]])/Table4[[#This Row],[Volume 2022]]),0)</f>
        <v>1.2797046386360968</v>
      </c>
    </row>
    <row r="39" spans="2:13" hidden="1" x14ac:dyDescent="0.25">
      <c r="B39" s="121" t="s">
        <v>761</v>
      </c>
      <c r="C39" s="111">
        <v>41.451799999999999</v>
      </c>
      <c r="D39" s="112">
        <v>23.849699999999999</v>
      </c>
      <c r="E39" s="113">
        <v>14.791499999999999</v>
      </c>
      <c r="F39" s="114">
        <v>1547.7049999999999</v>
      </c>
      <c r="G39" s="113">
        <v>1096.4466</v>
      </c>
      <c r="H39" s="113">
        <v>817.30290000000002</v>
      </c>
      <c r="I39" s="151">
        <f>SUM(Table4[[#This Row],[Volume 2022]:[Volume 2024]])</f>
        <v>3461.4545000000003</v>
      </c>
      <c r="J39" s="120">
        <v>80.093000000000004</v>
      </c>
      <c r="K39" s="173">
        <f>Table4[[#This Row],[Total Value]]/Table4[[#This Row],[Total Volume]]</f>
        <v>2.313853901589635E-2</v>
      </c>
      <c r="L39" s="173">
        <f>IFERROR((Table4[[#This Row],[2023]]-Table4[[#This Row],[2022]])/Table4[[#This Row],[2022]],0)</f>
        <v>-0.42464018450344737</v>
      </c>
      <c r="M39" s="173">
        <f>IFERROR(((Table4[[#This Row],[Volume 2023]]-Table4[[#This Row],[Volume 2022]])/Table4[[#This Row],[Volume 2022]]),0)</f>
        <v>-0.2915661576333991</v>
      </c>
    </row>
    <row r="40" spans="2:13" hidden="1" x14ac:dyDescent="0.25">
      <c r="B40" s="121" t="s">
        <v>742</v>
      </c>
      <c r="C40" s="111">
        <v>15.6523</v>
      </c>
      <c r="D40" s="112">
        <v>38.264400000000002</v>
      </c>
      <c r="E40" s="113">
        <v>12.5626</v>
      </c>
      <c r="F40" s="114">
        <v>709.8646</v>
      </c>
      <c r="G40" s="113">
        <v>1422.4413</v>
      </c>
      <c r="H40" s="113">
        <v>440.17869999999999</v>
      </c>
      <c r="I40" s="151">
        <f>SUM(Table4[[#This Row],[Volume 2022]:[Volume 2024]])</f>
        <v>2572.4845999999998</v>
      </c>
      <c r="J40" s="120">
        <v>66.479300000000009</v>
      </c>
      <c r="K40" s="173">
        <f>Table4[[#This Row],[Total Value]]/Table4[[#This Row],[Total Volume]]</f>
        <v>2.5842448191915324E-2</v>
      </c>
      <c r="L40" s="173">
        <f>IFERROR((Table4[[#This Row],[2023]]-Table4[[#This Row],[2022]])/Table4[[#This Row],[2022]],0)</f>
        <v>1.4446503069836383</v>
      </c>
      <c r="M40" s="173">
        <f>IFERROR(((Table4[[#This Row],[Volume 2023]]-Table4[[#This Row],[Volume 2022]])/Table4[[#This Row],[Volume 2022]]),0)</f>
        <v>1.0038205877571582</v>
      </c>
    </row>
    <row r="41" spans="2:13" hidden="1" x14ac:dyDescent="0.25">
      <c r="B41" s="121" t="s">
        <v>722</v>
      </c>
      <c r="C41" s="111">
        <v>0</v>
      </c>
      <c r="D41" s="112">
        <v>13.1921</v>
      </c>
      <c r="E41" s="113">
        <v>52.811100000000003</v>
      </c>
      <c r="F41" s="114">
        <v>0</v>
      </c>
      <c r="G41" s="113">
        <v>565.53909999999996</v>
      </c>
      <c r="H41" s="113">
        <v>2091.2260999999999</v>
      </c>
      <c r="I41" s="151">
        <f>SUM(Table4[[#This Row],[Volume 2022]:[Volume 2024]])</f>
        <v>2656.7651999999998</v>
      </c>
      <c r="J41" s="120">
        <v>66.003200000000007</v>
      </c>
      <c r="K41" s="173">
        <f>Table4[[#This Row],[Total Value]]/Table4[[#This Row],[Total Volume]]</f>
        <v>2.4843444953283795E-2</v>
      </c>
      <c r="L41" s="173">
        <f>IFERROR((Table4[[#This Row],[2023]]-Table4[[#This Row],[2022]])/Table4[[#This Row],[2022]],0)</f>
        <v>0</v>
      </c>
      <c r="M41" s="173">
        <f>IFERROR(((Table4[[#This Row],[Volume 2023]]-Table4[[#This Row],[Volume 2022]])/Table4[[#This Row],[Volume 2022]]),0)</f>
        <v>0</v>
      </c>
    </row>
    <row r="42" spans="2:13" hidden="1" x14ac:dyDescent="0.25">
      <c r="B42" s="121" t="s">
        <v>769</v>
      </c>
      <c r="C42" s="111">
        <v>23.7455</v>
      </c>
      <c r="D42" s="112">
        <v>29.3566</v>
      </c>
      <c r="E42" s="113">
        <v>11.906700000000001</v>
      </c>
      <c r="F42" s="114">
        <v>713.0412</v>
      </c>
      <c r="G42" s="113">
        <v>960.05740000000003</v>
      </c>
      <c r="H42" s="113">
        <v>372.1223</v>
      </c>
      <c r="I42" s="151">
        <f>SUM(Table4[[#This Row],[Volume 2022]:[Volume 2024]])</f>
        <v>2045.2209</v>
      </c>
      <c r="J42" s="120">
        <v>65.008800000000008</v>
      </c>
      <c r="K42" s="173">
        <f>Table4[[#This Row],[Total Value]]/Table4[[#This Row],[Total Volume]]</f>
        <v>3.1785710775789552E-2</v>
      </c>
      <c r="L42" s="173">
        <f>IFERROR((Table4[[#This Row],[2023]]-Table4[[#This Row],[2022]])/Table4[[#This Row],[2022]],0)</f>
        <v>0.23630161504285024</v>
      </c>
      <c r="M42" s="173">
        <f>IFERROR(((Table4[[#This Row],[Volume 2023]]-Table4[[#This Row],[Volume 2022]])/Table4[[#This Row],[Volume 2022]]),0)</f>
        <v>0.3464262654107505</v>
      </c>
    </row>
    <row r="43" spans="2:13" hidden="1" x14ac:dyDescent="0.25">
      <c r="B43" s="121" t="s">
        <v>733</v>
      </c>
      <c r="C43" s="111">
        <v>0</v>
      </c>
      <c r="D43" s="112">
        <v>1.8077000000000001</v>
      </c>
      <c r="E43" s="113">
        <v>54.250700000000002</v>
      </c>
      <c r="F43" s="114">
        <v>0</v>
      </c>
      <c r="G43" s="113">
        <v>127.6024</v>
      </c>
      <c r="H43" s="113">
        <v>2956.24</v>
      </c>
      <c r="I43" s="151">
        <f>SUM(Table4[[#This Row],[Volume 2022]:[Volume 2024]])</f>
        <v>3083.8424</v>
      </c>
      <c r="J43" s="120">
        <v>56.058399999999999</v>
      </c>
      <c r="K43" s="173">
        <f>Table4[[#This Row],[Total Value]]/Table4[[#This Row],[Total Volume]]</f>
        <v>1.8178101449023466E-2</v>
      </c>
      <c r="L43" s="173">
        <f>IFERROR((Table4[[#This Row],[2023]]-Table4[[#This Row],[2022]])/Table4[[#This Row],[2022]],0)</f>
        <v>0</v>
      </c>
      <c r="M43" s="173">
        <f>IFERROR(((Table4[[#This Row],[Volume 2023]]-Table4[[#This Row],[Volume 2022]])/Table4[[#This Row],[Volume 2022]]),0)</f>
        <v>0</v>
      </c>
    </row>
    <row r="44" spans="2:13" hidden="1" x14ac:dyDescent="0.25">
      <c r="B44" s="121" t="s">
        <v>811</v>
      </c>
      <c r="C44" s="111">
        <v>34.924300000000002</v>
      </c>
      <c r="D44" s="112">
        <v>13.6989</v>
      </c>
      <c r="E44" s="113">
        <v>2.1793999999999998</v>
      </c>
      <c r="F44" s="114">
        <v>2361.7521000000002</v>
      </c>
      <c r="G44" s="113">
        <v>920.36559999999997</v>
      </c>
      <c r="H44" s="113">
        <v>151.65029999999999</v>
      </c>
      <c r="I44" s="151">
        <f>SUM(Table4[[#This Row],[Volume 2022]:[Volume 2024]])</f>
        <v>3433.768</v>
      </c>
      <c r="J44" s="120">
        <v>50.802600000000005</v>
      </c>
      <c r="K44" s="173">
        <f>Table4[[#This Row],[Total Value]]/Table4[[#This Row],[Total Volume]]</f>
        <v>1.479500071058965E-2</v>
      </c>
      <c r="L44" s="173">
        <f>IFERROR((Table4[[#This Row],[2023]]-Table4[[#This Row],[2022]])/Table4[[#This Row],[2022]],0)</f>
        <v>-0.60775448613143279</v>
      </c>
      <c r="M44" s="173">
        <f>IFERROR(((Table4[[#This Row],[Volume 2023]]-Table4[[#This Row],[Volume 2022]])/Table4[[#This Row],[Volume 2022]]),0)</f>
        <v>-0.61030389260583273</v>
      </c>
    </row>
    <row r="45" spans="2:13" hidden="1" x14ac:dyDescent="0.25">
      <c r="B45" s="121" t="s">
        <v>765</v>
      </c>
      <c r="C45" s="111">
        <v>20.5808</v>
      </c>
      <c r="D45" s="112">
        <v>16.885999999999999</v>
      </c>
      <c r="E45" s="113">
        <v>8.2624999999999993</v>
      </c>
      <c r="F45" s="114">
        <v>116.04819999999999</v>
      </c>
      <c r="G45" s="113">
        <v>107.1939</v>
      </c>
      <c r="H45" s="113">
        <v>44.347099999999998</v>
      </c>
      <c r="I45" s="151">
        <f>SUM(Table4[[#This Row],[Volume 2022]:[Volume 2024]])</f>
        <v>267.58920000000001</v>
      </c>
      <c r="J45" s="120">
        <v>45.729299999999995</v>
      </c>
      <c r="K45" s="173">
        <f>Table4[[#This Row],[Total Value]]/Table4[[#This Row],[Total Volume]]</f>
        <v>0.17089366835432818</v>
      </c>
      <c r="L45" s="173">
        <f>IFERROR((Table4[[#This Row],[2023]]-Table4[[#This Row],[2022]])/Table4[[#This Row],[2022]],0)</f>
        <v>-0.17952654901655915</v>
      </c>
      <c r="M45" s="173">
        <f>IFERROR(((Table4[[#This Row],[Volume 2023]]-Table4[[#This Row],[Volume 2022]])/Table4[[#This Row],[Volume 2022]]),0)</f>
        <v>-7.6298469084397649E-2</v>
      </c>
    </row>
    <row r="46" spans="2:13" hidden="1" x14ac:dyDescent="0.25">
      <c r="B46" s="121" t="s">
        <v>788</v>
      </c>
      <c r="C46" s="111">
        <v>26.606400000000001</v>
      </c>
      <c r="D46" s="112">
        <v>12.7163</v>
      </c>
      <c r="E46" s="113">
        <v>6.1870000000000003</v>
      </c>
      <c r="F46" s="114">
        <v>773.97839999999997</v>
      </c>
      <c r="G46" s="113">
        <v>348.9753</v>
      </c>
      <c r="H46" s="113">
        <v>165.18170000000001</v>
      </c>
      <c r="I46" s="151">
        <f>SUM(Table4[[#This Row],[Volume 2022]:[Volume 2024]])</f>
        <v>1288.1354000000001</v>
      </c>
      <c r="J46" s="120">
        <v>45.509699999999995</v>
      </c>
      <c r="K46" s="173">
        <f>Table4[[#This Row],[Total Value]]/Table4[[#This Row],[Total Volume]]</f>
        <v>3.5329903983696113E-2</v>
      </c>
      <c r="L46" s="173">
        <f>IFERROR((Table4[[#This Row],[2023]]-Table4[[#This Row],[2022]])/Table4[[#This Row],[2022]],0)</f>
        <v>-0.52205860244151781</v>
      </c>
      <c r="M46" s="173">
        <f>IFERROR(((Table4[[#This Row],[Volume 2023]]-Table4[[#This Row],[Volume 2022]])/Table4[[#This Row],[Volume 2022]]),0)</f>
        <v>-0.54911493654086463</v>
      </c>
    </row>
    <row r="47" spans="2:13" hidden="1" x14ac:dyDescent="0.25">
      <c r="B47" s="121" t="s">
        <v>816</v>
      </c>
      <c r="C47" s="111">
        <v>25.839099999999998</v>
      </c>
      <c r="D47" s="112">
        <v>9.0121000000000002</v>
      </c>
      <c r="E47" s="113">
        <v>10.0204</v>
      </c>
      <c r="F47" s="114">
        <v>1539.4739</v>
      </c>
      <c r="G47" s="113">
        <v>509.45670000000001</v>
      </c>
      <c r="H47" s="113">
        <v>585.52229999999997</v>
      </c>
      <c r="I47" s="151">
        <f>SUM(Table4[[#This Row],[Volume 2022]:[Volume 2024]])</f>
        <v>2634.4529000000002</v>
      </c>
      <c r="J47" s="120">
        <v>44.871600000000001</v>
      </c>
      <c r="K47" s="173">
        <f>Table4[[#This Row],[Total Value]]/Table4[[#This Row],[Total Volume]]</f>
        <v>1.7032606656205544E-2</v>
      </c>
      <c r="L47" s="173">
        <f>IFERROR((Table4[[#This Row],[2023]]-Table4[[#This Row],[2022]])/Table4[[#This Row],[2022]],0)</f>
        <v>-0.65122237229624869</v>
      </c>
      <c r="M47" s="173">
        <f>IFERROR(((Table4[[#This Row],[Volume 2023]]-Table4[[#This Row],[Volume 2022]])/Table4[[#This Row],[Volume 2022]]),0)</f>
        <v>-0.66907090792510349</v>
      </c>
    </row>
    <row r="48" spans="2:13" hidden="1" x14ac:dyDescent="0.25">
      <c r="B48" s="121" t="s">
        <v>745</v>
      </c>
      <c r="C48" s="111">
        <v>14.2293</v>
      </c>
      <c r="D48" s="112">
        <v>21.789000000000001</v>
      </c>
      <c r="E48" s="113">
        <v>7.9466000000000001</v>
      </c>
      <c r="F48" s="114">
        <v>761.61429999999996</v>
      </c>
      <c r="G48" s="113">
        <v>1129.7994000000001</v>
      </c>
      <c r="H48" s="113">
        <v>412.24349999999998</v>
      </c>
      <c r="I48" s="151">
        <f>SUM(Table4[[#This Row],[Volume 2022]:[Volume 2024]])</f>
        <v>2303.6572000000001</v>
      </c>
      <c r="J48" s="120">
        <v>43.9649</v>
      </c>
      <c r="K48" s="173">
        <f>Table4[[#This Row],[Total Value]]/Table4[[#This Row],[Total Volume]]</f>
        <v>1.9084827377962309E-2</v>
      </c>
      <c r="L48" s="173">
        <f>IFERROR((Table4[[#This Row],[2023]]-Table4[[#This Row],[2022]])/Table4[[#This Row],[2022]],0)</f>
        <v>0.53127701292403706</v>
      </c>
      <c r="M48" s="173">
        <f>IFERROR(((Table4[[#This Row],[Volume 2023]]-Table4[[#This Row],[Volume 2022]])/Table4[[#This Row],[Volume 2022]]),0)</f>
        <v>0.48342724132149328</v>
      </c>
    </row>
    <row r="49" spans="2:13" hidden="1" x14ac:dyDescent="0.25">
      <c r="B49" s="121" t="s">
        <v>721</v>
      </c>
      <c r="C49" s="111">
        <v>11.963200000000001</v>
      </c>
      <c r="D49" s="112">
        <v>18.136199999999999</v>
      </c>
      <c r="E49" s="113">
        <v>9.0266999999999999</v>
      </c>
      <c r="F49" s="114">
        <v>603.27629999999999</v>
      </c>
      <c r="G49" s="113">
        <v>937.45190000000002</v>
      </c>
      <c r="H49" s="113">
        <v>454.77429999999998</v>
      </c>
      <c r="I49" s="151">
        <f>SUM(Table4[[#This Row],[Volume 2022]:[Volume 2024]])</f>
        <v>1995.5025000000001</v>
      </c>
      <c r="J49" s="120">
        <v>39.126100000000001</v>
      </c>
      <c r="K49" s="173">
        <f>Table4[[#This Row],[Total Value]]/Table4[[#This Row],[Total Volume]]</f>
        <v>1.9607141559582111E-2</v>
      </c>
      <c r="L49" s="173">
        <f>IFERROR((Table4[[#This Row],[2023]]-Table4[[#This Row],[2022]])/Table4[[#This Row],[2022]],0)</f>
        <v>0.51599906379563976</v>
      </c>
      <c r="M49" s="173">
        <f>IFERROR(((Table4[[#This Row],[Volume 2023]]-Table4[[#This Row],[Volume 2022]])/Table4[[#This Row],[Volume 2022]]),0)</f>
        <v>0.55393457359422216</v>
      </c>
    </row>
    <row r="50" spans="2:13" hidden="1" x14ac:dyDescent="0.25">
      <c r="B50" s="121" t="s">
        <v>802</v>
      </c>
      <c r="C50" s="111">
        <v>18.511199999999999</v>
      </c>
      <c r="D50" s="112">
        <v>14.1861</v>
      </c>
      <c r="E50" s="113">
        <v>5.5843999999999996</v>
      </c>
      <c r="F50" s="114">
        <v>978.4941</v>
      </c>
      <c r="G50" s="113">
        <v>734.42629999999997</v>
      </c>
      <c r="H50" s="113">
        <v>305.17070000000001</v>
      </c>
      <c r="I50" s="151">
        <f>SUM(Table4[[#This Row],[Volume 2022]:[Volume 2024]])</f>
        <v>2018.0911000000001</v>
      </c>
      <c r="J50" s="120">
        <v>38.281700000000001</v>
      </c>
      <c r="K50" s="173">
        <f>Table4[[#This Row],[Total Value]]/Table4[[#This Row],[Total Volume]]</f>
        <v>1.8969262586807898E-2</v>
      </c>
      <c r="L50" s="173">
        <f>IFERROR((Table4[[#This Row],[2023]]-Table4[[#This Row],[2022]])/Table4[[#This Row],[2022]],0)</f>
        <v>-0.23364773758589391</v>
      </c>
      <c r="M50" s="173">
        <f>IFERROR(((Table4[[#This Row],[Volume 2023]]-Table4[[#This Row],[Volume 2022]])/Table4[[#This Row],[Volume 2022]]),0)</f>
        <v>-0.24943206095979528</v>
      </c>
    </row>
    <row r="51" spans="2:13" hidden="1" x14ac:dyDescent="0.25">
      <c r="B51" s="121" t="s">
        <v>756</v>
      </c>
      <c r="C51" s="111">
        <v>34.405999999999999</v>
      </c>
      <c r="D51" s="112">
        <v>2.0082</v>
      </c>
      <c r="E51" s="113">
        <v>5.9400000000000001E-2</v>
      </c>
      <c r="F51" s="114">
        <v>1027.0906</v>
      </c>
      <c r="G51" s="113">
        <v>44.666600000000003</v>
      </c>
      <c r="H51" s="113">
        <v>0.51659999999999995</v>
      </c>
      <c r="I51" s="151">
        <f>SUM(Table4[[#This Row],[Volume 2022]:[Volume 2024]])</f>
        <v>1072.2737999999999</v>
      </c>
      <c r="J51" s="120">
        <v>36.473599999999998</v>
      </c>
      <c r="K51" s="173">
        <f>Table4[[#This Row],[Total Value]]/Table4[[#This Row],[Total Volume]]</f>
        <v>3.4015192761401053E-2</v>
      </c>
      <c r="L51" s="173">
        <f>IFERROR((Table4[[#This Row],[2023]]-Table4[[#This Row],[2022]])/Table4[[#This Row],[2022]],0)</f>
        <v>-0.9416322734406789</v>
      </c>
      <c r="M51" s="173">
        <f>IFERROR(((Table4[[#This Row],[Volume 2023]]-Table4[[#This Row],[Volume 2022]])/Table4[[#This Row],[Volume 2022]]),0)</f>
        <v>-0.9565115287784739</v>
      </c>
    </row>
    <row r="52" spans="2:13" hidden="1" x14ac:dyDescent="0.25">
      <c r="B52" s="121" t="s">
        <v>764</v>
      </c>
      <c r="C52" s="111">
        <v>11.181699999999999</v>
      </c>
      <c r="D52" s="112">
        <v>15.1816</v>
      </c>
      <c r="E52" s="113">
        <v>9.6165000000000003</v>
      </c>
      <c r="F52" s="114">
        <v>586.38080000000002</v>
      </c>
      <c r="G52" s="113">
        <v>752.94479999999999</v>
      </c>
      <c r="H52" s="113">
        <v>438.76389999999998</v>
      </c>
      <c r="I52" s="151">
        <f>SUM(Table4[[#This Row],[Volume 2022]:[Volume 2024]])</f>
        <v>1778.0895</v>
      </c>
      <c r="J52" s="120">
        <v>35.979799999999997</v>
      </c>
      <c r="K52" s="173">
        <f>Table4[[#This Row],[Total Value]]/Table4[[#This Row],[Total Volume]]</f>
        <v>2.0235089403542395E-2</v>
      </c>
      <c r="L52" s="173">
        <f>IFERROR((Table4[[#This Row],[2023]]-Table4[[#This Row],[2022]])/Table4[[#This Row],[2022]],0)</f>
        <v>0.35771841491007633</v>
      </c>
      <c r="M52" s="173">
        <f>IFERROR(((Table4[[#This Row],[Volume 2023]]-Table4[[#This Row],[Volume 2022]])/Table4[[#This Row],[Volume 2022]]),0)</f>
        <v>0.28405432101460343</v>
      </c>
    </row>
    <row r="53" spans="2:13" hidden="1" x14ac:dyDescent="0.25">
      <c r="B53" s="121" t="s">
        <v>792</v>
      </c>
      <c r="C53" s="111">
        <v>12.300599999999999</v>
      </c>
      <c r="D53" s="112">
        <v>12.544</v>
      </c>
      <c r="E53" s="113">
        <v>8.6647999999999996</v>
      </c>
      <c r="F53" s="114">
        <v>127.5915</v>
      </c>
      <c r="G53" s="113">
        <v>142.6704</v>
      </c>
      <c r="H53" s="113">
        <v>110.39149999999999</v>
      </c>
      <c r="I53" s="151">
        <f>SUM(Table4[[#This Row],[Volume 2022]:[Volume 2024]])</f>
        <v>380.65339999999998</v>
      </c>
      <c r="J53" s="120">
        <v>33.509399999999999</v>
      </c>
      <c r="K53" s="173">
        <f>Table4[[#This Row],[Total Value]]/Table4[[#This Row],[Total Volume]]</f>
        <v>8.8031264136876231E-2</v>
      </c>
      <c r="L53" s="173">
        <f>IFERROR((Table4[[#This Row],[2023]]-Table4[[#This Row],[2022]])/Table4[[#This Row],[2022]],0)</f>
        <v>1.9787652634830916E-2</v>
      </c>
      <c r="M53" s="173">
        <f>IFERROR(((Table4[[#This Row],[Volume 2023]]-Table4[[#This Row],[Volume 2022]])/Table4[[#This Row],[Volume 2022]]),0)</f>
        <v>0.11818107005560718</v>
      </c>
    </row>
    <row r="54" spans="2:13" hidden="1" x14ac:dyDescent="0.25">
      <c r="B54" s="121" t="s">
        <v>757</v>
      </c>
      <c r="C54" s="111">
        <v>0</v>
      </c>
      <c r="D54" s="112">
        <v>10.2052</v>
      </c>
      <c r="E54" s="113">
        <v>14.4321</v>
      </c>
      <c r="F54" s="114">
        <v>0</v>
      </c>
      <c r="G54" s="113">
        <v>569.2527</v>
      </c>
      <c r="H54" s="113">
        <v>716.4248</v>
      </c>
      <c r="I54" s="151">
        <f>SUM(Table4[[#This Row],[Volume 2022]:[Volume 2024]])</f>
        <v>1285.6775</v>
      </c>
      <c r="J54" s="120">
        <v>24.6373</v>
      </c>
      <c r="K54" s="173">
        <f>Table4[[#This Row],[Total Value]]/Table4[[#This Row],[Total Volume]]</f>
        <v>1.9162892716097155E-2</v>
      </c>
      <c r="L54" s="173">
        <f>IFERROR((Table4[[#This Row],[2023]]-Table4[[#This Row],[2022]])/Table4[[#This Row],[2022]],0)</f>
        <v>0</v>
      </c>
      <c r="M54" s="173">
        <f>IFERROR(((Table4[[#This Row],[Volume 2023]]-Table4[[#This Row],[Volume 2022]])/Table4[[#This Row],[Volume 2022]]),0)</f>
        <v>0</v>
      </c>
    </row>
    <row r="55" spans="2:13" hidden="1" x14ac:dyDescent="0.25">
      <c r="B55" s="121" t="s">
        <v>814</v>
      </c>
      <c r="C55" s="111">
        <v>0</v>
      </c>
      <c r="D55" s="112">
        <v>0.06</v>
      </c>
      <c r="E55" s="113">
        <v>22.319900000000001</v>
      </c>
      <c r="F55" s="114">
        <v>0</v>
      </c>
      <c r="G55" s="113">
        <v>3.96</v>
      </c>
      <c r="H55" s="113">
        <v>1362.7346</v>
      </c>
      <c r="I55" s="151">
        <f>SUM(Table4[[#This Row],[Volume 2022]:[Volume 2024]])</f>
        <v>1366.6946</v>
      </c>
      <c r="J55" s="120">
        <v>22.379899999999999</v>
      </c>
      <c r="K55" s="173">
        <f>Table4[[#This Row],[Total Value]]/Table4[[#This Row],[Total Volume]]</f>
        <v>1.6375201892214981E-2</v>
      </c>
      <c r="L55" s="173">
        <f>IFERROR((Table4[[#This Row],[2023]]-Table4[[#This Row],[2022]])/Table4[[#This Row],[2022]],0)</f>
        <v>0</v>
      </c>
      <c r="M55" s="173">
        <f>IFERROR(((Table4[[#This Row],[Volume 2023]]-Table4[[#This Row],[Volume 2022]])/Table4[[#This Row],[Volume 2022]]),0)</f>
        <v>0</v>
      </c>
    </row>
    <row r="56" spans="2:13" hidden="1" x14ac:dyDescent="0.25">
      <c r="B56" s="121" t="s">
        <v>796</v>
      </c>
      <c r="C56" s="111">
        <v>2.9096000000000002</v>
      </c>
      <c r="D56" s="112">
        <v>6.0198</v>
      </c>
      <c r="E56" s="113">
        <v>5.5109000000000004</v>
      </c>
      <c r="F56" s="114">
        <v>55.366500000000002</v>
      </c>
      <c r="G56" s="113">
        <v>108.4705</v>
      </c>
      <c r="H56" s="113">
        <v>98.710099999999997</v>
      </c>
      <c r="I56" s="151">
        <f>SUM(Table4[[#This Row],[Volume 2022]:[Volume 2024]])</f>
        <v>262.5471</v>
      </c>
      <c r="J56" s="120">
        <v>14.440300000000001</v>
      </c>
      <c r="K56" s="173">
        <f>Table4[[#This Row],[Total Value]]/Table4[[#This Row],[Total Volume]]</f>
        <v>5.5000797952062697E-2</v>
      </c>
      <c r="L56" s="173">
        <f>IFERROR((Table4[[#This Row],[2023]]-Table4[[#This Row],[2022]])/Table4[[#This Row],[2022]],0)</f>
        <v>1.0689441847676655</v>
      </c>
      <c r="M56" s="173">
        <f>IFERROR(((Table4[[#This Row],[Volume 2023]]-Table4[[#This Row],[Volume 2022]])/Table4[[#This Row],[Volume 2022]]),0)</f>
        <v>0.95913593960246712</v>
      </c>
    </row>
    <row r="57" spans="2:13" hidden="1" x14ac:dyDescent="0.25">
      <c r="B57" s="121" t="s">
        <v>778</v>
      </c>
      <c r="C57" s="111">
        <v>8.7314000000000007</v>
      </c>
      <c r="D57" s="112">
        <v>3.2120000000000002</v>
      </c>
      <c r="E57" s="113">
        <v>0</v>
      </c>
      <c r="F57" s="114">
        <v>524.32740000000001</v>
      </c>
      <c r="G57" s="113">
        <v>172.9468</v>
      </c>
      <c r="H57" s="113">
        <v>0</v>
      </c>
      <c r="I57" s="151">
        <f>SUM(Table4[[#This Row],[Volume 2022]:[Volume 2024]])</f>
        <v>697.27420000000006</v>
      </c>
      <c r="J57" s="120">
        <v>11.9434</v>
      </c>
      <c r="K57" s="173">
        <f>Table4[[#This Row],[Total Value]]/Table4[[#This Row],[Total Volume]]</f>
        <v>1.712869915450765E-2</v>
      </c>
      <c r="L57" s="173">
        <f>IFERROR((Table4[[#This Row],[2023]]-Table4[[#This Row],[2022]])/Table4[[#This Row],[2022]],0)</f>
        <v>-0.63213230409785381</v>
      </c>
      <c r="M57" s="173">
        <f>IFERROR(((Table4[[#This Row],[Volume 2023]]-Table4[[#This Row],[Volume 2022]])/Table4[[#This Row],[Volume 2022]]),0)</f>
        <v>-0.67015494517356899</v>
      </c>
    </row>
    <row r="58" spans="2:13" hidden="1" x14ac:dyDescent="0.25">
      <c r="B58" s="121" t="s">
        <v>751</v>
      </c>
      <c r="C58" s="111">
        <v>4.0102000000000002</v>
      </c>
      <c r="D58" s="112">
        <v>6.6558000000000002</v>
      </c>
      <c r="E58" s="113">
        <v>0</v>
      </c>
      <c r="F58" s="114">
        <v>83.551900000000003</v>
      </c>
      <c r="G58" s="113">
        <v>115.5257</v>
      </c>
      <c r="H58" s="113">
        <v>0</v>
      </c>
      <c r="I58" s="151">
        <f>SUM(Table4[[#This Row],[Volume 2022]:[Volume 2024]])</f>
        <v>199.07760000000002</v>
      </c>
      <c r="J58" s="120">
        <v>10.666</v>
      </c>
      <c r="K58" s="173">
        <f>Table4[[#This Row],[Total Value]]/Table4[[#This Row],[Total Volume]]</f>
        <v>5.3577097574011336E-2</v>
      </c>
      <c r="L58" s="173">
        <f>IFERROR((Table4[[#This Row],[2023]]-Table4[[#This Row],[2022]])/Table4[[#This Row],[2022]],0)</f>
        <v>0.65971771981447302</v>
      </c>
      <c r="M58" s="173">
        <f>IFERROR(((Table4[[#This Row],[Volume 2023]]-Table4[[#This Row],[Volume 2022]])/Table4[[#This Row],[Volume 2022]]),0)</f>
        <v>0.38268190190767648</v>
      </c>
    </row>
    <row r="59" spans="2:13" hidden="1" x14ac:dyDescent="0.25">
      <c r="B59" s="121" t="s">
        <v>716</v>
      </c>
      <c r="C59" s="111">
        <v>0</v>
      </c>
      <c r="D59" s="112">
        <v>4.4634999999999998</v>
      </c>
      <c r="E59" s="113">
        <v>5.9009999999999998</v>
      </c>
      <c r="F59" s="114">
        <v>0</v>
      </c>
      <c r="G59" s="113">
        <v>231.33420000000001</v>
      </c>
      <c r="H59" s="113">
        <v>348.19819999999999</v>
      </c>
      <c r="I59" s="151">
        <f>SUM(Table4[[#This Row],[Volume 2022]:[Volume 2024]])</f>
        <v>579.53240000000005</v>
      </c>
      <c r="J59" s="120">
        <v>10.3645</v>
      </c>
      <c r="K59" s="173">
        <f>Table4[[#This Row],[Total Value]]/Table4[[#This Row],[Total Volume]]</f>
        <v>1.7884245988662582E-2</v>
      </c>
      <c r="L59" s="173">
        <f>IFERROR((Table4[[#This Row],[2023]]-Table4[[#This Row],[2022]])/Table4[[#This Row],[2022]],0)</f>
        <v>0</v>
      </c>
      <c r="M59" s="173">
        <f>IFERROR(((Table4[[#This Row],[Volume 2023]]-Table4[[#This Row],[Volume 2022]])/Table4[[#This Row],[Volume 2022]]),0)</f>
        <v>0</v>
      </c>
    </row>
    <row r="60" spans="2:13" hidden="1" x14ac:dyDescent="0.25">
      <c r="B60" s="121" t="s">
        <v>741</v>
      </c>
      <c r="C60" s="111">
        <v>8.6900999999999993</v>
      </c>
      <c r="D60" s="112">
        <v>1.1979</v>
      </c>
      <c r="E60" s="113">
        <v>0.1404</v>
      </c>
      <c r="F60" s="114">
        <v>161.07130000000001</v>
      </c>
      <c r="G60" s="113">
        <v>29.083500000000001</v>
      </c>
      <c r="H60" s="113">
        <v>1.4401999999999999</v>
      </c>
      <c r="I60" s="151">
        <f>SUM(Table4[[#This Row],[Volume 2022]:[Volume 2024]])</f>
        <v>191.59500000000003</v>
      </c>
      <c r="J60" s="120">
        <v>10.0284</v>
      </c>
      <c r="K60" s="173">
        <f>Table4[[#This Row],[Total Value]]/Table4[[#This Row],[Total Volume]]</f>
        <v>5.2341658185234466E-2</v>
      </c>
      <c r="L60" s="173">
        <f>IFERROR((Table4[[#This Row],[2023]]-Table4[[#This Row],[2022]])/Table4[[#This Row],[2022]],0)</f>
        <v>-0.86215348500017264</v>
      </c>
      <c r="M60" s="173">
        <f>IFERROR(((Table4[[#This Row],[Volume 2023]]-Table4[[#This Row],[Volume 2022]])/Table4[[#This Row],[Volume 2022]]),0)</f>
        <v>-0.81943710642429768</v>
      </c>
    </row>
    <row r="61" spans="2:13" hidden="1" x14ac:dyDescent="0.25">
      <c r="B61" s="121" t="s">
        <v>743</v>
      </c>
      <c r="C61" s="111">
        <v>9.2643000000000004</v>
      </c>
      <c r="D61" s="112">
        <v>0.1729</v>
      </c>
      <c r="E61" s="113">
        <v>3.0000000000000001E-3</v>
      </c>
      <c r="F61" s="114">
        <v>358.95979999999997</v>
      </c>
      <c r="G61" s="113">
        <v>4.9572000000000003</v>
      </c>
      <c r="H61" s="113">
        <v>7.1999999999999995E-2</v>
      </c>
      <c r="I61" s="151">
        <f>SUM(Table4[[#This Row],[Volume 2022]:[Volume 2024]])</f>
        <v>363.98899999999998</v>
      </c>
      <c r="J61" s="120">
        <v>9.4402000000000008</v>
      </c>
      <c r="K61" s="173">
        <f>Table4[[#This Row],[Total Value]]/Table4[[#This Row],[Total Volume]]</f>
        <v>2.5935399146677512E-2</v>
      </c>
      <c r="L61" s="173">
        <f>IFERROR((Table4[[#This Row],[2023]]-Table4[[#This Row],[2022]])/Table4[[#This Row],[2022]],0)</f>
        <v>-0.98133696015888949</v>
      </c>
      <c r="M61" s="173">
        <f>IFERROR(((Table4[[#This Row],[Volume 2023]]-Table4[[#This Row],[Volume 2022]])/Table4[[#This Row],[Volume 2022]]),0)</f>
        <v>-0.98619009705265048</v>
      </c>
    </row>
    <row r="62" spans="2:13" hidden="1" x14ac:dyDescent="0.25">
      <c r="B62" s="121" t="s">
        <v>747</v>
      </c>
      <c r="C62" s="111">
        <v>9.1872000000000007</v>
      </c>
      <c r="D62" s="112">
        <v>0</v>
      </c>
      <c r="E62" s="113">
        <v>0</v>
      </c>
      <c r="F62" s="114">
        <v>430.16879999999998</v>
      </c>
      <c r="G62" s="113">
        <v>0</v>
      </c>
      <c r="H62" s="113">
        <v>0</v>
      </c>
      <c r="I62" s="151">
        <f>SUM(Table4[[#This Row],[Volume 2022]:[Volume 2024]])</f>
        <v>430.16879999999998</v>
      </c>
      <c r="J62" s="120">
        <v>9.1872000000000007</v>
      </c>
      <c r="K62" s="173">
        <f>Table4[[#This Row],[Total Value]]/Table4[[#This Row],[Total Volume]]</f>
        <v>2.1357197453650757E-2</v>
      </c>
      <c r="L62" s="173">
        <f>IFERROR((Table4[[#This Row],[2023]]-Table4[[#This Row],[2022]])/Table4[[#This Row],[2022]],0)</f>
        <v>-1</v>
      </c>
      <c r="M62" s="173">
        <f>IFERROR(((Table4[[#This Row],[Volume 2023]]-Table4[[#This Row],[Volume 2022]])/Table4[[#This Row],[Volume 2022]]),0)</f>
        <v>-1</v>
      </c>
    </row>
    <row r="63" spans="2:13" hidden="1" x14ac:dyDescent="0.25">
      <c r="B63" s="121" t="s">
        <v>737</v>
      </c>
      <c r="C63" s="111">
        <v>8.9794</v>
      </c>
      <c r="D63" s="112">
        <v>0</v>
      </c>
      <c r="E63" s="113">
        <v>0</v>
      </c>
      <c r="F63" s="114">
        <v>618.46879999999999</v>
      </c>
      <c r="G63" s="113">
        <v>0</v>
      </c>
      <c r="H63" s="113">
        <v>0</v>
      </c>
      <c r="I63" s="151">
        <f>SUM(Table4[[#This Row],[Volume 2022]:[Volume 2024]])</f>
        <v>618.46879999999999</v>
      </c>
      <c r="J63" s="120">
        <v>8.9794</v>
      </c>
      <c r="K63" s="173">
        <f>Table4[[#This Row],[Total Value]]/Table4[[#This Row],[Total Volume]]</f>
        <v>1.4518759879237239E-2</v>
      </c>
      <c r="L63" s="173">
        <f>IFERROR((Table4[[#This Row],[2023]]-Table4[[#This Row],[2022]])/Table4[[#This Row],[2022]],0)</f>
        <v>-1</v>
      </c>
      <c r="M63" s="173">
        <f>IFERROR(((Table4[[#This Row],[Volume 2023]]-Table4[[#This Row],[Volume 2022]])/Table4[[#This Row],[Volume 2022]]),0)</f>
        <v>-1</v>
      </c>
    </row>
    <row r="64" spans="2:13" hidden="1" x14ac:dyDescent="0.25">
      <c r="B64" s="121" t="s">
        <v>746</v>
      </c>
      <c r="C64" s="111">
        <v>7.4866999999999999</v>
      </c>
      <c r="D64" s="112">
        <v>1.5100000000000001E-2</v>
      </c>
      <c r="E64" s="113">
        <v>0</v>
      </c>
      <c r="F64" s="114">
        <v>509.18150000000003</v>
      </c>
      <c r="G64" s="113">
        <v>0.77590000000000003</v>
      </c>
      <c r="H64" s="113">
        <v>0</v>
      </c>
      <c r="I64" s="151">
        <f>SUM(Table4[[#This Row],[Volume 2022]:[Volume 2024]])</f>
        <v>509.95740000000001</v>
      </c>
      <c r="J64" s="120">
        <v>7.5018000000000002</v>
      </c>
      <c r="K64" s="173">
        <f>Table4[[#This Row],[Total Value]]/Table4[[#This Row],[Total Volume]]</f>
        <v>1.4710640535856525E-2</v>
      </c>
      <c r="L64" s="173">
        <f>IFERROR((Table4[[#This Row],[2023]]-Table4[[#This Row],[2022]])/Table4[[#This Row],[2022]],0)</f>
        <v>-0.99798309001295626</v>
      </c>
      <c r="M64" s="173">
        <f>IFERROR(((Table4[[#This Row],[Volume 2023]]-Table4[[#This Row],[Volume 2022]])/Table4[[#This Row],[Volume 2022]]),0)</f>
        <v>-0.99847618187227938</v>
      </c>
    </row>
    <row r="65" spans="2:13" hidden="1" x14ac:dyDescent="0.25">
      <c r="B65" s="121" t="s">
        <v>773</v>
      </c>
      <c r="C65" s="111">
        <v>0</v>
      </c>
      <c r="D65" s="112">
        <v>6.2138</v>
      </c>
      <c r="E65" s="113">
        <v>8.77E-2</v>
      </c>
      <c r="F65" s="114">
        <v>0</v>
      </c>
      <c r="G65" s="113">
        <v>384.83499999999998</v>
      </c>
      <c r="H65" s="113">
        <v>5.7408999999999999</v>
      </c>
      <c r="I65" s="151">
        <f>SUM(Table4[[#This Row],[Volume 2022]:[Volume 2024]])</f>
        <v>390.57589999999999</v>
      </c>
      <c r="J65" s="120">
        <v>6.3014999999999999</v>
      </c>
      <c r="K65" s="173">
        <f>Table4[[#This Row],[Total Value]]/Table4[[#This Row],[Total Volume]]</f>
        <v>1.6133867962667435E-2</v>
      </c>
      <c r="L65" s="173">
        <f>IFERROR((Table4[[#This Row],[2023]]-Table4[[#This Row],[2022]])/Table4[[#This Row],[2022]],0)</f>
        <v>0</v>
      </c>
      <c r="M65" s="173">
        <f>IFERROR(((Table4[[#This Row],[Volume 2023]]-Table4[[#This Row],[Volume 2022]])/Table4[[#This Row],[Volume 2022]]),0)</f>
        <v>0</v>
      </c>
    </row>
    <row r="66" spans="2:13" hidden="1" x14ac:dyDescent="0.25">
      <c r="B66" s="121" t="s">
        <v>818</v>
      </c>
      <c r="C66" s="111">
        <v>1.8396999999999999</v>
      </c>
      <c r="D66" s="112">
        <v>4.3616000000000001</v>
      </c>
      <c r="E66" s="113">
        <v>0</v>
      </c>
      <c r="F66" s="114">
        <v>115.49760000000001</v>
      </c>
      <c r="G66" s="113">
        <v>300.46589999999998</v>
      </c>
      <c r="H66" s="113">
        <v>0</v>
      </c>
      <c r="I66" s="151">
        <f>SUM(Table4[[#This Row],[Volume 2022]:[Volume 2024]])</f>
        <v>415.96349999999995</v>
      </c>
      <c r="J66" s="120">
        <v>6.2012999999999998</v>
      </c>
      <c r="K66" s="173">
        <f>Table4[[#This Row],[Total Value]]/Table4[[#This Row],[Total Volume]]</f>
        <v>1.4908279211998169E-2</v>
      </c>
      <c r="L66" s="173">
        <f>IFERROR((Table4[[#This Row],[2023]]-Table4[[#This Row],[2022]])/Table4[[#This Row],[2022]],0)</f>
        <v>1.3708213295646032</v>
      </c>
      <c r="M66" s="173">
        <f>IFERROR(((Table4[[#This Row],[Volume 2023]]-Table4[[#This Row],[Volume 2022]])/Table4[[#This Row],[Volume 2022]]),0)</f>
        <v>1.6014904205801677</v>
      </c>
    </row>
    <row r="67" spans="2:13" hidden="1" x14ac:dyDescent="0.25">
      <c r="B67" s="121" t="s">
        <v>763</v>
      </c>
      <c r="C67" s="111">
        <v>6.1033999999999997</v>
      </c>
      <c r="D67" s="112">
        <v>8.2299999999999998E-2</v>
      </c>
      <c r="E67" s="113">
        <v>0</v>
      </c>
      <c r="F67" s="114">
        <v>422.25490000000002</v>
      </c>
      <c r="G67" s="113">
        <v>3.4649000000000001</v>
      </c>
      <c r="H67" s="113">
        <v>0</v>
      </c>
      <c r="I67" s="151">
        <f>SUM(Table4[[#This Row],[Volume 2022]:[Volume 2024]])</f>
        <v>425.71980000000002</v>
      </c>
      <c r="J67" s="120">
        <v>6.1856999999999998</v>
      </c>
      <c r="K67" s="173">
        <f>Table4[[#This Row],[Total Value]]/Table4[[#This Row],[Total Volume]]</f>
        <v>1.4529979578116872E-2</v>
      </c>
      <c r="L67" s="173">
        <f>IFERROR((Table4[[#This Row],[2023]]-Table4[[#This Row],[2022]])/Table4[[#This Row],[2022]],0)</f>
        <v>-0.98651571255365866</v>
      </c>
      <c r="M67" s="173">
        <f>IFERROR(((Table4[[#This Row],[Volume 2023]]-Table4[[#This Row],[Volume 2022]])/Table4[[#This Row],[Volume 2022]]),0)</f>
        <v>-0.99179429297327282</v>
      </c>
    </row>
    <row r="68" spans="2:13" hidden="1" x14ac:dyDescent="0.25">
      <c r="B68" s="121" t="s">
        <v>723</v>
      </c>
      <c r="C68" s="111">
        <v>3.1665000000000001</v>
      </c>
      <c r="D68" s="112">
        <v>2.1888000000000001</v>
      </c>
      <c r="E68" s="113">
        <v>0.46289999999999998</v>
      </c>
      <c r="F68" s="114">
        <v>65.203199999999995</v>
      </c>
      <c r="G68" s="113">
        <v>50.370399999999997</v>
      </c>
      <c r="H68" s="113">
        <v>10.166600000000001</v>
      </c>
      <c r="I68" s="151">
        <f>SUM(Table4[[#This Row],[Volume 2022]:[Volume 2024]])</f>
        <v>125.7402</v>
      </c>
      <c r="J68" s="120">
        <v>5.8182</v>
      </c>
      <c r="K68" s="173">
        <f>Table4[[#This Row],[Total Value]]/Table4[[#This Row],[Total Volume]]</f>
        <v>4.6271598104663428E-2</v>
      </c>
      <c r="L68" s="173">
        <f>IFERROR((Table4[[#This Row],[2023]]-Table4[[#This Row],[2022]])/Table4[[#This Row],[2022]],0)</f>
        <v>-0.30876361913784933</v>
      </c>
      <c r="M68" s="173">
        <f>IFERROR(((Table4[[#This Row],[Volume 2023]]-Table4[[#This Row],[Volume 2022]])/Table4[[#This Row],[Volume 2022]]),0)</f>
        <v>-0.22748576756968983</v>
      </c>
    </row>
    <row r="69" spans="2:13" hidden="1" x14ac:dyDescent="0.25">
      <c r="B69" s="121" t="s">
        <v>807</v>
      </c>
      <c r="C69" s="111">
        <v>5.2523</v>
      </c>
      <c r="D69" s="112">
        <v>0</v>
      </c>
      <c r="E69" s="113">
        <v>0</v>
      </c>
      <c r="F69" s="114">
        <v>269.2595</v>
      </c>
      <c r="G69" s="113">
        <v>0</v>
      </c>
      <c r="H69" s="113">
        <v>0</v>
      </c>
      <c r="I69" s="151">
        <f>SUM(Table4[[#This Row],[Volume 2022]:[Volume 2024]])</f>
        <v>269.2595</v>
      </c>
      <c r="J69" s="120">
        <v>5.2523</v>
      </c>
      <c r="K69" s="173">
        <f>Table4[[#This Row],[Total Value]]/Table4[[#This Row],[Total Volume]]</f>
        <v>1.9506461239064916E-2</v>
      </c>
      <c r="L69" s="173">
        <f>IFERROR((Table4[[#This Row],[2023]]-Table4[[#This Row],[2022]])/Table4[[#This Row],[2022]],0)</f>
        <v>-1</v>
      </c>
      <c r="M69" s="173">
        <f>IFERROR(((Table4[[#This Row],[Volume 2023]]-Table4[[#This Row],[Volume 2022]])/Table4[[#This Row],[Volume 2022]]),0)</f>
        <v>-1</v>
      </c>
    </row>
    <row r="70" spans="2:13" hidden="1" x14ac:dyDescent="0.25">
      <c r="B70" s="121" t="s">
        <v>719</v>
      </c>
      <c r="C70" s="111">
        <v>1.5390999999999999</v>
      </c>
      <c r="D70" s="112">
        <v>2.0581</v>
      </c>
      <c r="E70" s="113">
        <v>0.68220000000000003</v>
      </c>
      <c r="F70" s="114">
        <v>71.357399999999998</v>
      </c>
      <c r="G70" s="113">
        <v>96.8429</v>
      </c>
      <c r="H70" s="113">
        <v>27.710899999999999</v>
      </c>
      <c r="I70" s="151">
        <f>SUM(Table4[[#This Row],[Volume 2022]:[Volume 2024]])</f>
        <v>195.91120000000001</v>
      </c>
      <c r="J70" s="120">
        <v>4.2793999999999999</v>
      </c>
      <c r="K70" s="173">
        <f>Table4[[#This Row],[Total Value]]/Table4[[#This Row],[Total Volume]]</f>
        <v>2.1843569943933782E-2</v>
      </c>
      <c r="L70" s="173">
        <f>IFERROR((Table4[[#This Row],[2023]]-Table4[[#This Row],[2022]])/Table4[[#This Row],[2022]],0)</f>
        <v>0.33721005782600233</v>
      </c>
      <c r="M70" s="173">
        <f>IFERROR(((Table4[[#This Row],[Volume 2023]]-Table4[[#This Row],[Volume 2022]])/Table4[[#This Row],[Volume 2022]]),0)</f>
        <v>0.35715286711679523</v>
      </c>
    </row>
    <row r="71" spans="2:13" hidden="1" x14ac:dyDescent="0.25">
      <c r="B71" s="121" t="s">
        <v>809</v>
      </c>
      <c r="C71" s="111">
        <v>0</v>
      </c>
      <c r="D71" s="112">
        <v>0</v>
      </c>
      <c r="E71" s="113">
        <v>3.1633</v>
      </c>
      <c r="F71" s="114">
        <v>0</v>
      </c>
      <c r="G71" s="113">
        <v>0</v>
      </c>
      <c r="H71" s="113">
        <v>171.71680000000001</v>
      </c>
      <c r="I71" s="151">
        <f>SUM(Table4[[#This Row],[Volume 2022]:[Volume 2024]])</f>
        <v>171.71680000000001</v>
      </c>
      <c r="J71" s="120">
        <v>3.1633</v>
      </c>
      <c r="K71" s="173">
        <f>Table4[[#This Row],[Total Value]]/Table4[[#This Row],[Total Volume]]</f>
        <v>1.8421610465603831E-2</v>
      </c>
      <c r="L71" s="173">
        <f>IFERROR((Table4[[#This Row],[2023]]-Table4[[#This Row],[2022]])/Table4[[#This Row],[2022]],0)</f>
        <v>0</v>
      </c>
      <c r="M71" s="173">
        <f>IFERROR(((Table4[[#This Row],[Volume 2023]]-Table4[[#This Row],[Volume 2022]])/Table4[[#This Row],[Volume 2022]]),0)</f>
        <v>0</v>
      </c>
    </row>
    <row r="72" spans="2:13" hidden="1" x14ac:dyDescent="0.25">
      <c r="B72" s="121" t="s">
        <v>787</v>
      </c>
      <c r="C72" s="111">
        <v>1.4567000000000001</v>
      </c>
      <c r="D72" s="112">
        <v>0.9708</v>
      </c>
      <c r="E72" s="113">
        <v>0.44130000000000003</v>
      </c>
      <c r="F72" s="114">
        <v>8.1128999999999998</v>
      </c>
      <c r="G72" s="113">
        <v>4.8048999999999999</v>
      </c>
      <c r="H72" s="113">
        <v>2.4375</v>
      </c>
      <c r="I72" s="151">
        <f>SUM(Table4[[#This Row],[Volume 2022]:[Volume 2024]])</f>
        <v>15.3553</v>
      </c>
      <c r="J72" s="120">
        <v>2.8688000000000002</v>
      </c>
      <c r="K72" s="173">
        <f>Table4[[#This Row],[Total Value]]/Table4[[#This Row],[Total Volume]]</f>
        <v>0.18682800075543951</v>
      </c>
      <c r="L72" s="173">
        <f>IFERROR((Table4[[#This Row],[2023]]-Table4[[#This Row],[2022]])/Table4[[#This Row],[2022]],0)</f>
        <v>-0.33356216104894632</v>
      </c>
      <c r="M72" s="173">
        <f>IFERROR(((Table4[[#This Row],[Volume 2023]]-Table4[[#This Row],[Volume 2022]])/Table4[[#This Row],[Volume 2022]]),0)</f>
        <v>-0.40774568896448865</v>
      </c>
    </row>
    <row r="73" spans="2:13" hidden="1" x14ac:dyDescent="0.25">
      <c r="B73" s="121" t="s">
        <v>801</v>
      </c>
      <c r="C73" s="111">
        <v>0.97350000000000003</v>
      </c>
      <c r="D73" s="112">
        <v>1.3669</v>
      </c>
      <c r="E73" s="113">
        <v>0.25619999999999998</v>
      </c>
      <c r="F73" s="114">
        <v>4.9279999999999999</v>
      </c>
      <c r="G73" s="113">
        <v>7.3564999999999996</v>
      </c>
      <c r="H73" s="113">
        <v>1.4279999999999999</v>
      </c>
      <c r="I73" s="151">
        <f>SUM(Table4[[#This Row],[Volume 2022]:[Volume 2024]])</f>
        <v>13.712499999999999</v>
      </c>
      <c r="J73" s="120">
        <v>2.5965999999999996</v>
      </c>
      <c r="K73" s="173">
        <f>Table4[[#This Row],[Total Value]]/Table4[[#This Row],[Total Volume]]</f>
        <v>0.18936007292616225</v>
      </c>
      <c r="L73" s="173">
        <f>IFERROR((Table4[[#This Row],[2023]]-Table4[[#This Row],[2022]])/Table4[[#This Row],[2022]],0)</f>
        <v>0.4041088854648176</v>
      </c>
      <c r="M73" s="173">
        <f>IFERROR(((Table4[[#This Row],[Volume 2023]]-Table4[[#This Row],[Volume 2022]])/Table4[[#This Row],[Volume 2022]]),0)</f>
        <v>0.49279626623376616</v>
      </c>
    </row>
    <row r="74" spans="2:13" hidden="1" x14ac:dyDescent="0.25">
      <c r="B74" s="143" t="s">
        <v>712</v>
      </c>
      <c r="C74" s="145">
        <v>1.9350000000000001</v>
      </c>
      <c r="D74" s="146">
        <v>0.624</v>
      </c>
      <c r="E74" s="148">
        <v>0</v>
      </c>
      <c r="F74" s="150">
        <v>24.822900000000001</v>
      </c>
      <c r="G74" s="148">
        <v>9.4085999999999999</v>
      </c>
      <c r="H74" s="148">
        <v>0</v>
      </c>
      <c r="I74" s="152">
        <f>SUM(Table4[[#This Row],[Volume 2022]:[Volume 2024]])</f>
        <v>34.231499999999997</v>
      </c>
      <c r="J74" s="122">
        <v>2.5590000000000002</v>
      </c>
      <c r="K74" s="173">
        <f>Table4[[#This Row],[Total Value]]/Table4[[#This Row],[Total Volume]]</f>
        <v>7.4755707462424964E-2</v>
      </c>
      <c r="L74" s="173">
        <f>IFERROR((Table4[[#This Row],[2023]]-Table4[[#This Row],[2022]])/Table4[[#This Row],[2022]],0)</f>
        <v>-0.67751937984496124</v>
      </c>
      <c r="M74" s="173">
        <f>IFERROR(((Table4[[#This Row],[Volume 2023]]-Table4[[#This Row],[Volume 2022]])/Table4[[#This Row],[Volume 2022]]),0)</f>
        <v>-0.62097095826837312</v>
      </c>
    </row>
    <row r="75" spans="2:13" hidden="1" x14ac:dyDescent="0.25">
      <c r="B75" s="121" t="s">
        <v>786</v>
      </c>
      <c r="C75" s="111">
        <v>2.1507000000000001</v>
      </c>
      <c r="D75" s="112">
        <v>0.15629999999999999</v>
      </c>
      <c r="E75" s="113">
        <v>5.8099999999999999E-2</v>
      </c>
      <c r="F75" s="114">
        <v>55.849800000000002</v>
      </c>
      <c r="G75" s="113">
        <v>3.1030000000000002</v>
      </c>
      <c r="H75" s="113">
        <v>1.1613</v>
      </c>
      <c r="I75" s="151">
        <f>SUM(Table4[[#This Row],[Volume 2022]:[Volume 2024]])</f>
        <v>60.114100000000001</v>
      </c>
      <c r="J75" s="120">
        <v>2.3651</v>
      </c>
      <c r="K75" s="173">
        <f>Table4[[#This Row],[Total Value]]/Table4[[#This Row],[Total Volume]]</f>
        <v>3.9343515082152107E-2</v>
      </c>
      <c r="L75" s="173">
        <f>IFERROR((Table4[[#This Row],[2023]]-Table4[[#This Row],[2022]])/Table4[[#This Row],[2022]],0)</f>
        <v>-0.92732598688799006</v>
      </c>
      <c r="M75" s="173">
        <f>IFERROR(((Table4[[#This Row],[Volume 2023]]-Table4[[#This Row],[Volume 2022]])/Table4[[#This Row],[Volume 2022]]),0)</f>
        <v>-0.94444026657212732</v>
      </c>
    </row>
    <row r="76" spans="2:13" hidden="1" x14ac:dyDescent="0.25">
      <c r="B76" s="121" t="s">
        <v>726</v>
      </c>
      <c r="C76" s="111">
        <v>0.22359999999999999</v>
      </c>
      <c r="D76" s="112">
        <v>1.0136000000000001</v>
      </c>
      <c r="E76" s="113">
        <v>1.0572999999999999</v>
      </c>
      <c r="F76" s="114">
        <v>12.2155</v>
      </c>
      <c r="G76" s="113">
        <v>49.151600000000002</v>
      </c>
      <c r="H76" s="113">
        <v>44.717399999999998</v>
      </c>
      <c r="I76" s="151">
        <f>SUM(Table4[[#This Row],[Volume 2022]:[Volume 2024]])</f>
        <v>106.08449999999999</v>
      </c>
      <c r="J76" s="120">
        <v>2.2945000000000002</v>
      </c>
      <c r="K76" s="173">
        <f>Table4[[#This Row],[Total Value]]/Table4[[#This Row],[Total Volume]]</f>
        <v>2.1628984441647934E-2</v>
      </c>
      <c r="L76" s="173">
        <f>IFERROR((Table4[[#This Row],[2023]]-Table4[[#This Row],[2022]])/Table4[[#This Row],[2022]],0)</f>
        <v>3.5330948121645798</v>
      </c>
      <c r="M76" s="173">
        <f>IFERROR(((Table4[[#This Row],[Volume 2023]]-Table4[[#This Row],[Volume 2022]])/Table4[[#This Row],[Volume 2022]]),0)</f>
        <v>3.0237075846260901</v>
      </c>
    </row>
    <row r="77" spans="2:13" hidden="1" x14ac:dyDescent="0.25">
      <c r="B77" s="121" t="s">
        <v>728</v>
      </c>
      <c r="C77" s="111">
        <v>0.52039999999999997</v>
      </c>
      <c r="D77" s="112">
        <v>1.6072</v>
      </c>
      <c r="E77" s="113">
        <v>0.16420000000000001</v>
      </c>
      <c r="F77" s="114">
        <v>10.5198</v>
      </c>
      <c r="G77" s="113">
        <v>34.4998</v>
      </c>
      <c r="H77" s="113">
        <v>3.1461000000000001</v>
      </c>
      <c r="I77" s="151">
        <f>SUM(Table4[[#This Row],[Volume 2022]:[Volume 2024]])</f>
        <v>48.165699999999994</v>
      </c>
      <c r="J77" s="120">
        <v>2.2918000000000003</v>
      </c>
      <c r="K77" s="173">
        <f>Table4[[#This Row],[Total Value]]/Table4[[#This Row],[Total Volume]]</f>
        <v>4.7581577761768239E-2</v>
      </c>
      <c r="L77" s="173">
        <f>IFERROR((Table4[[#This Row],[2023]]-Table4[[#This Row],[2022]])/Table4[[#This Row],[2022]],0)</f>
        <v>2.0883935434281322</v>
      </c>
      <c r="M77" s="173">
        <f>IFERROR(((Table4[[#This Row],[Volume 2023]]-Table4[[#This Row],[Volume 2022]])/Table4[[#This Row],[Volume 2022]]),0)</f>
        <v>2.2795110173197211</v>
      </c>
    </row>
    <row r="78" spans="2:13" hidden="1" x14ac:dyDescent="0.25">
      <c r="B78" s="121" t="s">
        <v>813</v>
      </c>
      <c r="C78" s="111">
        <v>2.0785999999999998</v>
      </c>
      <c r="D78" s="112">
        <v>7.1199999999999999E-2</v>
      </c>
      <c r="E78" s="113">
        <v>0</v>
      </c>
      <c r="F78" s="114">
        <v>104.04649999999999</v>
      </c>
      <c r="G78" s="113">
        <v>3.8216000000000001</v>
      </c>
      <c r="H78" s="113">
        <v>0</v>
      </c>
      <c r="I78" s="151">
        <f>SUM(Table4[[#This Row],[Volume 2022]:[Volume 2024]])</f>
        <v>107.8681</v>
      </c>
      <c r="J78" s="120">
        <v>2.1497999999999999</v>
      </c>
      <c r="K78" s="173">
        <f>Table4[[#This Row],[Total Value]]/Table4[[#This Row],[Total Volume]]</f>
        <v>1.992989586355929E-2</v>
      </c>
      <c r="L78" s="173">
        <f>IFERROR((Table4[[#This Row],[2023]]-Table4[[#This Row],[2022]])/Table4[[#This Row],[2022]],0)</f>
        <v>-0.96574617531030493</v>
      </c>
      <c r="M78" s="173">
        <f>IFERROR(((Table4[[#This Row],[Volume 2023]]-Table4[[#This Row],[Volume 2022]])/Table4[[#This Row],[Volume 2022]]),0)</f>
        <v>-0.96327026858183595</v>
      </c>
    </row>
    <row r="79" spans="2:13" hidden="1" x14ac:dyDescent="0.25">
      <c r="B79" s="121" t="s">
        <v>812</v>
      </c>
      <c r="C79" s="111">
        <v>0</v>
      </c>
      <c r="D79" s="112">
        <v>0</v>
      </c>
      <c r="E79" s="113">
        <v>1.9407000000000001</v>
      </c>
      <c r="F79" s="114">
        <v>0</v>
      </c>
      <c r="G79" s="113">
        <v>0</v>
      </c>
      <c r="H79" s="113">
        <v>110.1146</v>
      </c>
      <c r="I79" s="151">
        <f>SUM(Table4[[#This Row],[Volume 2022]:[Volume 2024]])</f>
        <v>110.1146</v>
      </c>
      <c r="J79" s="120">
        <v>1.9407000000000001</v>
      </c>
      <c r="K79" s="173">
        <f>Table4[[#This Row],[Total Value]]/Table4[[#This Row],[Total Volume]]</f>
        <v>1.7624365887902241E-2</v>
      </c>
      <c r="L79" s="173">
        <f>IFERROR((Table4[[#This Row],[2023]]-Table4[[#This Row],[2022]])/Table4[[#This Row],[2022]],0)</f>
        <v>0</v>
      </c>
      <c r="M79" s="173">
        <f>IFERROR(((Table4[[#This Row],[Volume 2023]]-Table4[[#This Row],[Volume 2022]])/Table4[[#This Row],[Volume 2022]]),0)</f>
        <v>0</v>
      </c>
    </row>
    <row r="80" spans="2:13" hidden="1" x14ac:dyDescent="0.25">
      <c r="B80" s="121" t="s">
        <v>760</v>
      </c>
      <c r="C80" s="111">
        <v>0.33289999999999997</v>
      </c>
      <c r="D80" s="112">
        <v>2.7199999999999998E-2</v>
      </c>
      <c r="E80" s="113">
        <v>1.4402999999999999</v>
      </c>
      <c r="F80" s="114">
        <v>16.585699999999999</v>
      </c>
      <c r="G80" s="113">
        <v>2.2242999999999999</v>
      </c>
      <c r="H80" s="113">
        <v>35.560600000000001</v>
      </c>
      <c r="I80" s="151">
        <f>SUM(Table4[[#This Row],[Volume 2022]:[Volume 2024]])</f>
        <v>54.370599999999996</v>
      </c>
      <c r="J80" s="120">
        <v>1.8003999999999998</v>
      </c>
      <c r="K80" s="173">
        <f>Table4[[#This Row],[Total Value]]/Table4[[#This Row],[Total Volume]]</f>
        <v>3.3113484125611999E-2</v>
      </c>
      <c r="L80" s="173">
        <f>IFERROR((Table4[[#This Row],[2023]]-Table4[[#This Row],[2022]])/Table4[[#This Row],[2022]],0)</f>
        <v>-0.91829378191649147</v>
      </c>
      <c r="M80" s="173">
        <f>IFERROR(((Table4[[#This Row],[Volume 2023]]-Table4[[#This Row],[Volume 2022]])/Table4[[#This Row],[Volume 2022]]),0)</f>
        <v>-0.86589049602971235</v>
      </c>
    </row>
    <row r="81" spans="2:13" hidden="1" x14ac:dyDescent="0.25">
      <c r="B81" s="121" t="s">
        <v>783</v>
      </c>
      <c r="C81" s="111">
        <v>0</v>
      </c>
      <c r="D81" s="112">
        <v>0.79349999999999998</v>
      </c>
      <c r="E81" s="113">
        <v>0.7298</v>
      </c>
      <c r="F81" s="114">
        <v>0</v>
      </c>
      <c r="G81" s="113">
        <v>47.268799999999999</v>
      </c>
      <c r="H81" s="113">
        <v>43.602699999999999</v>
      </c>
      <c r="I81" s="151">
        <f>SUM(Table4[[#This Row],[Volume 2022]:[Volume 2024]])</f>
        <v>90.871499999999997</v>
      </c>
      <c r="J81" s="120">
        <v>1.5232999999999999</v>
      </c>
      <c r="K81" s="173">
        <f>Table4[[#This Row],[Total Value]]/Table4[[#This Row],[Total Volume]]</f>
        <v>1.6763231596265055E-2</v>
      </c>
      <c r="L81" s="173">
        <f>IFERROR((Table4[[#This Row],[2023]]-Table4[[#This Row],[2022]])/Table4[[#This Row],[2022]],0)</f>
        <v>0</v>
      </c>
      <c r="M81" s="173">
        <f>IFERROR(((Table4[[#This Row],[Volume 2023]]-Table4[[#This Row],[Volume 2022]])/Table4[[#This Row],[Volume 2022]]),0)</f>
        <v>0</v>
      </c>
    </row>
    <row r="82" spans="2:13" hidden="1" x14ac:dyDescent="0.25">
      <c r="B82" s="121" t="s">
        <v>768</v>
      </c>
      <c r="C82" s="111">
        <v>0.17230000000000001</v>
      </c>
      <c r="D82" s="112">
        <v>0.63319999999999999</v>
      </c>
      <c r="E82" s="113">
        <v>0.15670000000000001</v>
      </c>
      <c r="F82" s="114">
        <v>7.7868000000000004</v>
      </c>
      <c r="G82" s="113">
        <v>27.705500000000001</v>
      </c>
      <c r="H82" s="113">
        <v>6.8449999999999998</v>
      </c>
      <c r="I82" s="151">
        <f>SUM(Table4[[#This Row],[Volume 2022]:[Volume 2024]])</f>
        <v>42.337299999999999</v>
      </c>
      <c r="J82" s="120">
        <v>0.96219999999999994</v>
      </c>
      <c r="K82" s="173">
        <f>Table4[[#This Row],[Total Value]]/Table4[[#This Row],[Total Volume]]</f>
        <v>2.2727004320067648E-2</v>
      </c>
      <c r="L82" s="173">
        <f>IFERROR((Table4[[#This Row],[2023]]-Table4[[#This Row],[2022]])/Table4[[#This Row],[2022]],0)</f>
        <v>2.6749854904236794</v>
      </c>
      <c r="M82" s="173">
        <f>IFERROR(((Table4[[#This Row],[Volume 2023]]-Table4[[#This Row],[Volume 2022]])/Table4[[#This Row],[Volume 2022]]),0)</f>
        <v>2.5580084245132788</v>
      </c>
    </row>
    <row r="83" spans="2:13" hidden="1" x14ac:dyDescent="0.25">
      <c r="B83" s="121" t="s">
        <v>717</v>
      </c>
      <c r="C83" s="111">
        <v>0.70520000000000005</v>
      </c>
      <c r="D83" s="112">
        <v>0</v>
      </c>
      <c r="E83" s="113">
        <v>0</v>
      </c>
      <c r="F83" s="114">
        <v>47.325299999999999</v>
      </c>
      <c r="G83" s="113">
        <v>0</v>
      </c>
      <c r="H83" s="113">
        <v>0</v>
      </c>
      <c r="I83" s="151">
        <f>SUM(Table4[[#This Row],[Volume 2022]:[Volume 2024]])</f>
        <v>47.325299999999999</v>
      </c>
      <c r="J83" s="120">
        <v>0.70520000000000005</v>
      </c>
      <c r="K83" s="173">
        <f>Table4[[#This Row],[Total Value]]/Table4[[#This Row],[Total Volume]]</f>
        <v>1.4901120542289221E-2</v>
      </c>
      <c r="L83" s="173">
        <f>IFERROR((Table4[[#This Row],[2023]]-Table4[[#This Row],[2022]])/Table4[[#This Row],[2022]],0)</f>
        <v>-1</v>
      </c>
      <c r="M83" s="173">
        <f>IFERROR(((Table4[[#This Row],[Volume 2023]]-Table4[[#This Row],[Volume 2022]])/Table4[[#This Row],[Volume 2022]]),0)</f>
        <v>-1</v>
      </c>
    </row>
    <row r="84" spans="2:13" hidden="1" x14ac:dyDescent="0.25">
      <c r="B84" s="121" t="s">
        <v>755</v>
      </c>
      <c r="C84" s="111">
        <v>0</v>
      </c>
      <c r="D84" s="112">
        <v>0.44869999999999999</v>
      </c>
      <c r="E84" s="113">
        <v>0.1852</v>
      </c>
      <c r="F84" s="114">
        <v>0</v>
      </c>
      <c r="G84" s="113">
        <v>7.1882999999999999</v>
      </c>
      <c r="H84" s="113">
        <v>2.9676999999999998</v>
      </c>
      <c r="I84" s="151">
        <f>SUM(Table4[[#This Row],[Volume 2022]:[Volume 2024]])</f>
        <v>10.155999999999999</v>
      </c>
      <c r="J84" s="120">
        <v>0.63390000000000002</v>
      </c>
      <c r="K84" s="173">
        <f>Table4[[#This Row],[Total Value]]/Table4[[#This Row],[Total Volume]]</f>
        <v>6.2416305632138645E-2</v>
      </c>
      <c r="L84" s="173">
        <f>IFERROR((Table4[[#This Row],[2023]]-Table4[[#This Row],[2022]])/Table4[[#This Row],[2022]],0)</f>
        <v>0</v>
      </c>
      <c r="M84" s="173">
        <f>IFERROR(((Table4[[#This Row],[Volume 2023]]-Table4[[#This Row],[Volume 2022]])/Table4[[#This Row],[Volume 2022]]),0)</f>
        <v>0</v>
      </c>
    </row>
    <row r="85" spans="2:13" hidden="1" x14ac:dyDescent="0.25">
      <c r="B85" s="121" t="s">
        <v>789</v>
      </c>
      <c r="C85" s="111">
        <v>0</v>
      </c>
      <c r="D85" s="112">
        <v>0</v>
      </c>
      <c r="E85" s="113">
        <v>0.624</v>
      </c>
      <c r="F85" s="114">
        <v>0</v>
      </c>
      <c r="G85" s="113">
        <v>0</v>
      </c>
      <c r="H85" s="113">
        <v>34.035699999999999</v>
      </c>
      <c r="I85" s="151">
        <f>SUM(Table4[[#This Row],[Volume 2022]:[Volume 2024]])</f>
        <v>34.035699999999999</v>
      </c>
      <c r="J85" s="120">
        <v>0.624</v>
      </c>
      <c r="K85" s="173">
        <f>Table4[[#This Row],[Total Value]]/Table4[[#This Row],[Total Volume]]</f>
        <v>1.8333690801129402E-2</v>
      </c>
      <c r="L85" s="173">
        <f>IFERROR((Table4[[#This Row],[2023]]-Table4[[#This Row],[2022]])/Table4[[#This Row],[2022]],0)</f>
        <v>0</v>
      </c>
      <c r="M85" s="173">
        <f>IFERROR(((Table4[[#This Row],[Volume 2023]]-Table4[[#This Row],[Volume 2022]])/Table4[[#This Row],[Volume 2022]]),0)</f>
        <v>0</v>
      </c>
    </row>
    <row r="86" spans="2:13" hidden="1" x14ac:dyDescent="0.25">
      <c r="B86" s="121" t="s">
        <v>806</v>
      </c>
      <c r="C86" s="111">
        <v>0.1459</v>
      </c>
      <c r="D86" s="112">
        <v>0.29930000000000001</v>
      </c>
      <c r="E86" s="113">
        <v>5.04E-2</v>
      </c>
      <c r="F86" s="114">
        <v>2.8885999999999998</v>
      </c>
      <c r="G86" s="113">
        <v>6.5743</v>
      </c>
      <c r="H86" s="113">
        <v>1.1331</v>
      </c>
      <c r="I86" s="151">
        <f>SUM(Table4[[#This Row],[Volume 2022]:[Volume 2024]])</f>
        <v>10.596</v>
      </c>
      <c r="J86" s="120">
        <v>0.49560000000000004</v>
      </c>
      <c r="K86" s="173">
        <f>Table4[[#This Row],[Total Value]]/Table4[[#This Row],[Total Volume]]</f>
        <v>4.6772366930917332E-2</v>
      </c>
      <c r="L86" s="173">
        <f>IFERROR((Table4[[#This Row],[2023]]-Table4[[#This Row],[2022]])/Table4[[#This Row],[2022]],0)</f>
        <v>1.0514050719671009</v>
      </c>
      <c r="M86" s="173">
        <f>IFERROR(((Table4[[#This Row],[Volume 2023]]-Table4[[#This Row],[Volume 2022]])/Table4[[#This Row],[Volume 2022]]),0)</f>
        <v>1.2759468254517761</v>
      </c>
    </row>
    <row r="87" spans="2:13" hidden="1" x14ac:dyDescent="0.25">
      <c r="B87" s="121" t="s">
        <v>784</v>
      </c>
      <c r="C87" s="111">
        <v>0.36020000000000002</v>
      </c>
      <c r="D87" s="112">
        <v>5.21E-2</v>
      </c>
      <c r="E87" s="113">
        <v>9.4000000000000004E-3</v>
      </c>
      <c r="F87" s="114">
        <v>19.065100000000001</v>
      </c>
      <c r="G87" s="113">
        <v>2.6206</v>
      </c>
      <c r="H87" s="113">
        <v>0.48</v>
      </c>
      <c r="I87" s="151">
        <f>SUM(Table4[[#This Row],[Volume 2022]:[Volume 2024]])</f>
        <v>22.165700000000001</v>
      </c>
      <c r="J87" s="120">
        <v>0.42170000000000002</v>
      </c>
      <c r="K87" s="173">
        <f>Table4[[#This Row],[Total Value]]/Table4[[#This Row],[Total Volume]]</f>
        <v>1.9024889807224676E-2</v>
      </c>
      <c r="L87" s="173">
        <f>IFERROR((Table4[[#This Row],[2023]]-Table4[[#This Row],[2022]])/Table4[[#This Row],[2022]],0)</f>
        <v>-0.85535813436979458</v>
      </c>
      <c r="M87" s="173">
        <f>IFERROR(((Table4[[#This Row],[Volume 2023]]-Table4[[#This Row],[Volume 2022]])/Table4[[#This Row],[Volume 2022]]),0)</f>
        <v>-0.86254464964778577</v>
      </c>
    </row>
    <row r="88" spans="2:13" hidden="1" x14ac:dyDescent="0.25">
      <c r="B88" s="121" t="s">
        <v>780</v>
      </c>
      <c r="C88" s="111">
        <v>6.0000000000000001E-3</v>
      </c>
      <c r="D88" s="112">
        <v>0.35439999999999999</v>
      </c>
      <c r="E88" s="113">
        <v>0</v>
      </c>
      <c r="F88" s="114">
        <v>0.33839999999999998</v>
      </c>
      <c r="G88" s="113">
        <v>16.541699999999999</v>
      </c>
      <c r="H88" s="113">
        <v>0</v>
      </c>
      <c r="I88" s="151">
        <f>SUM(Table4[[#This Row],[Volume 2022]:[Volume 2024]])</f>
        <v>16.880099999999999</v>
      </c>
      <c r="J88" s="120">
        <v>0.3604</v>
      </c>
      <c r="K88" s="173">
        <f>Table4[[#This Row],[Total Value]]/Table4[[#This Row],[Total Volume]]</f>
        <v>2.1350584415969102E-2</v>
      </c>
      <c r="L88" s="173">
        <f>IFERROR((Table4[[#This Row],[2023]]-Table4[[#This Row],[2022]])/Table4[[#This Row],[2022]],0)</f>
        <v>58.066666666666663</v>
      </c>
      <c r="M88" s="173">
        <f>IFERROR(((Table4[[#This Row],[Volume 2023]]-Table4[[#This Row],[Volume 2022]])/Table4[[#This Row],[Volume 2022]]),0)</f>
        <v>47.88209219858156</v>
      </c>
    </row>
    <row r="89" spans="2:13" hidden="1" x14ac:dyDescent="0.25">
      <c r="B89" s="121" t="s">
        <v>776</v>
      </c>
      <c r="C89" s="111">
        <v>0.31290000000000001</v>
      </c>
      <c r="D89" s="112">
        <v>4.0300000000000002E-2</v>
      </c>
      <c r="E89" s="113">
        <v>0</v>
      </c>
      <c r="F89" s="114">
        <v>2.3519999999999999</v>
      </c>
      <c r="G89" s="113">
        <v>0.30399999999999999</v>
      </c>
      <c r="H89" s="113">
        <v>0</v>
      </c>
      <c r="I89" s="151">
        <f>SUM(Table4[[#This Row],[Volume 2022]:[Volume 2024]])</f>
        <v>2.6559999999999997</v>
      </c>
      <c r="J89" s="120">
        <v>0.35320000000000001</v>
      </c>
      <c r="K89" s="173">
        <f>Table4[[#This Row],[Total Value]]/Table4[[#This Row],[Total Volume]]</f>
        <v>0.13298192771084338</v>
      </c>
      <c r="L89" s="173">
        <f>IFERROR((Table4[[#This Row],[2023]]-Table4[[#This Row],[2022]])/Table4[[#This Row],[2022]],0)</f>
        <v>-0.87120485778203893</v>
      </c>
      <c r="M89" s="173">
        <f>IFERROR(((Table4[[#This Row],[Volume 2023]]-Table4[[#This Row],[Volume 2022]])/Table4[[#This Row],[Volume 2022]]),0)</f>
        <v>-0.87074829931972797</v>
      </c>
    </row>
    <row r="90" spans="2:13" hidden="1" x14ac:dyDescent="0.25">
      <c r="B90" s="121" t="s">
        <v>753</v>
      </c>
      <c r="C90" s="111">
        <v>6.6299999999999998E-2</v>
      </c>
      <c r="D90" s="112">
        <v>0.12959999999999999</v>
      </c>
      <c r="E90" s="113">
        <v>7.1499999999999994E-2</v>
      </c>
      <c r="F90" s="114">
        <v>0.504</v>
      </c>
      <c r="G90" s="113">
        <v>0.91539999999999999</v>
      </c>
      <c r="H90" s="113">
        <v>0.52459999999999996</v>
      </c>
      <c r="I90" s="151">
        <f>SUM(Table4[[#This Row],[Volume 2022]:[Volume 2024]])</f>
        <v>1.944</v>
      </c>
      <c r="J90" s="120">
        <v>0.26739999999999997</v>
      </c>
      <c r="K90" s="173">
        <f>Table4[[#This Row],[Total Value]]/Table4[[#This Row],[Total Volume]]</f>
        <v>0.13755144032921809</v>
      </c>
      <c r="L90" s="173">
        <f>IFERROR((Table4[[#This Row],[2023]]-Table4[[#This Row],[2022]])/Table4[[#This Row],[2022]],0)</f>
        <v>0.9547511312217194</v>
      </c>
      <c r="M90" s="173">
        <f>IFERROR(((Table4[[#This Row],[Volume 2023]]-Table4[[#This Row],[Volume 2022]])/Table4[[#This Row],[Volume 2022]]),0)</f>
        <v>0.81626984126984126</v>
      </c>
    </row>
    <row r="91" spans="2:13" hidden="1" x14ac:dyDescent="0.25">
      <c r="B91" s="121" t="s">
        <v>740</v>
      </c>
      <c r="C91" s="111">
        <v>0.24010000000000001</v>
      </c>
      <c r="D91" s="112">
        <v>0</v>
      </c>
      <c r="E91" s="113">
        <v>0</v>
      </c>
      <c r="F91" s="114">
        <v>10.8056</v>
      </c>
      <c r="G91" s="113">
        <v>0</v>
      </c>
      <c r="H91" s="113">
        <v>0</v>
      </c>
      <c r="I91" s="151">
        <f>SUM(Table4[[#This Row],[Volume 2022]:[Volume 2024]])</f>
        <v>10.8056</v>
      </c>
      <c r="J91" s="120">
        <v>0.24010000000000001</v>
      </c>
      <c r="K91" s="173">
        <f>Table4[[#This Row],[Total Value]]/Table4[[#This Row],[Total Volume]]</f>
        <v>2.2219960020729991E-2</v>
      </c>
      <c r="L91" s="173">
        <f>IFERROR((Table4[[#This Row],[2023]]-Table4[[#This Row],[2022]])/Table4[[#This Row],[2022]],0)</f>
        <v>-1</v>
      </c>
      <c r="M91" s="173">
        <f>IFERROR(((Table4[[#This Row],[Volume 2023]]-Table4[[#This Row],[Volume 2022]])/Table4[[#This Row],[Volume 2022]]),0)</f>
        <v>-1</v>
      </c>
    </row>
    <row r="92" spans="2:13" hidden="1" x14ac:dyDescent="0.25">
      <c r="B92" s="121" t="s">
        <v>779</v>
      </c>
      <c r="C92" s="111">
        <v>0.15809999999999999</v>
      </c>
      <c r="D92" s="112">
        <v>2E-3</v>
      </c>
      <c r="E92" s="113">
        <v>1E-3</v>
      </c>
      <c r="F92" s="114">
        <v>2.1</v>
      </c>
      <c r="G92" s="113">
        <v>0.02</v>
      </c>
      <c r="H92" s="113">
        <v>0.02</v>
      </c>
      <c r="I92" s="151">
        <f>SUM(Table4[[#This Row],[Volume 2022]:[Volume 2024]])</f>
        <v>2.14</v>
      </c>
      <c r="J92" s="120">
        <v>0.16109999999999999</v>
      </c>
      <c r="K92" s="173">
        <f>Table4[[#This Row],[Total Value]]/Table4[[#This Row],[Total Volume]]</f>
        <v>7.5280373831775688E-2</v>
      </c>
      <c r="L92" s="173">
        <f>IFERROR((Table4[[#This Row],[2023]]-Table4[[#This Row],[2022]])/Table4[[#This Row],[2022]],0)</f>
        <v>-0.98734977862112583</v>
      </c>
      <c r="M92" s="173">
        <f>IFERROR(((Table4[[#This Row],[Volume 2023]]-Table4[[#This Row],[Volume 2022]])/Table4[[#This Row],[Volume 2022]]),0)</f>
        <v>-0.99047619047619051</v>
      </c>
    </row>
    <row r="93" spans="2:13" hidden="1" x14ac:dyDescent="0.25">
      <c r="B93" s="121" t="s">
        <v>770</v>
      </c>
      <c r="C93" s="111">
        <v>0.13550000000000001</v>
      </c>
      <c r="D93" s="112">
        <v>0</v>
      </c>
      <c r="E93" s="113">
        <v>0</v>
      </c>
      <c r="F93" s="114">
        <v>3.2519</v>
      </c>
      <c r="G93" s="113">
        <v>0</v>
      </c>
      <c r="H93" s="113">
        <v>0</v>
      </c>
      <c r="I93" s="151">
        <f>SUM(Table4[[#This Row],[Volume 2022]:[Volume 2024]])</f>
        <v>3.2519</v>
      </c>
      <c r="J93" s="120">
        <v>0.13550000000000001</v>
      </c>
      <c r="K93" s="173">
        <f>Table4[[#This Row],[Total Value]]/Table4[[#This Row],[Total Volume]]</f>
        <v>4.1667947968879737E-2</v>
      </c>
      <c r="L93" s="173">
        <f>IFERROR((Table4[[#This Row],[2023]]-Table4[[#This Row],[2022]])/Table4[[#This Row],[2022]],0)</f>
        <v>-1</v>
      </c>
      <c r="M93" s="173">
        <f>IFERROR(((Table4[[#This Row],[Volume 2023]]-Table4[[#This Row],[Volume 2022]])/Table4[[#This Row],[Volume 2022]]),0)</f>
        <v>-1</v>
      </c>
    </row>
    <row r="94" spans="2:13" hidden="1" x14ac:dyDescent="0.25">
      <c r="B94" s="121" t="s">
        <v>734</v>
      </c>
      <c r="C94" s="111">
        <v>0</v>
      </c>
      <c r="D94" s="112">
        <v>0.1202</v>
      </c>
      <c r="E94" s="113">
        <v>0</v>
      </c>
      <c r="F94" s="114">
        <v>0</v>
      </c>
      <c r="G94" s="113">
        <v>2.4085999999999999</v>
      </c>
      <c r="H94" s="113">
        <v>0</v>
      </c>
      <c r="I94" s="151">
        <f>SUM(Table4[[#This Row],[Volume 2022]:[Volume 2024]])</f>
        <v>2.4085999999999999</v>
      </c>
      <c r="J94" s="120">
        <v>0.1202</v>
      </c>
      <c r="K94" s="173">
        <f>Table4[[#This Row],[Total Value]]/Table4[[#This Row],[Total Volume]]</f>
        <v>4.9904508843311469E-2</v>
      </c>
      <c r="L94" s="173">
        <f>IFERROR((Table4[[#This Row],[2023]]-Table4[[#This Row],[2022]])/Table4[[#This Row],[2022]],0)</f>
        <v>0</v>
      </c>
      <c r="M94" s="173">
        <f>IFERROR(((Table4[[#This Row],[Volume 2023]]-Table4[[#This Row],[Volume 2022]])/Table4[[#This Row],[Volume 2022]]),0)</f>
        <v>0</v>
      </c>
    </row>
    <row r="95" spans="2:13" hidden="1" x14ac:dyDescent="0.25">
      <c r="B95" s="121" t="s">
        <v>730</v>
      </c>
      <c r="C95" s="111">
        <v>0</v>
      </c>
      <c r="D95" s="112">
        <v>3.7900000000000003E-2</v>
      </c>
      <c r="E95" s="113">
        <v>6.93E-2</v>
      </c>
      <c r="F95" s="114">
        <v>0</v>
      </c>
      <c r="G95" s="113">
        <v>2.3294000000000001</v>
      </c>
      <c r="H95" s="113">
        <v>4.2670000000000003</v>
      </c>
      <c r="I95" s="151">
        <f>SUM(Table4[[#This Row],[Volume 2022]:[Volume 2024]])</f>
        <v>6.5964000000000009</v>
      </c>
      <c r="J95" s="120">
        <v>0.1072</v>
      </c>
      <c r="K95" s="173">
        <f>Table4[[#This Row],[Total Value]]/Table4[[#This Row],[Total Volume]]</f>
        <v>1.6251288581650595E-2</v>
      </c>
      <c r="L95" s="173">
        <f>IFERROR((Table4[[#This Row],[2023]]-Table4[[#This Row],[2022]])/Table4[[#This Row],[2022]],0)</f>
        <v>0</v>
      </c>
      <c r="M95" s="173">
        <f>IFERROR(((Table4[[#This Row],[Volume 2023]]-Table4[[#This Row],[Volume 2022]])/Table4[[#This Row],[Volume 2022]]),0)</f>
        <v>0</v>
      </c>
    </row>
    <row r="96" spans="2:13" hidden="1" x14ac:dyDescent="0.25">
      <c r="B96" s="121" t="s">
        <v>720</v>
      </c>
      <c r="C96" s="111">
        <v>4.4499999999999998E-2</v>
      </c>
      <c r="D96" s="112">
        <v>6.2E-2</v>
      </c>
      <c r="E96" s="113">
        <v>0</v>
      </c>
      <c r="F96" s="114">
        <v>0.36759999999999998</v>
      </c>
      <c r="G96" s="113">
        <v>0.48380000000000001</v>
      </c>
      <c r="H96" s="113">
        <v>0</v>
      </c>
      <c r="I96" s="151">
        <f>SUM(Table4[[#This Row],[Volume 2022]:[Volume 2024]])</f>
        <v>0.85139999999999993</v>
      </c>
      <c r="J96" s="120">
        <v>0.1065</v>
      </c>
      <c r="K96" s="173">
        <f>Table4[[#This Row],[Total Value]]/Table4[[#This Row],[Total Volume]]</f>
        <v>0.12508809020436928</v>
      </c>
      <c r="L96" s="173">
        <f>IFERROR((Table4[[#This Row],[2023]]-Table4[[#This Row],[2022]])/Table4[[#This Row],[2022]],0)</f>
        <v>0.39325842696629221</v>
      </c>
      <c r="M96" s="173">
        <f>IFERROR(((Table4[[#This Row],[Volume 2023]]-Table4[[#This Row],[Volume 2022]])/Table4[[#This Row],[Volume 2022]]),0)</f>
        <v>0.31610446137105558</v>
      </c>
    </row>
    <row r="97" spans="2:13" hidden="1" x14ac:dyDescent="0.25">
      <c r="B97" s="121" t="s">
        <v>782</v>
      </c>
      <c r="C97" s="111">
        <v>0</v>
      </c>
      <c r="D97" s="112">
        <v>0</v>
      </c>
      <c r="E97" s="113">
        <v>9.8000000000000004E-2</v>
      </c>
      <c r="F97" s="114">
        <v>0</v>
      </c>
      <c r="G97" s="113">
        <v>0</v>
      </c>
      <c r="H97" s="113">
        <v>3.3592</v>
      </c>
      <c r="I97" s="151">
        <f>SUM(Table4[[#This Row],[Volume 2022]:[Volume 2024]])</f>
        <v>3.3592</v>
      </c>
      <c r="J97" s="120">
        <v>9.8000000000000004E-2</v>
      </c>
      <c r="K97" s="173">
        <f>Table4[[#This Row],[Total Value]]/Table4[[#This Row],[Total Volume]]</f>
        <v>2.9173612764944037E-2</v>
      </c>
      <c r="L97" s="173">
        <f>IFERROR((Table4[[#This Row],[2023]]-Table4[[#This Row],[2022]])/Table4[[#This Row],[2022]],0)</f>
        <v>0</v>
      </c>
      <c r="M97" s="173">
        <f>IFERROR(((Table4[[#This Row],[Volume 2023]]-Table4[[#This Row],[Volume 2022]])/Table4[[#This Row],[Volume 2022]]),0)</f>
        <v>0</v>
      </c>
    </row>
    <row r="98" spans="2:13" hidden="1" x14ac:dyDescent="0.25">
      <c r="B98" s="121" t="s">
        <v>724</v>
      </c>
      <c r="C98" s="111">
        <v>0</v>
      </c>
      <c r="D98" s="112">
        <v>0</v>
      </c>
      <c r="E98" s="113">
        <v>5.57E-2</v>
      </c>
      <c r="F98" s="114">
        <v>0</v>
      </c>
      <c r="G98" s="113">
        <v>0</v>
      </c>
      <c r="H98" s="113">
        <v>1.7425999999999999</v>
      </c>
      <c r="I98" s="151">
        <f>SUM(Table4[[#This Row],[Volume 2022]:[Volume 2024]])</f>
        <v>1.7425999999999999</v>
      </c>
      <c r="J98" s="120">
        <v>5.57E-2</v>
      </c>
      <c r="K98" s="173">
        <f>Table4[[#This Row],[Total Value]]/Table4[[#This Row],[Total Volume]]</f>
        <v>3.1963732353953861E-2</v>
      </c>
      <c r="L98" s="173">
        <f>IFERROR((Table4[[#This Row],[2023]]-Table4[[#This Row],[2022]])/Table4[[#This Row],[2022]],0)</f>
        <v>0</v>
      </c>
      <c r="M98" s="173">
        <f>IFERROR(((Table4[[#This Row],[Volume 2023]]-Table4[[#This Row],[Volume 2022]])/Table4[[#This Row],[Volume 2022]]),0)</f>
        <v>0</v>
      </c>
    </row>
    <row r="99" spans="2:13" hidden="1" x14ac:dyDescent="0.25">
      <c r="B99" s="121" t="s">
        <v>759</v>
      </c>
      <c r="C99" s="111">
        <v>1.1900000000000001E-2</v>
      </c>
      <c r="D99" s="112">
        <v>0</v>
      </c>
      <c r="E99" s="113">
        <v>0</v>
      </c>
      <c r="F99" s="114">
        <v>0.14000000000000001</v>
      </c>
      <c r="G99" s="113">
        <v>0</v>
      </c>
      <c r="H99" s="113">
        <v>0</v>
      </c>
      <c r="I99" s="151">
        <f>SUM(Table4[[#This Row],[Volume 2022]:[Volume 2024]])</f>
        <v>0.14000000000000001</v>
      </c>
      <c r="J99" s="120">
        <v>1.1900000000000001E-2</v>
      </c>
      <c r="K99" s="173">
        <f>Table4[[#This Row],[Total Value]]/Table4[[#This Row],[Total Volume]]</f>
        <v>8.4999999999999992E-2</v>
      </c>
      <c r="L99" s="173">
        <f>IFERROR((Table4[[#This Row],[2023]]-Table4[[#This Row],[2022]])/Table4[[#This Row],[2022]],0)</f>
        <v>-1</v>
      </c>
      <c r="M99" s="173">
        <f>IFERROR(((Table4[[#This Row],[Volume 2023]]-Table4[[#This Row],[Volume 2022]])/Table4[[#This Row],[Volume 2022]]),0)</f>
        <v>-1</v>
      </c>
    </row>
    <row r="100" spans="2:13" hidden="1" x14ac:dyDescent="0.25">
      <c r="B100" s="121" t="s">
        <v>713</v>
      </c>
      <c r="C100" s="111">
        <v>1.09E-2</v>
      </c>
      <c r="D100" s="112">
        <v>0</v>
      </c>
      <c r="E100" s="113">
        <v>0</v>
      </c>
      <c r="F100" s="114">
        <v>0.16</v>
      </c>
      <c r="G100" s="113">
        <v>0</v>
      </c>
      <c r="H100" s="113">
        <v>0</v>
      </c>
      <c r="I100" s="151">
        <f>SUM(Table4[[#This Row],[Volume 2022]:[Volume 2024]])</f>
        <v>0.16</v>
      </c>
      <c r="J100" s="120">
        <v>1.09E-2</v>
      </c>
      <c r="K100" s="173">
        <f>Table4[[#This Row],[Total Value]]/Table4[[#This Row],[Total Volume]]</f>
        <v>6.8125000000000005E-2</v>
      </c>
      <c r="L100" s="173">
        <f>IFERROR((Table4[[#This Row],[2023]]-Table4[[#This Row],[2022]])/Table4[[#This Row],[2022]],0)</f>
        <v>-1</v>
      </c>
      <c r="M100" s="173">
        <f>IFERROR(((Table4[[#This Row],[Volume 2023]]-Table4[[#This Row],[Volume 2022]])/Table4[[#This Row],[Volume 2022]]),0)</f>
        <v>-1</v>
      </c>
    </row>
    <row r="101" spans="2:13" hidden="1" x14ac:dyDescent="0.25">
      <c r="B101" s="121" t="s">
        <v>732</v>
      </c>
      <c r="C101" s="111">
        <v>1.03E-2</v>
      </c>
      <c r="D101" s="112">
        <v>0</v>
      </c>
      <c r="E101" s="113">
        <v>0</v>
      </c>
      <c r="F101" s="114">
        <v>0.3876</v>
      </c>
      <c r="G101" s="113">
        <v>0</v>
      </c>
      <c r="H101" s="113">
        <v>0</v>
      </c>
      <c r="I101" s="151">
        <f>SUM(Table4[[#This Row],[Volume 2022]:[Volume 2024]])</f>
        <v>0.3876</v>
      </c>
      <c r="J101" s="120">
        <v>1.03E-2</v>
      </c>
      <c r="K101" s="173">
        <f>Table4[[#This Row],[Total Value]]/Table4[[#This Row],[Total Volume]]</f>
        <v>2.6573787409700723E-2</v>
      </c>
      <c r="L101" s="173">
        <f>IFERROR((Table4[[#This Row],[2023]]-Table4[[#This Row],[2022]])/Table4[[#This Row],[2022]],0)</f>
        <v>-1</v>
      </c>
      <c r="M101" s="173">
        <f>IFERROR(((Table4[[#This Row],[Volume 2023]]-Table4[[#This Row],[Volume 2022]])/Table4[[#This Row],[Volume 2022]]),0)</f>
        <v>-1</v>
      </c>
    </row>
    <row r="102" spans="2:13" hidden="1" x14ac:dyDescent="0.25">
      <c r="B102" s="121" t="s">
        <v>797</v>
      </c>
      <c r="C102" s="111">
        <v>0</v>
      </c>
      <c r="D102" s="112">
        <v>0</v>
      </c>
      <c r="E102" s="113">
        <v>9.1999999999999998E-3</v>
      </c>
      <c r="F102" s="114">
        <v>0</v>
      </c>
      <c r="G102" s="113">
        <v>0</v>
      </c>
      <c r="H102" s="113">
        <v>0.30320000000000003</v>
      </c>
      <c r="I102" s="151">
        <f>SUM(Table4[[#This Row],[Volume 2022]:[Volume 2024]])</f>
        <v>0.30320000000000003</v>
      </c>
      <c r="J102" s="120">
        <v>9.1999999999999998E-3</v>
      </c>
      <c r="K102" s="173">
        <f>Table4[[#This Row],[Total Value]]/Table4[[#This Row],[Total Volume]]</f>
        <v>3.034300791556728E-2</v>
      </c>
      <c r="L102" s="173">
        <f>IFERROR((Table4[[#This Row],[2023]]-Table4[[#This Row],[2022]])/Table4[[#This Row],[2022]],0)</f>
        <v>0</v>
      </c>
      <c r="M102" s="173">
        <f>IFERROR(((Table4[[#This Row],[Volume 2023]]-Table4[[#This Row],[Volume 2022]])/Table4[[#This Row],[Volume 2022]]),0)</f>
        <v>0</v>
      </c>
    </row>
    <row r="103" spans="2:13" hidden="1" x14ac:dyDescent="0.25">
      <c r="B103" s="121" t="s">
        <v>766</v>
      </c>
      <c r="C103" s="111">
        <v>7.0000000000000001E-3</v>
      </c>
      <c r="D103" s="112">
        <v>0</v>
      </c>
      <c r="E103" s="113">
        <v>0</v>
      </c>
      <c r="F103" s="114">
        <v>0.08</v>
      </c>
      <c r="G103" s="113">
        <v>0</v>
      </c>
      <c r="H103" s="113">
        <v>0</v>
      </c>
      <c r="I103" s="151">
        <f>SUM(Table4[[#This Row],[Volume 2022]:[Volume 2024]])</f>
        <v>0.08</v>
      </c>
      <c r="J103" s="120">
        <v>7.0000000000000001E-3</v>
      </c>
      <c r="K103" s="173">
        <f>Table4[[#This Row],[Total Value]]/Table4[[#This Row],[Total Volume]]</f>
        <v>8.7499999999999994E-2</v>
      </c>
      <c r="L103" s="173">
        <f>IFERROR((Table4[[#This Row],[2023]]-Table4[[#This Row],[2022]])/Table4[[#This Row],[2022]],0)</f>
        <v>-1</v>
      </c>
      <c r="M103" s="173">
        <f>IFERROR(((Table4[[#This Row],[Volume 2023]]-Table4[[#This Row],[Volume 2022]])/Table4[[#This Row],[Volume 2022]]),0)</f>
        <v>-1</v>
      </c>
    </row>
    <row r="104" spans="2:13" hidden="1" x14ac:dyDescent="0.25">
      <c r="B104" s="121" t="s">
        <v>785</v>
      </c>
      <c r="C104" s="111">
        <v>0</v>
      </c>
      <c r="D104" s="112">
        <v>0</v>
      </c>
      <c r="E104" s="113">
        <v>2.0999999999999999E-3</v>
      </c>
      <c r="F104" s="114">
        <v>0</v>
      </c>
      <c r="G104" s="113">
        <v>0</v>
      </c>
      <c r="H104" s="113">
        <v>0.17710000000000001</v>
      </c>
      <c r="I104" s="151">
        <f>SUM(Table4[[#This Row],[Volume 2022]:[Volume 2024]])</f>
        <v>0.17710000000000001</v>
      </c>
      <c r="J104" s="120">
        <v>2.0999999999999999E-3</v>
      </c>
      <c r="K104" s="173">
        <f>Table4[[#This Row],[Total Value]]/Table4[[#This Row],[Total Volume]]</f>
        <v>1.1857707509881422E-2</v>
      </c>
      <c r="L104" s="173">
        <f>IFERROR((Table4[[#This Row],[2023]]-Table4[[#This Row],[2022]])/Table4[[#This Row],[2022]],0)</f>
        <v>0</v>
      </c>
      <c r="M104" s="173">
        <f>IFERROR(((Table4[[#This Row],[Volume 2023]]-Table4[[#This Row],[Volume 2022]])/Table4[[#This Row],[Volume 2022]]),0)</f>
        <v>0</v>
      </c>
    </row>
    <row r="105" spans="2:13" hidden="1" x14ac:dyDescent="0.25">
      <c r="B105" s="121" t="s">
        <v>729</v>
      </c>
      <c r="C105" s="111">
        <v>0</v>
      </c>
      <c r="D105" s="112">
        <v>0</v>
      </c>
      <c r="E105" s="113">
        <v>0</v>
      </c>
      <c r="F105" s="114">
        <v>0</v>
      </c>
      <c r="G105" s="113">
        <v>0</v>
      </c>
      <c r="H105" s="113">
        <v>0</v>
      </c>
      <c r="I105" s="151">
        <f>SUM(Table4[[#This Row],[Volume 2022]:[Volume 2024]])</f>
        <v>0</v>
      </c>
      <c r="J105" s="120">
        <v>0</v>
      </c>
      <c r="K105" s="173" t="e">
        <f>Table4[[#This Row],[Total Value]]/Table4[[#This Row],[Total Volume]]</f>
        <v>#DIV/0!</v>
      </c>
      <c r="L105" s="173">
        <f>IFERROR((Table4[[#This Row],[2023]]-Table4[[#This Row],[2022]])/Table4[[#This Row],[2022]],0)</f>
        <v>0</v>
      </c>
      <c r="M105" s="173">
        <f>IFERROR(((Table4[[#This Row],[Volume 2023]]-Table4[[#This Row],[Volume 2022]])/Table4[[#This Row],[Volume 2022]]),0)</f>
        <v>0</v>
      </c>
    </row>
    <row r="106" spans="2:13" hidden="1" x14ac:dyDescent="0.25">
      <c r="B106" s="121" t="s">
        <v>736</v>
      </c>
      <c r="C106" s="111">
        <v>0</v>
      </c>
      <c r="D106" s="112">
        <v>0</v>
      </c>
      <c r="E106" s="113">
        <v>0</v>
      </c>
      <c r="F106" s="114">
        <v>0</v>
      </c>
      <c r="G106" s="113">
        <v>0</v>
      </c>
      <c r="H106" s="113">
        <v>0</v>
      </c>
      <c r="I106" s="151">
        <f>SUM(Table4[[#This Row],[Volume 2022]:[Volume 2024]])</f>
        <v>0</v>
      </c>
      <c r="J106" s="120">
        <v>0</v>
      </c>
      <c r="K106" s="173" t="e">
        <f>Table4[[#This Row],[Total Value]]/Table4[[#This Row],[Total Volume]]</f>
        <v>#DIV/0!</v>
      </c>
      <c r="L106" s="173">
        <f>IFERROR((Table4[[#This Row],[2023]]-Table4[[#This Row],[2022]])/Table4[[#This Row],[2022]],0)</f>
        <v>0</v>
      </c>
      <c r="M106" s="173">
        <f>IFERROR(((Table4[[#This Row],[Volume 2023]]-Table4[[#This Row],[Volume 2022]])/Table4[[#This Row],[Volume 2022]]),0)</f>
        <v>0</v>
      </c>
    </row>
    <row r="107" spans="2:13" hidden="1" x14ac:dyDescent="0.25">
      <c r="B107" s="121" t="s">
        <v>758</v>
      </c>
      <c r="C107" s="111">
        <v>0</v>
      </c>
      <c r="D107" s="112">
        <v>0</v>
      </c>
      <c r="E107" s="113">
        <v>0</v>
      </c>
      <c r="F107" s="114">
        <v>0</v>
      </c>
      <c r="G107" s="113">
        <v>0</v>
      </c>
      <c r="H107" s="113">
        <v>0</v>
      </c>
      <c r="I107" s="151">
        <f>SUM(Table4[[#This Row],[Volume 2022]:[Volume 2024]])</f>
        <v>0</v>
      </c>
      <c r="J107" s="120">
        <v>0</v>
      </c>
      <c r="K107" s="173" t="e">
        <f>Table4[[#This Row],[Total Value]]/Table4[[#This Row],[Total Volume]]</f>
        <v>#DIV/0!</v>
      </c>
      <c r="L107" s="173">
        <f>IFERROR((Table4[[#This Row],[2023]]-Table4[[#This Row],[2022]])/Table4[[#This Row],[2022]],0)</f>
        <v>0</v>
      </c>
      <c r="M107" s="173">
        <f>IFERROR(((Table4[[#This Row],[Volume 2023]]-Table4[[#This Row],[Volume 2022]])/Table4[[#This Row],[Volume 2022]]),0)</f>
        <v>0</v>
      </c>
    </row>
    <row r="108" spans="2:13" hidden="1" x14ac:dyDescent="0.25">
      <c r="B108" s="121" t="s">
        <v>772</v>
      </c>
      <c r="C108" s="111">
        <v>0</v>
      </c>
      <c r="D108" s="112">
        <v>0</v>
      </c>
      <c r="E108" s="113">
        <v>0</v>
      </c>
      <c r="F108" s="114">
        <v>0</v>
      </c>
      <c r="G108" s="113">
        <v>0</v>
      </c>
      <c r="H108" s="113">
        <v>0</v>
      </c>
      <c r="I108" s="151">
        <f>SUM(Table4[[#This Row],[Volume 2022]:[Volume 2024]])</f>
        <v>0</v>
      </c>
      <c r="J108" s="120">
        <v>0</v>
      </c>
      <c r="K108" s="173" t="e">
        <f>Table4[[#This Row],[Total Value]]/Table4[[#This Row],[Total Volume]]</f>
        <v>#DIV/0!</v>
      </c>
      <c r="L108" s="173">
        <f>IFERROR((Table4[[#This Row],[2023]]-Table4[[#This Row],[2022]])/Table4[[#This Row],[2022]],0)</f>
        <v>0</v>
      </c>
      <c r="M108" s="173">
        <f>IFERROR(((Table4[[#This Row],[Volume 2023]]-Table4[[#This Row],[Volume 2022]])/Table4[[#This Row],[Volume 2022]]),0)</f>
        <v>0</v>
      </c>
    </row>
    <row r="109" spans="2:13" hidden="1" x14ac:dyDescent="0.25">
      <c r="B109" s="121" t="s">
        <v>781</v>
      </c>
      <c r="C109" s="111">
        <v>0</v>
      </c>
      <c r="D109" s="112">
        <v>0</v>
      </c>
      <c r="E109" s="113">
        <v>0</v>
      </c>
      <c r="F109" s="114">
        <v>0</v>
      </c>
      <c r="G109" s="113">
        <v>0</v>
      </c>
      <c r="H109" s="113">
        <v>0</v>
      </c>
      <c r="I109" s="151">
        <f>SUM(Table4[[#This Row],[Volume 2022]:[Volume 2024]])</f>
        <v>0</v>
      </c>
      <c r="J109" s="120">
        <v>0</v>
      </c>
      <c r="K109" s="173" t="e">
        <f>Table4[[#This Row],[Total Value]]/Table4[[#This Row],[Total Volume]]</f>
        <v>#DIV/0!</v>
      </c>
      <c r="L109" s="173">
        <f>IFERROR((Table4[[#This Row],[2023]]-Table4[[#This Row],[2022]])/Table4[[#This Row],[2022]],0)</f>
        <v>0</v>
      </c>
      <c r="M109" s="173">
        <f>IFERROR(((Table4[[#This Row],[Volume 2023]]-Table4[[#This Row],[Volume 2022]])/Table4[[#This Row],[Volume 2022]]),0)</f>
        <v>0</v>
      </c>
    </row>
    <row r="110" spans="2:13" hidden="1" x14ac:dyDescent="0.25">
      <c r="B110" s="121" t="s">
        <v>793</v>
      </c>
      <c r="C110" s="111">
        <v>0</v>
      </c>
      <c r="D110" s="112">
        <v>0</v>
      </c>
      <c r="E110" s="113">
        <v>0</v>
      </c>
      <c r="F110" s="114">
        <v>0</v>
      </c>
      <c r="G110" s="113">
        <v>0</v>
      </c>
      <c r="H110" s="113">
        <v>0</v>
      </c>
      <c r="I110" s="151">
        <f>SUM(Table4[[#This Row],[Volume 2022]:[Volume 2024]])</f>
        <v>0</v>
      </c>
      <c r="J110" s="120">
        <v>0</v>
      </c>
      <c r="K110" s="173" t="e">
        <f>Table4[[#This Row],[Total Value]]/Table4[[#This Row],[Total Volume]]</f>
        <v>#DIV/0!</v>
      </c>
      <c r="L110" s="173">
        <f>IFERROR((Table4[[#This Row],[2023]]-Table4[[#This Row],[2022]])/Table4[[#This Row],[2022]],0)</f>
        <v>0</v>
      </c>
      <c r="M110" s="173">
        <f>IFERROR(((Table4[[#This Row],[Volume 2023]]-Table4[[#This Row],[Volume 2022]])/Table4[[#This Row],[Volume 2022]]),0)</f>
        <v>0</v>
      </c>
    </row>
    <row r="111" spans="2:13" hidden="1" x14ac:dyDescent="0.25">
      <c r="B111" s="121" t="s">
        <v>798</v>
      </c>
      <c r="C111" s="111">
        <v>0</v>
      </c>
      <c r="D111" s="112">
        <v>0</v>
      </c>
      <c r="E111" s="113">
        <v>0</v>
      </c>
      <c r="F111" s="114">
        <v>0</v>
      </c>
      <c r="G111" s="113">
        <v>0</v>
      </c>
      <c r="H111" s="113">
        <v>0</v>
      </c>
      <c r="I111" s="151">
        <f>SUM(Table4[[#This Row],[Volume 2022]:[Volume 2024]])</f>
        <v>0</v>
      </c>
      <c r="J111" s="120">
        <v>0</v>
      </c>
      <c r="K111" s="173" t="e">
        <f>Table4[[#This Row],[Total Value]]/Table4[[#This Row],[Total Volume]]</f>
        <v>#DIV/0!</v>
      </c>
      <c r="L111" s="173">
        <f>IFERROR((Table4[[#This Row],[2023]]-Table4[[#This Row],[2022]])/Table4[[#This Row],[2022]],0)</f>
        <v>0</v>
      </c>
      <c r="M111" s="173">
        <f>IFERROR(((Table4[[#This Row],[Volume 2023]]-Table4[[#This Row],[Volume 2022]])/Table4[[#This Row],[Volume 2022]]),0)</f>
        <v>0</v>
      </c>
    </row>
    <row r="112" spans="2:13" ht="24.75" hidden="1" x14ac:dyDescent="0.25">
      <c r="B112" s="121" t="s">
        <v>808</v>
      </c>
      <c r="C112" s="111">
        <v>0</v>
      </c>
      <c r="D112" s="112">
        <v>0</v>
      </c>
      <c r="E112" s="113">
        <v>0</v>
      </c>
      <c r="F112" s="114">
        <v>0</v>
      </c>
      <c r="G112" s="113">
        <v>0</v>
      </c>
      <c r="H112" s="113">
        <v>0</v>
      </c>
      <c r="I112" s="151">
        <f>SUM(Table4[[#This Row],[Volume 2022]:[Volume 2024]])</f>
        <v>0</v>
      </c>
      <c r="J112" s="120">
        <v>0</v>
      </c>
      <c r="K112" s="173" t="e">
        <f>Table4[[#This Row],[Total Value]]/Table4[[#This Row],[Total Volume]]</f>
        <v>#DIV/0!</v>
      </c>
      <c r="L112" s="173">
        <f>IFERROR((Table4[[#This Row],[2023]]-Table4[[#This Row],[2022]])/Table4[[#This Row],[2022]],0)</f>
        <v>0</v>
      </c>
      <c r="M112" s="173">
        <f>IFERROR(((Table4[[#This Row],[Volume 2023]]-Table4[[#This Row],[Volume 2022]])/Table4[[#This Row],[Volume 2022]]),0)</f>
        <v>0</v>
      </c>
    </row>
    <row r="113" spans="2:13" hidden="1" x14ac:dyDescent="0.25">
      <c r="B113" s="121" t="s">
        <v>815</v>
      </c>
      <c r="C113" s="111">
        <v>0</v>
      </c>
      <c r="D113" s="112">
        <v>0</v>
      </c>
      <c r="E113" s="113">
        <v>0</v>
      </c>
      <c r="F113" s="114">
        <v>0</v>
      </c>
      <c r="G113" s="113">
        <v>0</v>
      </c>
      <c r="H113" s="113">
        <v>0</v>
      </c>
      <c r="I113" s="151">
        <f>SUM(Table4[[#This Row],[Volume 2022]:[Volume 2024]])</f>
        <v>0</v>
      </c>
      <c r="J113" s="120">
        <v>0</v>
      </c>
      <c r="K113" s="173" t="e">
        <f>Table4[[#This Row],[Total Value]]/Table4[[#This Row],[Total Volume]]</f>
        <v>#DIV/0!</v>
      </c>
      <c r="L113" s="173">
        <f>IFERROR((Table4[[#This Row],[2023]]-Table4[[#This Row],[2022]])/Table4[[#This Row],[2022]],0)</f>
        <v>0</v>
      </c>
      <c r="M113" s="173">
        <f>IFERROR(((Table4[[#This Row],[Volume 2023]]-Table4[[#This Row],[Volume 2022]])/Table4[[#This Row],[Volume 2022]]),0)</f>
        <v>0</v>
      </c>
    </row>
  </sheetData>
  <mergeCells count="4">
    <mergeCell ref="M2:O2"/>
    <mergeCell ref="B2:B3"/>
    <mergeCell ref="C2:E2"/>
    <mergeCell ref="F2:H2"/>
  </mergeCells>
  <phoneticPr fontId="16" type="noConversion"/>
  <conditionalFormatting sqref="D7:D26">
    <cfRule type="dataBar" priority="1">
      <dataBar>
        <cfvo type="min"/>
        <cfvo type="max"/>
        <color rgb="FF63C384"/>
      </dataBar>
      <extLst>
        <ext xmlns:x14="http://schemas.microsoft.com/office/spreadsheetml/2009/9/main" uri="{B025F937-C7B1-47D3-B67F-A62EFF666E3E}">
          <x14:id>{4A576D24-5915-4327-B885-BC4A15562BCC}</x14:id>
        </ext>
      </extLst>
    </cfRule>
  </conditionalFormatting>
  <conditionalFormatting sqref="I7:I113">
    <cfRule type="dataBar" priority="8">
      <dataBar>
        <cfvo type="min"/>
        <cfvo type="max"/>
        <color rgb="FFFFB628"/>
      </dataBar>
      <extLst>
        <ext xmlns:x14="http://schemas.microsoft.com/office/spreadsheetml/2009/9/main" uri="{B025F937-C7B1-47D3-B67F-A62EFF666E3E}">
          <x14:id>{1231105D-E4E4-4672-9B96-A0918DA00485}</x14:id>
        </ext>
      </extLst>
    </cfRule>
    <cfRule type="top10" dxfId="16" priority="9" rank="10"/>
  </conditionalFormatting>
  <conditionalFormatting sqref="J7:J113">
    <cfRule type="top10" dxfId="15" priority="10" percent="1" rank="10"/>
    <cfRule type="top10" dxfId="14" priority="11" rank="10"/>
    <cfRule type="dataBar" priority="12">
      <dataBar>
        <cfvo type="min"/>
        <cfvo type="max"/>
        <color rgb="FF638EC6"/>
      </dataBar>
      <extLst>
        <ext xmlns:x14="http://schemas.microsoft.com/office/spreadsheetml/2009/9/main" uri="{B025F937-C7B1-47D3-B67F-A62EFF666E3E}">
          <x14:id>{D59000F4-E09E-4BD9-A65F-F748129549E3}</x14:id>
        </ext>
      </extLst>
    </cfRule>
    <cfRule type="dataBar" priority="13">
      <dataBar>
        <cfvo type="min"/>
        <cfvo type="max"/>
        <color rgb="FF638EC6"/>
      </dataBar>
      <extLst>
        <ext xmlns:x14="http://schemas.microsoft.com/office/spreadsheetml/2009/9/main" uri="{B025F937-C7B1-47D3-B67F-A62EFF666E3E}">
          <x14:id>{6D110B24-90EB-4BC8-94BC-C288C2EA81B5}</x14:id>
        </ext>
      </extLst>
    </cfRule>
  </conditionalFormatting>
  <conditionalFormatting sqref="L7:L26">
    <cfRule type="dataBar" priority="3">
      <dataBar>
        <cfvo type="min"/>
        <cfvo type="max"/>
        <color rgb="FF638EC6"/>
      </dataBar>
      <extLst>
        <ext xmlns:x14="http://schemas.microsoft.com/office/spreadsheetml/2009/9/main" uri="{B025F937-C7B1-47D3-B67F-A62EFF666E3E}">
          <x14:id>{0CF5DB9C-369E-4764-B659-C1EC53F05F87}</x14:id>
        </ext>
      </extLst>
    </cfRule>
  </conditionalFormatting>
  <conditionalFormatting sqref="N7:N26">
    <cfRule type="top10" dxfId="13" priority="2" percent="1" rank="10"/>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A576D24-5915-4327-B885-BC4A15562BCC}">
            <x14:dataBar minLength="0" maxLength="100" gradient="0">
              <x14:cfvo type="autoMin"/>
              <x14:cfvo type="autoMax"/>
              <x14:negativeFillColor rgb="FFFF0000"/>
              <x14:axisColor rgb="FF000000"/>
            </x14:dataBar>
          </x14:cfRule>
          <xm:sqref>D7:D26</xm:sqref>
        </x14:conditionalFormatting>
        <x14:conditionalFormatting xmlns:xm="http://schemas.microsoft.com/office/excel/2006/main">
          <x14:cfRule type="dataBar" id="{1231105D-E4E4-4672-9B96-A0918DA00485}">
            <x14:dataBar minLength="0" maxLength="100" gradient="0">
              <x14:cfvo type="autoMin"/>
              <x14:cfvo type="autoMax"/>
              <x14:negativeFillColor rgb="FFFF0000"/>
              <x14:axisColor rgb="FF000000"/>
            </x14:dataBar>
          </x14:cfRule>
          <xm:sqref>I7:I113</xm:sqref>
        </x14:conditionalFormatting>
        <x14:conditionalFormatting xmlns:xm="http://schemas.microsoft.com/office/excel/2006/main">
          <x14:cfRule type="dataBar" id="{D59000F4-E09E-4BD9-A65F-F748129549E3}">
            <x14:dataBar minLength="0" maxLength="100" gradient="0" direction="leftToRight">
              <x14:cfvo type="min"/>
              <x14:cfvo type="max"/>
              <x14:negativeFillColor rgb="FFFF0000"/>
              <x14:axisColor rgb="FF000000"/>
            </x14:dataBar>
          </x14:cfRule>
          <x14:cfRule type="dataBar" id="{6D110B24-90EB-4BC8-94BC-C288C2EA81B5}">
            <x14:dataBar minLength="0" maxLength="100" gradient="0">
              <x14:cfvo type="autoMin"/>
              <x14:cfvo type="autoMax"/>
              <x14:negativeFillColor rgb="FFFF0000"/>
              <x14:axisColor rgb="FF000000"/>
            </x14:dataBar>
          </x14:cfRule>
          <xm:sqref>J7:J113</xm:sqref>
        </x14:conditionalFormatting>
        <x14:conditionalFormatting xmlns:xm="http://schemas.microsoft.com/office/excel/2006/main">
          <x14:cfRule type="dataBar" id="{0CF5DB9C-369E-4764-B659-C1EC53F05F87}">
            <x14:dataBar minLength="0" maxLength="100" gradient="0">
              <x14:cfvo type="autoMin"/>
              <x14:cfvo type="autoMax"/>
              <x14:negativeFillColor rgb="FFFF0000"/>
              <x14:axisColor rgb="FF000000"/>
            </x14:dataBar>
          </x14:cfRule>
          <xm:sqref>L7:L26</xm:sqref>
        </x14:conditionalFormatting>
      </x14:conditionalFormattings>
    </ext>
    <ext xmlns:x14="http://schemas.microsoft.com/office/spreadsheetml/2009/9/main" uri="{05C60535-1F16-4fd2-B633-F4F36F0B64E0}">
      <x14:sparklineGroups xmlns:xm="http://schemas.microsoft.com/office/excel/2006/main">
        <x14:sparklineGroup manualMax="0" manualMin="0" displayEmptyCellsAs="gap" xr2:uid="{7DFB9A83-2D07-4E76-AA24-EE5F11C5BB55}">
          <x14:colorSeries rgb="FF376092"/>
          <x14:colorNegative rgb="FFD00000"/>
          <x14:colorAxis rgb="FF000000"/>
          <x14:colorMarkers rgb="FFD00000"/>
          <x14:colorFirst rgb="FFD00000"/>
          <x14:colorLast rgb="FFD00000"/>
          <x14:colorHigh rgb="FFD00000"/>
          <x14:colorLow rgb="FFD00000"/>
          <x14:sparklines>
            <x14:sparkline>
              <xm:f>Mgf!C7:E7</xm:f>
              <xm:sqref>O7</xm:sqref>
            </x14:sparkline>
            <x14:sparkline>
              <xm:f>Mgf!C8:E8</xm:f>
              <xm:sqref>O8</xm:sqref>
            </x14:sparkline>
            <x14:sparkline>
              <xm:f>Mgf!C9:E9</xm:f>
              <xm:sqref>O9</xm:sqref>
            </x14:sparkline>
            <x14:sparkline>
              <xm:f>Mgf!C10:E10</xm:f>
              <xm:sqref>O10</xm:sqref>
            </x14:sparkline>
            <x14:sparkline>
              <xm:f>Mgf!C11:E11</xm:f>
              <xm:sqref>O11</xm:sqref>
            </x14:sparkline>
            <x14:sparkline>
              <xm:f>Mgf!C12:E12</xm:f>
              <xm:sqref>O12</xm:sqref>
            </x14:sparkline>
            <x14:sparkline>
              <xm:f>Mgf!C13:E13</xm:f>
              <xm:sqref>O13</xm:sqref>
            </x14:sparkline>
            <x14:sparkline>
              <xm:f>Mgf!C14:E14</xm:f>
              <xm:sqref>O14</xm:sqref>
            </x14:sparkline>
            <x14:sparkline>
              <xm:f>Mgf!C15:E15</xm:f>
              <xm:sqref>O15</xm:sqref>
            </x14:sparkline>
            <x14:sparkline>
              <xm:f>Mgf!C16:E16</xm:f>
              <xm:sqref>O16</xm:sqref>
            </x14:sparkline>
            <x14:sparkline>
              <xm:f>Mgf!C17:E17</xm:f>
              <xm:sqref>O17</xm:sqref>
            </x14:sparkline>
            <x14:sparkline>
              <xm:f>Mgf!C18:E18</xm:f>
              <xm:sqref>O18</xm:sqref>
            </x14:sparkline>
            <x14:sparkline>
              <xm:f>Mgf!C19:E19</xm:f>
              <xm:sqref>O19</xm:sqref>
            </x14:sparkline>
            <x14:sparkline>
              <xm:f>Mgf!C20:E20</xm:f>
              <xm:sqref>O20</xm:sqref>
            </x14:sparkline>
            <x14:sparkline>
              <xm:f>Mgf!C21:E21</xm:f>
              <xm:sqref>O21</xm:sqref>
            </x14:sparkline>
            <x14:sparkline>
              <xm:f>Mgf!C22:E22</xm:f>
              <xm:sqref>O22</xm:sqref>
            </x14:sparkline>
            <x14:sparkline>
              <xm:f>Mgf!C23:E23</xm:f>
              <xm:sqref>O23</xm:sqref>
            </x14:sparkline>
            <x14:sparkline>
              <xm:f>Mgf!C24:E24</xm:f>
              <xm:sqref>O24</xm:sqref>
            </x14:sparkline>
            <x14:sparkline>
              <xm:f>Mgf!C25:E25</xm:f>
              <xm:sqref>O25</xm:sqref>
            </x14:sparkline>
            <x14:sparkline>
              <xm:f>Mgf!C26:E26</xm:f>
              <xm:sqref>O26</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DC9D-4733-45AD-A980-151E11354F71}">
  <sheetPr codeName="Sheet5"/>
  <dimension ref="A1:K25"/>
  <sheetViews>
    <sheetView workbookViewId="0">
      <selection activeCell="F11" sqref="F11"/>
    </sheetView>
  </sheetViews>
  <sheetFormatPr defaultRowHeight="15" x14ac:dyDescent="0.25"/>
  <cols>
    <col min="1" max="1" width="19.42578125" bestFit="1" customWidth="1"/>
    <col min="2" max="4" width="19.28515625" bestFit="1" customWidth="1"/>
    <col min="5" max="5" width="22.7109375" bestFit="1" customWidth="1"/>
    <col min="6" max="6" width="17.85546875" bestFit="1" customWidth="1"/>
    <col min="7" max="13" width="16.5703125" bestFit="1" customWidth="1"/>
  </cols>
  <sheetData>
    <row r="1" spans="1:11" ht="15.75" x14ac:dyDescent="0.25">
      <c r="A1" s="125" t="s">
        <v>1193</v>
      </c>
      <c r="B1" s="46"/>
      <c r="C1" s="46"/>
      <c r="D1" s="46"/>
      <c r="E1" s="46"/>
      <c r="F1" s="46"/>
      <c r="G1" s="46"/>
      <c r="H1" s="46"/>
      <c r="I1" s="46"/>
    </row>
    <row r="2" spans="1:11" x14ac:dyDescent="0.25">
      <c r="A2" s="46" t="s">
        <v>1197</v>
      </c>
      <c r="B2" s="46"/>
      <c r="C2" s="46"/>
      <c r="D2" s="46"/>
      <c r="E2" s="46"/>
      <c r="F2" s="46"/>
      <c r="G2" s="46"/>
      <c r="H2" s="46"/>
      <c r="I2" s="46"/>
      <c r="J2" s="46"/>
      <c r="K2" s="46"/>
    </row>
    <row r="3" spans="1:11" x14ac:dyDescent="0.25">
      <c r="A3" s="123" t="s">
        <v>1156</v>
      </c>
      <c r="B3" t="s">
        <v>1164</v>
      </c>
      <c r="C3" t="s">
        <v>1165</v>
      </c>
      <c r="D3" t="s">
        <v>1166</v>
      </c>
      <c r="E3" t="s">
        <v>1157</v>
      </c>
      <c r="F3" s="46"/>
      <c r="G3" s="46"/>
      <c r="H3" s="46"/>
      <c r="I3" s="46"/>
      <c r="J3" s="46"/>
      <c r="K3" s="46"/>
    </row>
    <row r="4" spans="1:11" x14ac:dyDescent="0.25">
      <c r="A4" s="157" t="s">
        <v>714</v>
      </c>
      <c r="B4">
        <v>3341.5012999999999</v>
      </c>
      <c r="C4">
        <v>3428.0437000000002</v>
      </c>
      <c r="D4">
        <v>1852.1968999999999</v>
      </c>
      <c r="E4">
        <v>8621.7419000000009</v>
      </c>
      <c r="F4" s="46"/>
      <c r="G4" s="46"/>
      <c r="H4" s="46"/>
      <c r="I4" s="46"/>
      <c r="J4" s="46"/>
      <c r="K4" s="46"/>
    </row>
    <row r="5" spans="1:11" x14ac:dyDescent="0.25">
      <c r="A5" s="157" t="s">
        <v>791</v>
      </c>
      <c r="B5">
        <v>1818.5395000000001</v>
      </c>
      <c r="C5">
        <v>2101.7049999999999</v>
      </c>
      <c r="D5">
        <v>1233.5607</v>
      </c>
      <c r="E5">
        <v>5153.8051999999998</v>
      </c>
      <c r="F5" s="46"/>
      <c r="G5" s="46"/>
      <c r="H5" s="46"/>
      <c r="I5" s="46"/>
      <c r="J5" s="46"/>
      <c r="K5" s="46"/>
    </row>
    <row r="6" spans="1:11" x14ac:dyDescent="0.25">
      <c r="A6" s="157" t="s">
        <v>744</v>
      </c>
      <c r="B6">
        <v>1012.9229</v>
      </c>
      <c r="C6">
        <v>822.98099999999999</v>
      </c>
      <c r="D6">
        <v>367.98759999999999</v>
      </c>
      <c r="E6">
        <v>2203.8915000000002</v>
      </c>
      <c r="F6" s="46"/>
      <c r="G6" s="46"/>
      <c r="H6" s="46"/>
      <c r="I6" s="46"/>
      <c r="J6" s="46"/>
      <c r="K6" s="46"/>
    </row>
    <row r="7" spans="1:11" x14ac:dyDescent="0.25">
      <c r="A7" s="157" t="s">
        <v>803</v>
      </c>
      <c r="B7">
        <v>632.96190000000001</v>
      </c>
      <c r="C7">
        <v>529.41039999999998</v>
      </c>
      <c r="D7">
        <v>262.13749999999999</v>
      </c>
      <c r="E7">
        <v>1424.5098</v>
      </c>
      <c r="F7" s="46"/>
      <c r="G7" s="46"/>
      <c r="H7" s="46"/>
      <c r="I7" s="46"/>
      <c r="J7" s="46"/>
      <c r="K7" s="46"/>
    </row>
    <row r="8" spans="1:11" x14ac:dyDescent="0.25">
      <c r="A8" s="157" t="s">
        <v>715</v>
      </c>
      <c r="B8">
        <v>511.78089999999997</v>
      </c>
      <c r="C8">
        <v>507.3048</v>
      </c>
      <c r="D8">
        <v>295.71379999999999</v>
      </c>
      <c r="E8">
        <v>1314.7995000000001</v>
      </c>
      <c r="F8" s="46"/>
      <c r="G8" s="46"/>
      <c r="H8" s="46"/>
      <c r="I8" s="46"/>
      <c r="J8" s="46"/>
      <c r="K8" s="46"/>
    </row>
    <row r="9" spans="1:11" x14ac:dyDescent="0.25">
      <c r="A9" s="124" t="s">
        <v>1158</v>
      </c>
      <c r="B9">
        <v>7317.7065000000002</v>
      </c>
      <c r="C9">
        <v>7389.4449000000004</v>
      </c>
      <c r="D9">
        <v>4011.5965000000001</v>
      </c>
      <c r="E9">
        <v>18718.747900000002</v>
      </c>
      <c r="F9" s="46"/>
      <c r="G9" s="46"/>
      <c r="H9" s="46"/>
      <c r="I9" s="46"/>
      <c r="J9" s="46"/>
      <c r="K9" s="46"/>
    </row>
    <row r="10" spans="1:11" x14ac:dyDescent="0.25">
      <c r="A10" s="46"/>
      <c r="B10" s="46"/>
      <c r="C10" s="46"/>
      <c r="D10" s="46"/>
      <c r="E10" s="46"/>
      <c r="F10" s="46"/>
      <c r="G10" s="46"/>
      <c r="H10" s="46"/>
      <c r="I10" s="46"/>
      <c r="J10" s="46"/>
      <c r="K10" s="46"/>
    </row>
    <row r="11" spans="1:11" x14ac:dyDescent="0.25">
      <c r="A11" s="46"/>
      <c r="B11" s="46"/>
      <c r="C11" s="46"/>
      <c r="D11" s="46"/>
      <c r="E11" s="46"/>
      <c r="F11" s="46"/>
      <c r="G11" s="46"/>
      <c r="H11" s="46"/>
      <c r="I11" s="46"/>
      <c r="J11" s="46"/>
      <c r="K11" s="46"/>
    </row>
    <row r="12" spans="1:11" x14ac:dyDescent="0.25">
      <c r="A12" s="46"/>
      <c r="B12" s="46"/>
      <c r="C12" s="46"/>
      <c r="D12" s="46"/>
      <c r="E12" s="46"/>
      <c r="F12" s="46"/>
      <c r="G12" s="46"/>
      <c r="H12" s="46"/>
      <c r="I12" s="46"/>
      <c r="J12" s="46"/>
      <c r="K12" s="46"/>
    </row>
    <row r="13" spans="1:11" x14ac:dyDescent="0.25">
      <c r="A13" s="46"/>
      <c r="B13" s="46"/>
      <c r="C13" s="46"/>
      <c r="D13" s="46"/>
      <c r="E13" s="46"/>
      <c r="F13" s="46"/>
      <c r="G13" s="46"/>
      <c r="H13" s="46"/>
      <c r="I13" s="46"/>
      <c r="J13" s="46"/>
      <c r="K13" s="46"/>
    </row>
    <row r="14" spans="1:11" x14ac:dyDescent="0.25">
      <c r="A14" s="46" t="s">
        <v>1198</v>
      </c>
      <c r="B14" s="46"/>
      <c r="C14" s="46"/>
      <c r="D14" s="46"/>
      <c r="E14" s="46"/>
      <c r="F14" s="46"/>
      <c r="G14" s="46"/>
      <c r="H14" s="46"/>
      <c r="I14" s="46"/>
      <c r="J14" s="46"/>
      <c r="K14" s="46"/>
    </row>
    <row r="15" spans="1:11" x14ac:dyDescent="0.25">
      <c r="A15" s="123" t="s">
        <v>1156</v>
      </c>
      <c r="B15" t="s">
        <v>1162</v>
      </c>
      <c r="C15" t="s">
        <v>1172</v>
      </c>
      <c r="D15" t="s">
        <v>1173</v>
      </c>
      <c r="E15" t="s">
        <v>1174</v>
      </c>
      <c r="F15" t="s">
        <v>1157</v>
      </c>
      <c r="G15" s="46"/>
      <c r="H15" s="46"/>
      <c r="I15" s="46"/>
      <c r="J15" s="46"/>
      <c r="K15" s="46"/>
    </row>
    <row r="16" spans="1:11" x14ac:dyDescent="0.25">
      <c r="A16" s="157" t="s">
        <v>714</v>
      </c>
      <c r="B16">
        <v>125970.25199999999</v>
      </c>
      <c r="C16">
        <v>127615.61199999999</v>
      </c>
      <c r="D16">
        <v>64977.618000000002</v>
      </c>
      <c r="E16">
        <v>106187.82733333333</v>
      </c>
      <c r="F16">
        <v>8621.7419000000009</v>
      </c>
      <c r="G16" s="46"/>
      <c r="H16" s="46"/>
      <c r="I16" s="46"/>
      <c r="J16" s="46"/>
      <c r="K16" s="46"/>
    </row>
    <row r="17" spans="1:11" x14ac:dyDescent="0.25">
      <c r="A17" s="157" t="s">
        <v>791</v>
      </c>
      <c r="B17">
        <v>45983.127500000002</v>
      </c>
      <c r="C17">
        <v>53803.2785</v>
      </c>
      <c r="D17">
        <v>29897.358</v>
      </c>
      <c r="E17">
        <v>43227.921333333332</v>
      </c>
      <c r="F17">
        <v>5153.8051999999998</v>
      </c>
      <c r="G17" s="46"/>
      <c r="H17" s="46"/>
      <c r="I17" s="46"/>
      <c r="J17" s="46"/>
      <c r="K17" s="46"/>
    </row>
    <row r="18" spans="1:11" x14ac:dyDescent="0.25">
      <c r="A18" s="157" t="s">
        <v>744</v>
      </c>
      <c r="B18">
        <v>57405.585500000001</v>
      </c>
      <c r="C18">
        <v>44546.773000000001</v>
      </c>
      <c r="D18">
        <v>18766.233499999998</v>
      </c>
      <c r="E18">
        <v>40239.530666666666</v>
      </c>
      <c r="F18">
        <v>2203.8915000000002</v>
      </c>
      <c r="G18" s="46"/>
      <c r="H18" s="46"/>
      <c r="I18" s="46"/>
      <c r="J18" s="46"/>
      <c r="K18" s="46"/>
    </row>
    <row r="19" spans="1:11" x14ac:dyDescent="0.25">
      <c r="A19" s="157" t="s">
        <v>803</v>
      </c>
      <c r="B19">
        <v>36136.764000000003</v>
      </c>
      <c r="C19">
        <v>28913.011500000001</v>
      </c>
      <c r="D19">
        <v>13646.2943</v>
      </c>
      <c r="E19">
        <v>26232.023266666667</v>
      </c>
      <c r="F19">
        <v>1424.5098</v>
      </c>
      <c r="G19" s="46"/>
      <c r="H19" s="46"/>
      <c r="I19" s="46"/>
      <c r="J19" s="46"/>
      <c r="K19" s="46"/>
    </row>
    <row r="20" spans="1:11" x14ac:dyDescent="0.25">
      <c r="A20" s="157" t="s">
        <v>715</v>
      </c>
      <c r="B20">
        <v>23199.701799999999</v>
      </c>
      <c r="C20">
        <v>21680.539100000002</v>
      </c>
      <c r="D20">
        <v>11434.4841</v>
      </c>
      <c r="E20">
        <v>18771.575000000001</v>
      </c>
      <c r="F20">
        <v>1314.7995000000001</v>
      </c>
      <c r="G20" s="46"/>
      <c r="H20" s="46"/>
      <c r="I20" s="46"/>
      <c r="J20" s="46"/>
      <c r="K20" s="46"/>
    </row>
    <row r="21" spans="1:11" x14ac:dyDescent="0.25">
      <c r="A21" s="124" t="s">
        <v>1158</v>
      </c>
      <c r="B21">
        <v>288695.43079999997</v>
      </c>
      <c r="C21">
        <v>276559.21409999998</v>
      </c>
      <c r="D21">
        <v>138721.98790000001</v>
      </c>
      <c r="E21">
        <v>234658.87759999998</v>
      </c>
      <c r="F21">
        <v>18718.747900000002</v>
      </c>
      <c r="G21" s="46"/>
      <c r="H21" s="46"/>
      <c r="I21" s="46"/>
      <c r="J21" s="46"/>
      <c r="K21" s="46"/>
    </row>
    <row r="22" spans="1:11" x14ac:dyDescent="0.25">
      <c r="A22" s="46"/>
      <c r="B22" s="46"/>
      <c r="C22" s="46"/>
      <c r="D22" s="46"/>
      <c r="E22" s="46"/>
      <c r="F22" s="46"/>
      <c r="G22" s="46"/>
      <c r="H22" s="46"/>
      <c r="I22" s="46"/>
      <c r="J22" s="46"/>
      <c r="K22" s="46"/>
    </row>
    <row r="23" spans="1:11" x14ac:dyDescent="0.25">
      <c r="A23" s="46"/>
      <c r="B23" s="46"/>
      <c r="C23" s="46"/>
      <c r="D23" s="46"/>
      <c r="E23" s="46"/>
      <c r="F23" s="46"/>
      <c r="G23" s="46"/>
      <c r="H23" s="46"/>
      <c r="I23" s="46"/>
      <c r="J23" s="46"/>
      <c r="K23" s="46"/>
    </row>
    <row r="24" spans="1:11" x14ac:dyDescent="0.25">
      <c r="A24" s="46"/>
      <c r="B24" s="46"/>
      <c r="C24" s="46"/>
      <c r="D24" s="46"/>
      <c r="E24" s="46"/>
      <c r="F24" s="46"/>
      <c r="G24" s="46"/>
      <c r="H24" s="46"/>
      <c r="I24" s="46"/>
      <c r="J24" s="46"/>
      <c r="K24" s="46"/>
    </row>
    <row r="25" spans="1:11" x14ac:dyDescent="0.25">
      <c r="F25" s="46"/>
      <c r="G25" s="46"/>
      <c r="H25" s="46"/>
      <c r="I25" s="46"/>
      <c r="J25" s="46"/>
      <c r="K25" s="46"/>
    </row>
  </sheetData>
  <conditionalFormatting sqref="A3:M3 A15:M15 A4:A14 A22:M111 A16:A21 G16:M21">
    <cfRule type="top10" priority="3" percent="1" rank="10"/>
  </conditionalFormatting>
  <conditionalFormatting pivot="1" sqref="E4:E8">
    <cfRule type="dataBar" priority="2">
      <dataBar>
        <cfvo type="min"/>
        <cfvo type="max"/>
        <color rgb="FF638EC6"/>
      </dataBar>
      <extLst>
        <ext xmlns:x14="http://schemas.microsoft.com/office/spreadsheetml/2009/9/main" uri="{B025F937-C7B1-47D3-B67F-A62EFF666E3E}">
          <x14:id>{543F2041-3D94-4E67-9112-95ECA5A6DE79}</x14:id>
        </ext>
      </extLst>
    </cfRule>
  </conditionalFormatting>
  <conditionalFormatting pivot="1" sqref="E16:E20">
    <cfRule type="dataBar" priority="1">
      <dataBar>
        <cfvo type="min"/>
        <cfvo type="max"/>
        <color rgb="FF63C384"/>
      </dataBar>
      <extLst>
        <ext xmlns:x14="http://schemas.microsoft.com/office/spreadsheetml/2009/9/main" uri="{B025F937-C7B1-47D3-B67F-A62EFF666E3E}">
          <x14:id>{BF8DDE29-2475-4443-8970-B8ADC92E319E}</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543F2041-3D94-4E67-9112-95ECA5A6DE79}">
            <x14:dataBar minLength="0" maxLength="100" gradient="0">
              <x14:cfvo type="autoMin"/>
              <x14:cfvo type="autoMax"/>
              <x14:negativeFillColor rgb="FFFF0000"/>
              <x14:axisColor rgb="FF000000"/>
            </x14:dataBar>
          </x14:cfRule>
          <xm:sqref>E4:E8</xm:sqref>
        </x14:conditionalFormatting>
        <x14:conditionalFormatting xmlns:xm="http://schemas.microsoft.com/office/excel/2006/main" pivot="1">
          <x14:cfRule type="dataBar" id="{BF8DDE29-2475-4443-8970-B8ADC92E319E}">
            <x14:dataBar minLength="0" maxLength="100" gradient="0">
              <x14:cfvo type="autoMin"/>
              <x14:cfvo type="autoMax"/>
              <x14:negativeFillColor rgb="FFFF0000"/>
              <x14:axisColor rgb="FF000000"/>
            </x14:dataBar>
          </x14:cfRule>
          <xm:sqref>E16:E20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42E9B-9A18-415F-A253-8B79A65C5BFC}">
  <sheetPr codeName="Sheet8"/>
  <dimension ref="B1:O165"/>
  <sheetViews>
    <sheetView workbookViewId="0">
      <selection activeCell="B2" sqref="B2:O4"/>
    </sheetView>
  </sheetViews>
  <sheetFormatPr defaultRowHeight="15" outlineLevelRow="1" x14ac:dyDescent="0.25"/>
  <cols>
    <col min="1" max="1" width="2" style="46" customWidth="1"/>
    <col min="2" max="2" width="34.140625" style="46" bestFit="1" customWidth="1"/>
    <col min="3" max="4" width="9.140625" style="46"/>
    <col min="5" max="5" width="11" style="46" customWidth="1"/>
    <col min="6" max="7" width="14.5703125" style="46" customWidth="1"/>
    <col min="8" max="9" width="18.42578125" style="46" customWidth="1"/>
    <col min="10" max="10" width="13.140625" style="46" customWidth="1"/>
    <col min="11" max="11" width="16.140625" style="46" customWidth="1"/>
    <col min="12" max="12" width="13.7109375" style="46" customWidth="1"/>
    <col min="13" max="16384" width="9.140625" style="46"/>
  </cols>
  <sheetData>
    <row r="1" spans="2:15" ht="16.5" thickBot="1" x14ac:dyDescent="0.3">
      <c r="B1" s="125" t="s">
        <v>1167</v>
      </c>
    </row>
    <row r="2" spans="2:15" outlineLevel="1" x14ac:dyDescent="0.25">
      <c r="B2" s="266" t="s">
        <v>1208</v>
      </c>
      <c r="C2" s="264" t="s">
        <v>1207</v>
      </c>
      <c r="D2" s="264"/>
      <c r="E2" s="264"/>
      <c r="F2" s="264" t="s">
        <v>1</v>
      </c>
      <c r="G2" s="264"/>
      <c r="H2" s="264"/>
      <c r="I2" s="191" t="s">
        <v>1204</v>
      </c>
      <c r="J2" s="192" t="s">
        <v>1203</v>
      </c>
      <c r="K2" s="192"/>
      <c r="L2" s="193"/>
      <c r="M2" s="264" t="s">
        <v>1206</v>
      </c>
      <c r="N2" s="264"/>
      <c r="O2" s="265"/>
    </row>
    <row r="3" spans="2:15" outlineLevel="1" x14ac:dyDescent="0.25">
      <c r="B3" s="267"/>
      <c r="C3" s="174" t="s">
        <v>1200</v>
      </c>
      <c r="D3" s="184">
        <f>((D4-C4)/C4)</f>
        <v>3.2341622320586405E-2</v>
      </c>
      <c r="E3" s="185">
        <f>((E4-D4)/D4)</f>
        <v>-0.46405413093330117</v>
      </c>
      <c r="F3" s="174" t="s">
        <v>1201</v>
      </c>
      <c r="G3" s="185">
        <f>((G4-F4)/F4)</f>
        <v>-5.5203387177456317E-3</v>
      </c>
      <c r="H3" s="185">
        <f>((H4-G4)/G4)</f>
        <v>-0.49415463741777094</v>
      </c>
      <c r="I3" s="189" t="s">
        <v>1202</v>
      </c>
      <c r="J3" s="176">
        <f>D3-G3</f>
        <v>3.7861961038332038E-2</v>
      </c>
      <c r="K3" s="176">
        <f>E3-H3</f>
        <v>3.0100506484469769E-2</v>
      </c>
      <c r="L3" s="175"/>
      <c r="M3" s="174" t="s">
        <v>1202</v>
      </c>
      <c r="N3" s="184">
        <f>((N4-M4)/M4)</f>
        <v>3.8072132103248772E-2</v>
      </c>
      <c r="O3" s="186">
        <f>((O4-N4)/N4)</f>
        <v>5.9505352249970757E-2</v>
      </c>
    </row>
    <row r="4" spans="2:15" ht="15.75" outlineLevel="1" thickBot="1" x14ac:dyDescent="0.3">
      <c r="B4" s="177" t="s">
        <v>1199</v>
      </c>
      <c r="C4" s="183">
        <v>31416.343000000001</v>
      </c>
      <c r="D4" s="183">
        <v>32432.398499999999</v>
      </c>
      <c r="E4" s="183">
        <v>17382.009999999998</v>
      </c>
      <c r="F4" s="183">
        <v>1194607.8559999999</v>
      </c>
      <c r="G4" s="183">
        <v>1188013.216</v>
      </c>
      <c r="H4" s="183">
        <v>600950.97600000002</v>
      </c>
      <c r="I4" s="190" t="s">
        <v>1205</v>
      </c>
      <c r="J4" s="178"/>
      <c r="K4" s="178"/>
      <c r="L4" s="179"/>
      <c r="M4" s="187">
        <f>C4/F4</f>
        <v>2.6298456721349405E-2</v>
      </c>
      <c r="N4" s="187">
        <f>D4/G4</f>
        <v>2.729969503975619E-2</v>
      </c>
      <c r="O4" s="188">
        <f>E4/H4</f>
        <v>2.8924173009413662E-2</v>
      </c>
    </row>
    <row r="6" spans="2:15" ht="15" customHeight="1" x14ac:dyDescent="0.25">
      <c r="B6" s="131" t="s">
        <v>1168</v>
      </c>
      <c r="C6" s="132" t="s">
        <v>1142</v>
      </c>
      <c r="D6" s="132" t="s">
        <v>1143</v>
      </c>
      <c r="E6" s="132" t="s">
        <v>1151</v>
      </c>
      <c r="F6" s="132" t="s">
        <v>1144</v>
      </c>
      <c r="G6" s="132" t="s">
        <v>1145</v>
      </c>
      <c r="H6" s="132" t="s">
        <v>1152</v>
      </c>
      <c r="I6" s="142" t="s">
        <v>1175</v>
      </c>
      <c r="J6" s="136" t="s">
        <v>1153</v>
      </c>
      <c r="K6" s="132" t="s">
        <v>1210</v>
      </c>
      <c r="L6" s="132" t="s">
        <v>1211</v>
      </c>
      <c r="M6" s="132" t="s">
        <v>1212</v>
      </c>
      <c r="N6" s="132" t="s">
        <v>1216</v>
      </c>
    </row>
    <row r="7" spans="2:15" x14ac:dyDescent="0.25">
      <c r="B7" s="41" t="s">
        <v>830</v>
      </c>
      <c r="C7" s="111">
        <v>3341.5012999999999</v>
      </c>
      <c r="D7" s="112">
        <v>3428.0437000000002</v>
      </c>
      <c r="E7" s="113">
        <v>1852.1968999999999</v>
      </c>
      <c r="F7" s="114">
        <v>125970.25199999999</v>
      </c>
      <c r="G7" s="113">
        <v>127615.61199999999</v>
      </c>
      <c r="H7" s="113">
        <v>64977.618000000002</v>
      </c>
      <c r="I7" s="135">
        <f>SUM(Table7[[#This Row],[Volume 2022]:[Volume YTD 2024]])</f>
        <v>318563.48200000002</v>
      </c>
      <c r="J7" s="138">
        <v>8621.7419000000009</v>
      </c>
      <c r="K7" s="162">
        <f>IFERROR(((Table7[[#This Row],[2023]]-Table7[[#This Row],[2022]])/Table7[[#This Row],[2022]]),0)</f>
        <v>2.5899256720325163E-2</v>
      </c>
      <c r="L7" s="162">
        <f>IFERROR(((Table7[[#This Row],[Volume 2023]]-Table7[[#This Row],[Volume 2022]])/Table7[[#This Row],[Volume 2022]]),0)</f>
        <v>1.3061496455528251E-2</v>
      </c>
      <c r="M7" s="218">
        <f>Table7[[#This Row],[YoY growth]]-Table7[[#This Row],[Volume growth]]</f>
        <v>1.2837760264796912E-2</v>
      </c>
      <c r="N7" s="222"/>
    </row>
    <row r="8" spans="2:15" x14ac:dyDescent="0.25">
      <c r="B8" s="41" t="s">
        <v>465</v>
      </c>
      <c r="C8" s="111">
        <v>1818.1666</v>
      </c>
      <c r="D8" s="112">
        <v>2101.6939000000002</v>
      </c>
      <c r="E8" s="113">
        <v>1233.5607</v>
      </c>
      <c r="F8" s="114">
        <v>45975.839</v>
      </c>
      <c r="G8" s="113">
        <v>53803.039499999999</v>
      </c>
      <c r="H8" s="113">
        <v>29897.358</v>
      </c>
      <c r="I8" s="135">
        <f>SUM(Table7[[#This Row],[Volume 2022]:[Volume YTD 2024]])</f>
        <v>129676.2365</v>
      </c>
      <c r="J8" s="138">
        <v>5153.4212000000007</v>
      </c>
      <c r="K8" s="162">
        <f>IFERROR(((Table7[[#This Row],[2023]]-Table7[[#This Row],[2022]])/Table7[[#This Row],[2022]]),0)</f>
        <v>0.15594132022885043</v>
      </c>
      <c r="L8" s="162">
        <f>IFERROR(((Table7[[#This Row],[Volume 2023]]-Table7[[#This Row],[Volume 2022]])/Table7[[#This Row],[Volume 2022]]),0)</f>
        <v>0.17024595244471774</v>
      </c>
      <c r="M8" s="218">
        <f>Table7[[#This Row],[YoY growth]]-Table7[[#This Row],[Volume growth]]</f>
        <v>-1.4304632215867308E-2</v>
      </c>
      <c r="N8" s="222"/>
    </row>
    <row r="9" spans="2:15" x14ac:dyDescent="0.25">
      <c r="B9" s="41" t="s">
        <v>831</v>
      </c>
      <c r="C9" s="111">
        <v>511.78089999999997</v>
      </c>
      <c r="D9" s="112">
        <v>507.3048</v>
      </c>
      <c r="E9" s="113">
        <v>295.71379999999999</v>
      </c>
      <c r="F9" s="114">
        <v>23199.701799999999</v>
      </c>
      <c r="G9" s="113">
        <v>21680.539100000002</v>
      </c>
      <c r="H9" s="113">
        <v>11434.4841</v>
      </c>
      <c r="I9" s="135">
        <f>SUM(Table7[[#This Row],[Volume 2022]:[Volume YTD 2024]])</f>
        <v>56314.725000000006</v>
      </c>
      <c r="J9" s="138">
        <v>1314.7995000000001</v>
      </c>
      <c r="K9" s="162">
        <f>IFERROR(((Table7[[#This Row],[2023]]-Table7[[#This Row],[2022]])/Table7[[#This Row],[2022]]),0)</f>
        <v>-8.7461255392688054E-3</v>
      </c>
      <c r="L9" s="162">
        <f>IFERROR(((Table7[[#This Row],[Volume 2023]]-Table7[[#This Row],[Volume 2022]])/Table7[[#This Row],[Volume 2022]]),0)</f>
        <v>-6.5481992531472855E-2</v>
      </c>
      <c r="M9" s="218">
        <f>Table7[[#This Row],[YoY growth]]-Table7[[#This Row],[Volume growth]]</f>
        <v>5.6735866992204051E-2</v>
      </c>
      <c r="N9" s="222"/>
    </row>
    <row r="10" spans="2:15" x14ac:dyDescent="0.25">
      <c r="B10" s="41" t="s">
        <v>844</v>
      </c>
      <c r="C10" s="111">
        <v>471.6447</v>
      </c>
      <c r="D10" s="112">
        <v>448.00150000000002</v>
      </c>
      <c r="E10" s="113">
        <v>276.14030000000002</v>
      </c>
      <c r="F10" s="114">
        <v>13724.156499999999</v>
      </c>
      <c r="G10" s="113">
        <v>13181.351199999999</v>
      </c>
      <c r="H10" s="113">
        <v>8823.5241000000005</v>
      </c>
      <c r="I10" s="135">
        <f>SUM(Table7[[#This Row],[Volume 2022]:[Volume YTD 2024]])</f>
        <v>35729.031799999997</v>
      </c>
      <c r="J10" s="138">
        <v>1195.7865000000002</v>
      </c>
      <c r="K10" s="162">
        <f>IFERROR(((Table7[[#This Row],[2023]]-Table7[[#This Row],[2022]])/Table7[[#This Row],[2022]]),0)</f>
        <v>-5.0129260436934789E-2</v>
      </c>
      <c r="L10" s="162">
        <f>IFERROR(((Table7[[#This Row],[Volume 2023]]-Table7[[#This Row],[Volume 2022]])/Table7[[#This Row],[Volume 2022]]),0)</f>
        <v>-3.9551086436532552E-2</v>
      </c>
      <c r="M10" s="218">
        <f>Table7[[#This Row],[YoY growth]]-Table7[[#This Row],[Volume growth]]</f>
        <v>-1.0578174000402236E-2</v>
      </c>
      <c r="N10" s="222"/>
    </row>
    <row r="11" spans="2:15" x14ac:dyDescent="0.25">
      <c r="B11" s="41" t="s">
        <v>327</v>
      </c>
      <c r="C11" s="111">
        <v>394.4622</v>
      </c>
      <c r="D11" s="112">
        <v>406.93380000000002</v>
      </c>
      <c r="E11" s="113">
        <v>320.21539999999999</v>
      </c>
      <c r="F11" s="114">
        <v>18966.535500000002</v>
      </c>
      <c r="G11" s="113">
        <v>19594.108899999999</v>
      </c>
      <c r="H11" s="113">
        <v>15751.087</v>
      </c>
      <c r="I11" s="135">
        <f>SUM(Table7[[#This Row],[Volume 2022]:[Volume YTD 2024]])</f>
        <v>54311.731400000004</v>
      </c>
      <c r="J11" s="138">
        <v>1121.6114</v>
      </c>
      <c r="K11" s="162">
        <f>IFERROR(((Table7[[#This Row],[2023]]-Table7[[#This Row],[2022]])/Table7[[#This Row],[2022]]),0)</f>
        <v>3.1616717647470462E-2</v>
      </c>
      <c r="L11" s="162">
        <f>IFERROR(((Table7[[#This Row],[Volume 2023]]-Table7[[#This Row],[Volume 2022]])/Table7[[#This Row],[Volume 2022]]),0)</f>
        <v>3.3088457298909302E-2</v>
      </c>
      <c r="M11" s="218">
        <f>Table7[[#This Row],[YoY growth]]-Table7[[#This Row],[Volume growth]]</f>
        <v>-1.4717396514388401E-3</v>
      </c>
      <c r="N11" s="222"/>
    </row>
    <row r="12" spans="2:15" x14ac:dyDescent="0.25">
      <c r="B12" s="41" t="s">
        <v>189</v>
      </c>
      <c r="C12" s="111">
        <v>447.58159999999998</v>
      </c>
      <c r="D12" s="112">
        <v>351.95119999999997</v>
      </c>
      <c r="E12" s="113">
        <v>140.74770000000001</v>
      </c>
      <c r="F12" s="114">
        <v>23420.140299999999</v>
      </c>
      <c r="G12" s="113">
        <v>17186.2664</v>
      </c>
      <c r="H12" s="113">
        <v>6668.4120999999996</v>
      </c>
      <c r="I12" s="135">
        <f>SUM(Table7[[#This Row],[Volume 2022]:[Volume YTD 2024]])</f>
        <v>47274.818800000001</v>
      </c>
      <c r="J12" s="138">
        <v>940.28049999999996</v>
      </c>
      <c r="K12" s="162">
        <f>IFERROR(((Table7[[#This Row],[2023]]-Table7[[#This Row],[2022]])/Table7[[#This Row],[2022]]),0)</f>
        <v>-0.21366025770496377</v>
      </c>
      <c r="L12" s="162">
        <f>IFERROR(((Table7[[#This Row],[Volume 2023]]-Table7[[#This Row],[Volume 2022]])/Table7[[#This Row],[Volume 2022]]),0)</f>
        <v>-0.26617577094531747</v>
      </c>
      <c r="M12" s="218">
        <f>Table7[[#This Row],[YoY growth]]-Table7[[#This Row],[Volume growth]]</f>
        <v>5.2515513240353695E-2</v>
      </c>
      <c r="N12" s="222"/>
    </row>
    <row r="13" spans="2:15" x14ac:dyDescent="0.25">
      <c r="B13" s="41" t="s">
        <v>238</v>
      </c>
      <c r="C13" s="111">
        <v>332.01650000000001</v>
      </c>
      <c r="D13" s="112">
        <v>406.09359999999998</v>
      </c>
      <c r="E13" s="113">
        <v>185.505</v>
      </c>
      <c r="F13" s="114">
        <v>9811.9591</v>
      </c>
      <c r="G13" s="113">
        <v>12002.149100000001</v>
      </c>
      <c r="H13" s="113">
        <v>5143.8028000000004</v>
      </c>
      <c r="I13" s="135">
        <f>SUM(Table7[[#This Row],[Volume 2022]:[Volume YTD 2024]])</f>
        <v>26957.911000000004</v>
      </c>
      <c r="J13" s="138">
        <v>923.61509999999998</v>
      </c>
      <c r="K13" s="162">
        <f>IFERROR(((Table7[[#This Row],[2023]]-Table7[[#This Row],[2022]])/Table7[[#This Row],[2022]]),0)</f>
        <v>0.22311270674800793</v>
      </c>
      <c r="L13" s="162">
        <f>IFERROR(((Table7[[#This Row],[Volume 2023]]-Table7[[#This Row],[Volume 2022]])/Table7[[#This Row],[Volume 2022]]),0)</f>
        <v>0.22321638091622298</v>
      </c>
      <c r="M13" s="218">
        <f>Table7[[#This Row],[YoY growth]]-Table7[[#This Row],[Volume growth]]</f>
        <v>-1.0367416821505104E-4</v>
      </c>
      <c r="N13" s="222"/>
    </row>
    <row r="14" spans="2:15" x14ac:dyDescent="0.25">
      <c r="B14" s="41" t="s">
        <v>603</v>
      </c>
      <c r="C14" s="111">
        <v>306.92559999999997</v>
      </c>
      <c r="D14" s="112">
        <v>309.65649999999999</v>
      </c>
      <c r="E14" s="113">
        <v>149.7295</v>
      </c>
      <c r="F14" s="114">
        <v>16220.671399999999</v>
      </c>
      <c r="G14" s="113">
        <v>15817.5867</v>
      </c>
      <c r="H14" s="113">
        <v>7239.5672999999997</v>
      </c>
      <c r="I14" s="135">
        <f>SUM(Table7[[#This Row],[Volume 2022]:[Volume YTD 2024]])</f>
        <v>39277.825400000002</v>
      </c>
      <c r="J14" s="138">
        <v>766.3116</v>
      </c>
      <c r="K14" s="162">
        <f>IFERROR(((Table7[[#This Row],[2023]]-Table7[[#This Row],[2022]])/Table7[[#This Row],[2022]]),0)</f>
        <v>8.8975960297870884E-3</v>
      </c>
      <c r="L14" s="162">
        <f>IFERROR(((Table7[[#This Row],[Volume 2023]]-Table7[[#This Row],[Volume 2022]])/Table7[[#This Row],[Volume 2022]]),0)</f>
        <v>-2.485006261824646E-2</v>
      </c>
      <c r="M14" s="218">
        <f>Table7[[#This Row],[YoY growth]]-Table7[[#This Row],[Volume growth]]</f>
        <v>3.374765864803355E-2</v>
      </c>
      <c r="N14" s="222"/>
    </row>
    <row r="15" spans="2:15" x14ac:dyDescent="0.25">
      <c r="B15" s="41" t="s">
        <v>658</v>
      </c>
      <c r="C15" s="111">
        <v>396.2448</v>
      </c>
      <c r="D15" s="112">
        <v>253.72479999999999</v>
      </c>
      <c r="E15" s="113">
        <v>99.128500000000003</v>
      </c>
      <c r="F15" s="114">
        <v>23444.316599999998</v>
      </c>
      <c r="G15" s="113">
        <v>14396.6903</v>
      </c>
      <c r="H15" s="113">
        <v>5148.9142000000002</v>
      </c>
      <c r="I15" s="135">
        <f>SUM(Table7[[#This Row],[Volume 2022]:[Volume YTD 2024]])</f>
        <v>42989.9211</v>
      </c>
      <c r="J15" s="138">
        <v>749.09810000000004</v>
      </c>
      <c r="K15" s="162">
        <f>IFERROR(((Table7[[#This Row],[2023]]-Table7[[#This Row],[2022]])/Table7[[#This Row],[2022]]),0)</f>
        <v>-0.35967664433703611</v>
      </c>
      <c r="L15" s="162">
        <f>IFERROR(((Table7[[#This Row],[Volume 2023]]-Table7[[#This Row],[Volume 2022]])/Table7[[#This Row],[Volume 2022]]),0)</f>
        <v>-0.38591981393051134</v>
      </c>
      <c r="M15" s="218">
        <f>Table7[[#This Row],[YoY growth]]-Table7[[#This Row],[Volume growth]]</f>
        <v>2.6243169593475224E-2</v>
      </c>
      <c r="N15" s="222"/>
    </row>
    <row r="16" spans="2:15" x14ac:dyDescent="0.25">
      <c r="B16" s="41" t="s">
        <v>374</v>
      </c>
      <c r="C16" s="111">
        <v>277.92669999999998</v>
      </c>
      <c r="D16" s="112">
        <v>310.41480000000001</v>
      </c>
      <c r="E16" s="113">
        <v>125.3454</v>
      </c>
      <c r="F16" s="114">
        <v>8929.9617999999991</v>
      </c>
      <c r="G16" s="113">
        <v>9775.1643000000004</v>
      </c>
      <c r="H16" s="113">
        <v>3632.8901999999998</v>
      </c>
      <c r="I16" s="135">
        <f>SUM(Table7[[#This Row],[Volume 2022]:[Volume YTD 2024]])</f>
        <v>22338.016300000003</v>
      </c>
      <c r="J16" s="138">
        <v>713.68690000000004</v>
      </c>
      <c r="K16" s="162">
        <f>IFERROR(((Table7[[#This Row],[2023]]-Table7[[#This Row],[2022]])/Table7[[#This Row],[2022]]),0)</f>
        <v>0.11689449052573946</v>
      </c>
      <c r="L16" s="162">
        <f>IFERROR(((Table7[[#This Row],[Volume 2023]]-Table7[[#This Row],[Volume 2022]])/Table7[[#This Row],[Volume 2022]]),0)</f>
        <v>9.46479412711487E-2</v>
      </c>
      <c r="M16" s="218">
        <f>Table7[[#This Row],[YoY growth]]-Table7[[#This Row],[Volume growth]]</f>
        <v>2.2246549254590756E-2</v>
      </c>
      <c r="N16" s="222"/>
    </row>
    <row r="17" spans="2:14" x14ac:dyDescent="0.25">
      <c r="B17" s="41" t="s">
        <v>235</v>
      </c>
      <c r="C17" s="111">
        <v>230.7484</v>
      </c>
      <c r="D17" s="112">
        <v>299.01389999999998</v>
      </c>
      <c r="E17" s="113">
        <v>143.24440000000001</v>
      </c>
      <c r="F17" s="114">
        <v>11792.665300000001</v>
      </c>
      <c r="G17" s="113">
        <v>15508.3496</v>
      </c>
      <c r="H17" s="113">
        <v>7115.8298999999997</v>
      </c>
      <c r="I17" s="135">
        <f>SUM(Table7[[#This Row],[Volume 2022]:[Volume YTD 2024]])</f>
        <v>34416.844799999999</v>
      </c>
      <c r="J17" s="138">
        <v>673.00670000000002</v>
      </c>
      <c r="K17" s="162">
        <f>IFERROR(((Table7[[#This Row],[2023]]-Table7[[#This Row],[2022]])/Table7[[#This Row],[2022]]),0)</f>
        <v>0.29584387150680125</v>
      </c>
      <c r="L17" s="162">
        <f>IFERROR(((Table7[[#This Row],[Volume 2023]]-Table7[[#This Row],[Volume 2022]])/Table7[[#This Row],[Volume 2022]]),0)</f>
        <v>0.31508435162659953</v>
      </c>
      <c r="M17" s="218">
        <f>Table7[[#This Row],[YoY growth]]-Table7[[#This Row],[Volume growth]]</f>
        <v>-1.9240480119798287E-2</v>
      </c>
      <c r="N17" s="222"/>
    </row>
    <row r="18" spans="2:14" x14ac:dyDescent="0.25">
      <c r="B18" s="41" t="s">
        <v>265</v>
      </c>
      <c r="C18" s="111">
        <v>220.27789999999999</v>
      </c>
      <c r="D18" s="112">
        <v>271.99849999999998</v>
      </c>
      <c r="E18" s="113">
        <v>141.2388</v>
      </c>
      <c r="F18" s="114">
        <v>1748.9223999999999</v>
      </c>
      <c r="G18" s="113">
        <v>2358.5315000000001</v>
      </c>
      <c r="H18" s="113">
        <v>1240.7411999999999</v>
      </c>
      <c r="I18" s="135">
        <f>SUM(Table7[[#This Row],[Volume 2022]:[Volume YTD 2024]])</f>
        <v>5348.1951000000008</v>
      </c>
      <c r="J18" s="138">
        <v>633.51519999999994</v>
      </c>
      <c r="K18" s="162">
        <f>IFERROR(((Table7[[#This Row],[2023]]-Table7[[#This Row],[2022]])/Table7[[#This Row],[2022]]),0)</f>
        <v>0.23479704500542267</v>
      </c>
      <c r="L18" s="162">
        <f>IFERROR(((Table7[[#This Row],[Volume 2023]]-Table7[[#This Row],[Volume 2022]])/Table7[[#This Row],[Volume 2022]]),0)</f>
        <v>0.34856269208971202</v>
      </c>
      <c r="M18" s="218">
        <f>Table7[[#This Row],[YoY growth]]-Table7[[#This Row],[Volume growth]]</f>
        <v>-0.11376564708428935</v>
      </c>
      <c r="N18" s="222"/>
    </row>
    <row r="19" spans="2:14" x14ac:dyDescent="0.25">
      <c r="B19" s="41" t="s">
        <v>616</v>
      </c>
      <c r="C19" s="111">
        <v>270.87889999999999</v>
      </c>
      <c r="D19" s="112">
        <v>171.8775</v>
      </c>
      <c r="E19" s="113">
        <v>82.344399999999993</v>
      </c>
      <c r="F19" s="114">
        <v>16349.0191</v>
      </c>
      <c r="G19" s="113">
        <v>10296.382799999999</v>
      </c>
      <c r="H19" s="113">
        <v>4756.37</v>
      </c>
      <c r="I19" s="135">
        <f>SUM(Table7[[#This Row],[Volume 2022]:[Volume YTD 2024]])</f>
        <v>31401.771899999996</v>
      </c>
      <c r="J19" s="138">
        <v>525.10079999999994</v>
      </c>
      <c r="K19" s="162">
        <f>IFERROR(((Table7[[#This Row],[2023]]-Table7[[#This Row],[2022]])/Table7[[#This Row],[2022]]),0)</f>
        <v>-0.36548213980490912</v>
      </c>
      <c r="L19" s="162">
        <f>IFERROR(((Table7[[#This Row],[Volume 2023]]-Table7[[#This Row],[Volume 2022]])/Table7[[#This Row],[Volume 2022]]),0)</f>
        <v>-0.37021403320765589</v>
      </c>
      <c r="M19" s="218">
        <f>Table7[[#This Row],[YoY growth]]-Table7[[#This Row],[Volume growth]]</f>
        <v>4.7318934027467674E-3</v>
      </c>
      <c r="N19" s="222"/>
    </row>
    <row r="20" spans="2:14" x14ac:dyDescent="0.25">
      <c r="B20" s="41" t="s">
        <v>463</v>
      </c>
      <c r="C20" s="111">
        <v>192.72300000000001</v>
      </c>
      <c r="D20" s="112">
        <v>183.24340000000001</v>
      </c>
      <c r="E20" s="113">
        <v>97.209599999999995</v>
      </c>
      <c r="F20" s="114">
        <v>7900.9691000000003</v>
      </c>
      <c r="G20" s="113">
        <v>6838.8454000000002</v>
      </c>
      <c r="H20" s="113">
        <v>3264.5805999999998</v>
      </c>
      <c r="I20" s="135">
        <f>SUM(Table7[[#This Row],[Volume 2022]:[Volume YTD 2024]])</f>
        <v>18004.395100000002</v>
      </c>
      <c r="J20" s="138">
        <v>473.17600000000004</v>
      </c>
      <c r="K20" s="162">
        <f>IFERROR(((Table7[[#This Row],[2023]]-Table7[[#This Row],[2022]])/Table7[[#This Row],[2022]]),0)</f>
        <v>-4.9187694255485873E-2</v>
      </c>
      <c r="L20" s="162">
        <f>IFERROR(((Table7[[#This Row],[Volume 2023]]-Table7[[#This Row],[Volume 2022]])/Table7[[#This Row],[Volume 2022]]),0)</f>
        <v>-0.13442954738299129</v>
      </c>
      <c r="M20" s="218">
        <f>Table7[[#This Row],[YoY growth]]-Table7[[#This Row],[Volume growth]]</f>
        <v>8.5241853127505415E-2</v>
      </c>
      <c r="N20" s="222"/>
    </row>
    <row r="21" spans="2:14" x14ac:dyDescent="0.25">
      <c r="B21" s="41" t="s">
        <v>301</v>
      </c>
      <c r="C21" s="111">
        <v>168.57919999999999</v>
      </c>
      <c r="D21" s="112">
        <v>187.82560000000001</v>
      </c>
      <c r="E21" s="113">
        <v>100.9211</v>
      </c>
      <c r="F21" s="114">
        <v>4051.7896000000001</v>
      </c>
      <c r="G21" s="113">
        <v>4420.8852999999999</v>
      </c>
      <c r="H21" s="113">
        <v>2421.1071000000002</v>
      </c>
      <c r="I21" s="135">
        <f>SUM(Table7[[#This Row],[Volume 2022]:[Volume YTD 2024]])</f>
        <v>10893.781999999999</v>
      </c>
      <c r="J21" s="138">
        <v>457.32590000000005</v>
      </c>
      <c r="K21" s="162">
        <f>IFERROR(((Table7[[#This Row],[2023]]-Table7[[#This Row],[2022]])/Table7[[#This Row],[2022]]),0)</f>
        <v>0.11416829597008424</v>
      </c>
      <c r="L21" s="162">
        <f>IFERROR(((Table7[[#This Row],[Volume 2023]]-Table7[[#This Row],[Volume 2022]])/Table7[[#This Row],[Volume 2022]]),0)</f>
        <v>9.1094488223179171E-2</v>
      </c>
      <c r="M21" s="218">
        <f>Table7[[#This Row],[YoY growth]]-Table7[[#This Row],[Volume growth]]</f>
        <v>2.3073807746905067E-2</v>
      </c>
      <c r="N21" s="222"/>
    </row>
    <row r="22" spans="2:14" x14ac:dyDescent="0.25">
      <c r="B22" s="41" t="s">
        <v>202</v>
      </c>
      <c r="C22" s="111">
        <v>225.05289999999999</v>
      </c>
      <c r="D22" s="112">
        <v>160.9256</v>
      </c>
      <c r="E22" s="113">
        <v>66.089799999999997</v>
      </c>
      <c r="F22" s="114">
        <v>14096.87</v>
      </c>
      <c r="G22" s="113">
        <v>9843.2201000000005</v>
      </c>
      <c r="H22" s="113">
        <v>3643.3836000000001</v>
      </c>
      <c r="I22" s="135">
        <f>SUM(Table7[[#This Row],[Volume 2022]:[Volume YTD 2024]])</f>
        <v>27583.473700000002</v>
      </c>
      <c r="J22" s="138">
        <v>452.06830000000002</v>
      </c>
      <c r="K22" s="162">
        <f>IFERROR(((Table7[[#This Row],[2023]]-Table7[[#This Row],[2022]])/Table7[[#This Row],[2022]]),0)</f>
        <v>-0.28494322890307122</v>
      </c>
      <c r="L22" s="162">
        <f>IFERROR(((Table7[[#This Row],[Volume 2023]]-Table7[[#This Row],[Volume 2022]])/Table7[[#This Row],[Volume 2022]]),0)</f>
        <v>-0.30174428082262233</v>
      </c>
      <c r="M22" s="218">
        <f>Table7[[#This Row],[YoY growth]]-Table7[[#This Row],[Volume growth]]</f>
        <v>1.6801051919551113E-2</v>
      </c>
      <c r="N22" s="222"/>
    </row>
    <row r="23" spans="2:14" x14ac:dyDescent="0.25">
      <c r="B23" s="41" t="s">
        <v>207</v>
      </c>
      <c r="C23" s="111">
        <v>138.01410000000001</v>
      </c>
      <c r="D23" s="112">
        <v>157.21960000000001</v>
      </c>
      <c r="E23" s="113">
        <v>81.463999999999999</v>
      </c>
      <c r="F23" s="114">
        <v>7869.3761999999997</v>
      </c>
      <c r="G23" s="113">
        <v>8660.3381000000008</v>
      </c>
      <c r="H23" s="113">
        <v>4114.0384000000004</v>
      </c>
      <c r="I23" s="135">
        <f>SUM(Table7[[#This Row],[Volume 2022]:[Volume YTD 2024]])</f>
        <v>20643.752700000001</v>
      </c>
      <c r="J23" s="138">
        <v>376.6977</v>
      </c>
      <c r="K23" s="162">
        <f>IFERROR(((Table7[[#This Row],[2023]]-Table7[[#This Row],[2022]])/Table7[[#This Row],[2022]]),0)</f>
        <v>0.13915607173469957</v>
      </c>
      <c r="L23" s="162">
        <f>IFERROR(((Table7[[#This Row],[Volume 2023]]-Table7[[#This Row],[Volume 2022]])/Table7[[#This Row],[Volume 2022]]),0)</f>
        <v>0.10051138487952847</v>
      </c>
      <c r="M23" s="218">
        <f>Table7[[#This Row],[YoY growth]]-Table7[[#This Row],[Volume growth]]</f>
        <v>3.8644686855171098E-2</v>
      </c>
      <c r="N23" s="222"/>
    </row>
    <row r="24" spans="2:14" x14ac:dyDescent="0.25">
      <c r="B24" s="41" t="s">
        <v>623</v>
      </c>
      <c r="C24" s="111">
        <v>154.93469999999999</v>
      </c>
      <c r="D24" s="112">
        <v>154.98240000000001</v>
      </c>
      <c r="E24" s="113">
        <v>45.514299999999999</v>
      </c>
      <c r="F24" s="114">
        <v>4738.4238999999998</v>
      </c>
      <c r="G24" s="113">
        <v>5792.3320000000003</v>
      </c>
      <c r="H24" s="113">
        <v>1599.6686</v>
      </c>
      <c r="I24" s="135">
        <f>SUM(Table7[[#This Row],[Volume 2022]:[Volume YTD 2024]])</f>
        <v>12130.424500000001</v>
      </c>
      <c r="J24" s="138">
        <v>355.4314</v>
      </c>
      <c r="K24" s="162">
        <f>IFERROR(((Table7[[#This Row],[2023]]-Table7[[#This Row],[2022]])/Table7[[#This Row],[2022]]),0)</f>
        <v>3.0787163882603627E-4</v>
      </c>
      <c r="L24" s="162">
        <f>IFERROR(((Table7[[#This Row],[Volume 2023]]-Table7[[#This Row],[Volume 2022]])/Table7[[#This Row],[Volume 2022]]),0)</f>
        <v>0.22241743715668846</v>
      </c>
      <c r="M24" s="218">
        <f>Table7[[#This Row],[YoY growth]]-Table7[[#This Row],[Volume growth]]</f>
        <v>-0.22210956551786243</v>
      </c>
      <c r="N24" s="222"/>
    </row>
    <row r="25" spans="2:14" x14ac:dyDescent="0.25">
      <c r="B25" s="41" t="s">
        <v>424</v>
      </c>
      <c r="C25" s="111">
        <v>110.6263</v>
      </c>
      <c r="D25" s="112">
        <v>168.029</v>
      </c>
      <c r="E25" s="113">
        <v>45.025399999999998</v>
      </c>
      <c r="F25" s="114">
        <v>6418.4327000000003</v>
      </c>
      <c r="G25" s="113">
        <v>9586.4138000000003</v>
      </c>
      <c r="H25" s="113">
        <v>2536.5643</v>
      </c>
      <c r="I25" s="135">
        <f>SUM(Table7[[#This Row],[Volume 2022]:[Volume YTD 2024]])</f>
        <v>18541.410799999998</v>
      </c>
      <c r="J25" s="138">
        <v>323.6807</v>
      </c>
      <c r="K25" s="162">
        <f>IFERROR(((Table7[[#This Row],[2023]]-Table7[[#This Row],[2022]])/Table7[[#This Row],[2022]]),0)</f>
        <v>0.51888836560564711</v>
      </c>
      <c r="L25" s="162">
        <f>IFERROR(((Table7[[#This Row],[Volume 2023]]-Table7[[#This Row],[Volume 2022]])/Table7[[#This Row],[Volume 2022]]),0)</f>
        <v>0.49357549546324603</v>
      </c>
      <c r="M25" s="218">
        <f>Table7[[#This Row],[YoY growth]]-Table7[[#This Row],[Volume growth]]</f>
        <v>2.5312870142401078E-2</v>
      </c>
      <c r="N25" s="222"/>
    </row>
    <row r="26" spans="2:14" x14ac:dyDescent="0.25">
      <c r="B26" s="41" t="s">
        <v>215</v>
      </c>
      <c r="C26" s="111">
        <v>137.1788</v>
      </c>
      <c r="D26" s="112">
        <v>116.5658</v>
      </c>
      <c r="E26" s="113">
        <v>65.912899999999993</v>
      </c>
      <c r="F26" s="114">
        <v>7929.3796000000002</v>
      </c>
      <c r="G26" s="113">
        <v>6740.5910999999996</v>
      </c>
      <c r="H26" s="113">
        <v>3524.3125</v>
      </c>
      <c r="I26" s="135">
        <f>SUM(Table7[[#This Row],[Volume 2022]:[Volume YTD 2024]])</f>
        <v>18194.283199999998</v>
      </c>
      <c r="J26" s="138">
        <v>319.65749999999997</v>
      </c>
      <c r="K26" s="162">
        <f>IFERROR(((Table7[[#This Row],[2023]]-Table7[[#This Row],[2022]])/Table7[[#This Row],[2022]]),0)</f>
        <v>-0.15026374337725654</v>
      </c>
      <c r="L26" s="162">
        <f>IFERROR(((Table7[[#This Row],[Volume 2023]]-Table7[[#This Row],[Volume 2022]])/Table7[[#This Row],[Volume 2022]]),0)</f>
        <v>-0.14992200650855467</v>
      </c>
      <c r="M26" s="218">
        <f>Table7[[#This Row],[YoY growth]]-Table7[[#This Row],[Volume growth]]</f>
        <v>-3.4173686870186959E-4</v>
      </c>
      <c r="N26" s="222"/>
    </row>
    <row r="27" spans="2:14" hidden="1" x14ac:dyDescent="0.25">
      <c r="B27" s="41" t="s">
        <v>868</v>
      </c>
      <c r="C27" s="111">
        <v>0</v>
      </c>
      <c r="D27" s="112">
        <v>170.6652</v>
      </c>
      <c r="E27" s="113">
        <v>101.533</v>
      </c>
      <c r="F27" s="114">
        <v>0</v>
      </c>
      <c r="G27" s="113">
        <v>10947.355799999999</v>
      </c>
      <c r="H27" s="113">
        <v>5713.8589000000002</v>
      </c>
      <c r="I27" s="135">
        <f>SUM(Table7[[#This Row],[Volume 2022]:[Volume YTD 2024]])</f>
        <v>16661.2147</v>
      </c>
      <c r="J27" s="138">
        <v>272.19819999999999</v>
      </c>
      <c r="K27" s="162">
        <f>IFERROR(((Table7[[#This Row],[2023]]-Table7[[#This Row],[2022]])/Table7[[#This Row],[2022]]),0)</f>
        <v>0</v>
      </c>
      <c r="L27" s="162">
        <f>IFERROR(((Table7[[#This Row],[YTD 2024]]-Table7[[#This Row],[2023]])/Table7[[#This Row],[2023]]),0)</f>
        <v>-0.40507496548798466</v>
      </c>
      <c r="M27" s="218">
        <f>Table7[[#This Row],[YoY growth]]-Table7[[#This Row],[Volume growth]]</f>
        <v>0.40507496548798466</v>
      </c>
      <c r="N27" s="222"/>
    </row>
    <row r="28" spans="2:14" hidden="1" x14ac:dyDescent="0.25">
      <c r="B28" s="41" t="s">
        <v>867</v>
      </c>
      <c r="C28" s="111">
        <v>27.842099999999999</v>
      </c>
      <c r="D28" s="112">
        <v>189.22739999999999</v>
      </c>
      <c r="E28" s="113">
        <v>44.134900000000002</v>
      </c>
      <c r="F28" s="114">
        <v>1267.7428</v>
      </c>
      <c r="G28" s="113">
        <v>11056.5895</v>
      </c>
      <c r="H28" s="113">
        <v>2900.9742999999999</v>
      </c>
      <c r="I28" s="135">
        <f>SUM(Table7[[#This Row],[Volume 2022]:[Volume YTD 2024]])</f>
        <v>15225.3066</v>
      </c>
      <c r="J28" s="138">
        <v>261.20439999999996</v>
      </c>
      <c r="K28" s="162">
        <f>IFERROR(((Table7[[#This Row],[2023]]-Table7[[#This Row],[2022]])/Table7[[#This Row],[2022]]),0)</f>
        <v>5.7964485437520876</v>
      </c>
      <c r="L28" s="162">
        <f>IFERROR(((Table7[[#This Row],[YTD 2024]]-Table7[[#This Row],[2023]])/Table7[[#This Row],[2023]]),0)</f>
        <v>-0.7667626358550611</v>
      </c>
      <c r="M28" s="218">
        <f>Table7[[#This Row],[YoY growth]]-Table7[[#This Row],[Volume growth]]</f>
        <v>6.5632111796071486</v>
      </c>
      <c r="N28" s="222"/>
    </row>
    <row r="29" spans="2:14" hidden="1" x14ac:dyDescent="0.25">
      <c r="B29" s="41" t="s">
        <v>835</v>
      </c>
      <c r="C29" s="111">
        <v>104.66630000000001</v>
      </c>
      <c r="D29" s="112">
        <v>94.425600000000003</v>
      </c>
      <c r="E29" s="113">
        <v>45.948500000000003</v>
      </c>
      <c r="F29" s="114">
        <v>5728.6422000000002</v>
      </c>
      <c r="G29" s="113">
        <v>5002.3734000000004</v>
      </c>
      <c r="H29" s="113">
        <v>2228.9189999999999</v>
      </c>
      <c r="I29" s="135">
        <f>SUM(Table7[[#This Row],[Volume 2022]:[Volume YTD 2024]])</f>
        <v>12959.934600000001</v>
      </c>
      <c r="J29" s="138">
        <v>245.04040000000001</v>
      </c>
      <c r="K29" s="162">
        <f>IFERROR(((Table7[[#This Row],[2023]]-Table7[[#This Row],[2022]])/Table7[[#This Row],[2022]]),0)</f>
        <v>-9.7841425559134151E-2</v>
      </c>
      <c r="L29" s="162">
        <f>IFERROR(((Table7[[#This Row],[YTD 2024]]-Table7[[#This Row],[2023]])/Table7[[#This Row],[2023]]),0)</f>
        <v>-0.51338937745696078</v>
      </c>
      <c r="M29" s="218">
        <f>Table7[[#This Row],[YoY growth]]-Table7[[#This Row],[Volume growth]]</f>
        <v>0.41554795189782662</v>
      </c>
      <c r="N29" s="222"/>
    </row>
    <row r="30" spans="2:14" hidden="1" x14ac:dyDescent="0.25">
      <c r="B30" s="41" t="s">
        <v>833</v>
      </c>
      <c r="C30" s="111">
        <v>113.30880000000001</v>
      </c>
      <c r="D30" s="112">
        <v>81.313699999999997</v>
      </c>
      <c r="E30" s="113">
        <v>48.297400000000003</v>
      </c>
      <c r="F30" s="114">
        <v>1483.433</v>
      </c>
      <c r="G30" s="113">
        <v>1045.7734</v>
      </c>
      <c r="H30" s="113">
        <v>598.3963</v>
      </c>
      <c r="I30" s="135">
        <f>SUM(Table7[[#This Row],[Volume 2022]:[Volume YTD 2024]])</f>
        <v>3127.6026999999999</v>
      </c>
      <c r="J30" s="138">
        <v>242.91990000000001</v>
      </c>
      <c r="K30" s="162">
        <f>IFERROR(((Table7[[#This Row],[2023]]-Table7[[#This Row],[2022]])/Table7[[#This Row],[2022]]),0)</f>
        <v>-0.28237083086221021</v>
      </c>
      <c r="L30" s="162">
        <f>IFERROR(((Table7[[#This Row],[YTD 2024]]-Table7[[#This Row],[2023]])/Table7[[#This Row],[2023]]),0)</f>
        <v>-0.40603612921315835</v>
      </c>
      <c r="M30" s="218">
        <f>Table7[[#This Row],[YoY growth]]-Table7[[#This Row],[Volume growth]]</f>
        <v>0.12366529835094814</v>
      </c>
      <c r="N30" s="222"/>
    </row>
    <row r="31" spans="2:14" hidden="1" x14ac:dyDescent="0.25">
      <c r="B31" s="41" t="s">
        <v>568</v>
      </c>
      <c r="C31" s="111">
        <v>65.928700000000006</v>
      </c>
      <c r="D31" s="112">
        <v>83.733099999999993</v>
      </c>
      <c r="E31" s="113">
        <v>33.060899999999997</v>
      </c>
      <c r="F31" s="114">
        <v>4636.9623000000001</v>
      </c>
      <c r="G31" s="113">
        <v>5284.2040999999999</v>
      </c>
      <c r="H31" s="113">
        <v>2040.6587</v>
      </c>
      <c r="I31" s="135">
        <f>SUM(Table7[[#This Row],[Volume 2022]:[Volume YTD 2024]])</f>
        <v>11961.8251</v>
      </c>
      <c r="J31" s="138">
        <v>182.7227</v>
      </c>
      <c r="K31" s="162">
        <f>IFERROR(((Table7[[#This Row],[2023]]-Table7[[#This Row],[2022]])/Table7[[#This Row],[2022]]),0)</f>
        <v>0.27005537800684659</v>
      </c>
      <c r="L31" s="162">
        <f>IFERROR(((Table7[[#This Row],[YTD 2024]]-Table7[[#This Row],[2023]])/Table7[[#This Row],[2023]]),0)</f>
        <v>-0.60516331056655015</v>
      </c>
      <c r="M31" s="218">
        <f>Table7[[#This Row],[YoY growth]]-Table7[[#This Row],[Volume growth]]</f>
        <v>0.8752186885733968</v>
      </c>
      <c r="N31" s="222"/>
    </row>
    <row r="32" spans="2:14" hidden="1" x14ac:dyDescent="0.25">
      <c r="B32" s="41" t="s">
        <v>848</v>
      </c>
      <c r="C32" s="111">
        <v>36.0259</v>
      </c>
      <c r="D32" s="112">
        <v>55.229399999999998</v>
      </c>
      <c r="E32" s="113">
        <v>85.139799999999994</v>
      </c>
      <c r="F32" s="114">
        <v>1024.5518</v>
      </c>
      <c r="G32" s="113">
        <v>1623.7085999999999</v>
      </c>
      <c r="H32" s="113">
        <v>2439.0855000000001</v>
      </c>
      <c r="I32" s="135">
        <f>SUM(Table7[[#This Row],[Volume 2022]:[Volume YTD 2024]])</f>
        <v>5087.3459000000003</v>
      </c>
      <c r="J32" s="138">
        <v>176.39510000000001</v>
      </c>
      <c r="K32" s="162">
        <f>IFERROR(((Table7[[#This Row],[2023]]-Table7[[#This Row],[2022]])/Table7[[#This Row],[2022]]),0)</f>
        <v>0.53304705781118578</v>
      </c>
      <c r="L32" s="162">
        <f>IFERROR(((Table7[[#This Row],[YTD 2024]]-Table7[[#This Row],[2023]])/Table7[[#This Row],[2023]]),0)</f>
        <v>0.54156662936769173</v>
      </c>
      <c r="M32" s="218">
        <f>Table7[[#This Row],[YoY growth]]-Table7[[#This Row],[Volume growth]]</f>
        <v>-8.519571556505956E-3</v>
      </c>
      <c r="N32" s="222"/>
    </row>
    <row r="33" spans="2:14" hidden="1" x14ac:dyDescent="0.25">
      <c r="B33" s="41" t="s">
        <v>253</v>
      </c>
      <c r="C33" s="111">
        <v>113.4864</v>
      </c>
      <c r="D33" s="112">
        <v>49.046199999999999</v>
      </c>
      <c r="E33" s="113">
        <v>12.333</v>
      </c>
      <c r="F33" s="114">
        <v>2663.5762</v>
      </c>
      <c r="G33" s="113">
        <v>1050.6376</v>
      </c>
      <c r="H33" s="113">
        <v>244.38679999999999</v>
      </c>
      <c r="I33" s="135">
        <f>SUM(Table7[[#This Row],[Volume 2022]:[Volume YTD 2024]])</f>
        <v>3958.6005999999998</v>
      </c>
      <c r="J33" s="138">
        <v>174.8656</v>
      </c>
      <c r="K33" s="162">
        <f>IFERROR(((Table7[[#This Row],[2023]]-Table7[[#This Row],[2022]])/Table7[[#This Row],[2022]]),0)</f>
        <v>-0.56782310479493581</v>
      </c>
      <c r="L33" s="162">
        <f>IFERROR(((Table7[[#This Row],[YTD 2024]]-Table7[[#This Row],[2023]])/Table7[[#This Row],[2023]]),0)</f>
        <v>-0.74854321027928772</v>
      </c>
      <c r="M33" s="218">
        <f>Table7[[#This Row],[YoY growth]]-Table7[[#This Row],[Volume growth]]</f>
        <v>0.18072010548435191</v>
      </c>
      <c r="N33" s="222"/>
    </row>
    <row r="34" spans="2:14" hidden="1" x14ac:dyDescent="0.25">
      <c r="B34" s="41" t="s">
        <v>404</v>
      </c>
      <c r="C34" s="111">
        <v>14.5854</v>
      </c>
      <c r="D34" s="112">
        <v>84.660600000000002</v>
      </c>
      <c r="E34" s="113">
        <v>67.934799999999996</v>
      </c>
      <c r="F34" s="114">
        <v>930.23509999999999</v>
      </c>
      <c r="G34" s="113">
        <v>4606.9654</v>
      </c>
      <c r="H34" s="113">
        <v>3467.3735000000001</v>
      </c>
      <c r="I34" s="135">
        <f>SUM(Table7[[#This Row],[Volume 2022]:[Volume YTD 2024]])</f>
        <v>9004.5740000000005</v>
      </c>
      <c r="J34" s="138">
        <v>167.1808</v>
      </c>
      <c r="K34" s="162">
        <f>IFERROR(((Table7[[#This Row],[2023]]-Table7[[#This Row],[2022]])/Table7[[#This Row],[2022]]),0)</f>
        <v>4.8044757085852972</v>
      </c>
      <c r="L34" s="162">
        <f>IFERROR(((Table7[[#This Row],[YTD 2024]]-Table7[[#This Row],[2023]])/Table7[[#This Row],[2023]]),0)</f>
        <v>-0.19756297498482181</v>
      </c>
      <c r="M34" s="218">
        <f>Table7[[#This Row],[YoY growth]]-Table7[[#This Row],[Volume growth]]</f>
        <v>5.0020386835701194</v>
      </c>
      <c r="N34" s="222"/>
    </row>
    <row r="35" spans="2:14" hidden="1" x14ac:dyDescent="0.25">
      <c r="B35" s="41" t="s">
        <v>592</v>
      </c>
      <c r="C35" s="111">
        <v>26.3474</v>
      </c>
      <c r="D35" s="112">
        <v>72.5916</v>
      </c>
      <c r="E35" s="113">
        <v>62.0075</v>
      </c>
      <c r="F35" s="114">
        <v>920.46799999999996</v>
      </c>
      <c r="G35" s="113">
        <v>3084.2015999999999</v>
      </c>
      <c r="H35" s="113">
        <v>2719.9431</v>
      </c>
      <c r="I35" s="135">
        <f>SUM(Table7[[#This Row],[Volume 2022]:[Volume YTD 2024]])</f>
        <v>6724.6126999999997</v>
      </c>
      <c r="J35" s="138">
        <v>160.94649999999999</v>
      </c>
      <c r="K35" s="162">
        <f>IFERROR(((Table7[[#This Row],[2023]]-Table7[[#This Row],[2022]])/Table7[[#This Row],[2022]]),0)</f>
        <v>1.7551712882485557</v>
      </c>
      <c r="L35" s="162">
        <f>IFERROR(((Table7[[#This Row],[YTD 2024]]-Table7[[#This Row],[2023]])/Table7[[#This Row],[2023]]),0)</f>
        <v>-0.14580337118895298</v>
      </c>
      <c r="M35" s="218">
        <f>Table7[[#This Row],[YoY growth]]-Table7[[#This Row],[Volume growth]]</f>
        <v>1.9009746594375088</v>
      </c>
      <c r="N35" s="222"/>
    </row>
    <row r="36" spans="2:14" hidden="1" x14ac:dyDescent="0.25">
      <c r="B36" s="41" t="s">
        <v>654</v>
      </c>
      <c r="C36" s="111">
        <v>55.783799999999999</v>
      </c>
      <c r="D36" s="112">
        <v>57.806899999999999</v>
      </c>
      <c r="E36" s="113">
        <v>19.850100000000001</v>
      </c>
      <c r="F36" s="114">
        <v>3648.0401999999999</v>
      </c>
      <c r="G36" s="113">
        <v>4041.2568000000001</v>
      </c>
      <c r="H36" s="113">
        <v>1253.7541000000001</v>
      </c>
      <c r="I36" s="135">
        <f>SUM(Table7[[#This Row],[Volume 2022]:[Volume YTD 2024]])</f>
        <v>8943.0511000000006</v>
      </c>
      <c r="J36" s="138">
        <v>133.4408</v>
      </c>
      <c r="K36" s="162">
        <f>IFERROR(((Table7[[#This Row],[2023]]-Table7[[#This Row],[2022]])/Table7[[#This Row],[2022]]),0)</f>
        <v>3.626680147282902E-2</v>
      </c>
      <c r="L36" s="162">
        <f>IFERROR(((Table7[[#This Row],[YTD 2024]]-Table7[[#This Row],[2023]])/Table7[[#This Row],[2023]]),0)</f>
        <v>-0.65661365684719297</v>
      </c>
      <c r="M36" s="218">
        <f>Table7[[#This Row],[YoY growth]]-Table7[[#This Row],[Volume growth]]</f>
        <v>0.69288045832002199</v>
      </c>
      <c r="N36" s="222"/>
    </row>
    <row r="37" spans="2:14" hidden="1" x14ac:dyDescent="0.25">
      <c r="B37" s="41" t="s">
        <v>225</v>
      </c>
      <c r="C37" s="111">
        <v>76.472300000000004</v>
      </c>
      <c r="D37" s="112">
        <v>36.366500000000002</v>
      </c>
      <c r="E37" s="113">
        <v>17.4222</v>
      </c>
      <c r="F37" s="114">
        <v>3099.3413999999998</v>
      </c>
      <c r="G37" s="113">
        <v>1512.1391000000001</v>
      </c>
      <c r="H37" s="113">
        <v>684.81539999999995</v>
      </c>
      <c r="I37" s="135">
        <f>SUM(Table7[[#This Row],[Volume 2022]:[Volume YTD 2024]])</f>
        <v>5296.2958999999992</v>
      </c>
      <c r="J37" s="138">
        <v>130.261</v>
      </c>
      <c r="K37" s="162">
        <f>IFERROR(((Table7[[#This Row],[2023]]-Table7[[#This Row],[2022]])/Table7[[#This Row],[2022]]),0)</f>
        <v>-0.5244487219555316</v>
      </c>
      <c r="L37" s="162">
        <f>IFERROR(((Table7[[#This Row],[YTD 2024]]-Table7[[#This Row],[2023]])/Table7[[#This Row],[2023]]),0)</f>
        <v>-0.52092722698087524</v>
      </c>
      <c r="M37" s="218">
        <f>Table7[[#This Row],[YoY growth]]-Table7[[#This Row],[Volume growth]]</f>
        <v>-3.5214949746563695E-3</v>
      </c>
      <c r="N37" s="222"/>
    </row>
    <row r="38" spans="2:14" hidden="1" x14ac:dyDescent="0.25">
      <c r="B38" s="41" t="s">
        <v>684</v>
      </c>
      <c r="C38" s="111">
        <v>54.988799999999998</v>
      </c>
      <c r="D38" s="112">
        <v>43.223300000000002</v>
      </c>
      <c r="E38" s="113">
        <v>24.458100000000002</v>
      </c>
      <c r="F38" s="114">
        <v>1994.8981000000001</v>
      </c>
      <c r="G38" s="113">
        <v>1640.5911000000001</v>
      </c>
      <c r="H38" s="113">
        <v>925.65359999999998</v>
      </c>
      <c r="I38" s="135">
        <f>SUM(Table7[[#This Row],[Volume 2022]:[Volume YTD 2024]])</f>
        <v>4561.1427999999996</v>
      </c>
      <c r="J38" s="138">
        <v>122.67019999999999</v>
      </c>
      <c r="K38" s="162">
        <f>IFERROR(((Table7[[#This Row],[2023]]-Table7[[#This Row],[2022]])/Table7[[#This Row],[2022]]),0)</f>
        <v>-0.21396175221135932</v>
      </c>
      <c r="L38" s="162">
        <f>IFERROR(((Table7[[#This Row],[YTD 2024]]-Table7[[#This Row],[2023]])/Table7[[#This Row],[2023]]),0)</f>
        <v>-0.43414547246508245</v>
      </c>
      <c r="M38" s="218">
        <f>Table7[[#This Row],[YoY growth]]-Table7[[#This Row],[Volume growth]]</f>
        <v>0.22018372025372313</v>
      </c>
      <c r="N38" s="222"/>
    </row>
    <row r="39" spans="2:14" hidden="1" x14ac:dyDescent="0.25">
      <c r="B39" s="41" t="s">
        <v>572</v>
      </c>
      <c r="C39" s="111">
        <v>64.446200000000005</v>
      </c>
      <c r="D39" s="112">
        <v>43.039900000000003</v>
      </c>
      <c r="E39" s="113">
        <v>13.16</v>
      </c>
      <c r="F39" s="114">
        <v>4048.3544000000002</v>
      </c>
      <c r="G39" s="113">
        <v>2244.0173</v>
      </c>
      <c r="H39" s="113">
        <v>741.50080000000003</v>
      </c>
      <c r="I39" s="135">
        <f>SUM(Table7[[#This Row],[Volume 2022]:[Volume YTD 2024]])</f>
        <v>7033.8724999999995</v>
      </c>
      <c r="J39" s="138">
        <v>120.6461</v>
      </c>
      <c r="K39" s="162">
        <f>IFERROR(((Table7[[#This Row],[2023]]-Table7[[#This Row],[2022]])/Table7[[#This Row],[2022]]),0)</f>
        <v>-0.33215767570469634</v>
      </c>
      <c r="L39" s="162">
        <f>IFERROR(((Table7[[#This Row],[YTD 2024]]-Table7[[#This Row],[2023]])/Table7[[#This Row],[2023]]),0)</f>
        <v>-0.69423720780020404</v>
      </c>
      <c r="M39" s="218">
        <f>Table7[[#This Row],[YoY growth]]-Table7[[#This Row],[Volume growth]]</f>
        <v>0.36207953209550769</v>
      </c>
      <c r="N39" s="222"/>
    </row>
    <row r="40" spans="2:14" hidden="1" x14ac:dyDescent="0.25">
      <c r="B40" s="41" t="s">
        <v>862</v>
      </c>
      <c r="C40" s="111">
        <v>80.961600000000004</v>
      </c>
      <c r="D40" s="112">
        <v>26.590599999999998</v>
      </c>
      <c r="E40" s="113">
        <v>4.7952000000000004</v>
      </c>
      <c r="F40" s="114">
        <v>4767.0126</v>
      </c>
      <c r="G40" s="113">
        <v>1476.0722000000001</v>
      </c>
      <c r="H40" s="113">
        <v>260.76119999999997</v>
      </c>
      <c r="I40" s="135">
        <f>SUM(Table7[[#This Row],[Volume 2022]:[Volume YTD 2024]])</f>
        <v>6503.8460000000005</v>
      </c>
      <c r="J40" s="138">
        <v>112.34739999999999</v>
      </c>
      <c r="K40" s="162">
        <f>IFERROR(((Table7[[#This Row],[2023]]-Table7[[#This Row],[2022]])/Table7[[#This Row],[2022]]),0)</f>
        <v>-0.6715652852710422</v>
      </c>
      <c r="L40" s="162">
        <f>IFERROR(((Table7[[#This Row],[YTD 2024]]-Table7[[#This Row],[2023]])/Table7[[#This Row],[2023]]),0)</f>
        <v>-0.81966559611291201</v>
      </c>
      <c r="M40" s="218">
        <f>Table7[[#This Row],[YoY growth]]-Table7[[#This Row],[Volume growth]]</f>
        <v>0.14810031084186981</v>
      </c>
      <c r="N40" s="222"/>
    </row>
    <row r="41" spans="2:14" hidden="1" x14ac:dyDescent="0.25">
      <c r="B41" s="41" t="s">
        <v>416</v>
      </c>
      <c r="C41" s="111">
        <v>0</v>
      </c>
      <c r="D41" s="112">
        <v>71.560299999999998</v>
      </c>
      <c r="E41" s="113">
        <v>32.9009</v>
      </c>
      <c r="F41" s="114">
        <v>0</v>
      </c>
      <c r="G41" s="113">
        <v>4107.0888999999997</v>
      </c>
      <c r="H41" s="113">
        <v>1795.3303000000001</v>
      </c>
      <c r="I41" s="135">
        <f>SUM(Table7[[#This Row],[Volume 2022]:[Volume YTD 2024]])</f>
        <v>5902.4192000000003</v>
      </c>
      <c r="J41" s="138">
        <v>104.46119999999999</v>
      </c>
      <c r="K41" s="162">
        <f>IFERROR(((Table7[[#This Row],[2023]]-Table7[[#This Row],[2022]])/Table7[[#This Row],[2022]]),0)</f>
        <v>0</v>
      </c>
      <c r="L41" s="162">
        <f>IFERROR(((Table7[[#This Row],[YTD 2024]]-Table7[[#This Row],[2023]])/Table7[[#This Row],[2023]]),0)</f>
        <v>-0.54023529806331161</v>
      </c>
      <c r="M41" s="218">
        <f>Table7[[#This Row],[YoY growth]]-Table7[[#This Row],[Volume growth]]</f>
        <v>0.54023529806331161</v>
      </c>
      <c r="N41" s="222"/>
    </row>
    <row r="42" spans="2:14" hidden="1" x14ac:dyDescent="0.25">
      <c r="B42" s="41" t="s">
        <v>858</v>
      </c>
      <c r="C42" s="111">
        <v>57.485300000000002</v>
      </c>
      <c r="D42" s="112">
        <v>39.476199999999999</v>
      </c>
      <c r="E42" s="113">
        <v>6.7363999999999997</v>
      </c>
      <c r="F42" s="114">
        <v>3117.2665999999999</v>
      </c>
      <c r="G42" s="113">
        <v>2098.0985000000001</v>
      </c>
      <c r="H42" s="113">
        <v>314.59030000000001</v>
      </c>
      <c r="I42" s="135">
        <f>SUM(Table7[[#This Row],[Volume 2022]:[Volume YTD 2024]])</f>
        <v>5529.9553999999998</v>
      </c>
      <c r="J42" s="138">
        <v>103.6979</v>
      </c>
      <c r="K42" s="162">
        <f>IFERROR(((Table7[[#This Row],[2023]]-Table7[[#This Row],[2022]])/Table7[[#This Row],[2022]]),0)</f>
        <v>-0.31328183031140139</v>
      </c>
      <c r="L42" s="162">
        <f>IFERROR(((Table7[[#This Row],[YTD 2024]]-Table7[[#This Row],[2023]])/Table7[[#This Row],[2023]]),0)</f>
        <v>-0.82935540908192795</v>
      </c>
      <c r="M42" s="218">
        <f>Table7[[#This Row],[YoY growth]]-Table7[[#This Row],[Volume growth]]</f>
        <v>0.51607357877052662</v>
      </c>
      <c r="N42" s="222"/>
    </row>
    <row r="43" spans="2:14" hidden="1" x14ac:dyDescent="0.25">
      <c r="B43" s="41" t="s">
        <v>608</v>
      </c>
      <c r="C43" s="111">
        <v>53.159100000000002</v>
      </c>
      <c r="D43" s="112">
        <v>28.811599999999999</v>
      </c>
      <c r="E43" s="113">
        <v>10.3498</v>
      </c>
      <c r="F43" s="114">
        <v>3425.3593000000001</v>
      </c>
      <c r="G43" s="113">
        <v>1685.9922999999999</v>
      </c>
      <c r="H43" s="113">
        <v>587.04769999999996</v>
      </c>
      <c r="I43" s="135">
        <f>SUM(Table7[[#This Row],[Volume 2022]:[Volume YTD 2024]])</f>
        <v>5698.3993</v>
      </c>
      <c r="J43" s="138">
        <v>92.320499999999996</v>
      </c>
      <c r="K43" s="162">
        <f>IFERROR(((Table7[[#This Row],[2023]]-Table7[[#This Row],[2022]])/Table7[[#This Row],[2022]]),0)</f>
        <v>-0.45801189260164304</v>
      </c>
      <c r="L43" s="162">
        <f>IFERROR(((Table7[[#This Row],[YTD 2024]]-Table7[[#This Row],[2023]])/Table7[[#This Row],[2023]]),0)</f>
        <v>-0.64077663163448051</v>
      </c>
      <c r="M43" s="218">
        <f>Table7[[#This Row],[YoY growth]]-Table7[[#This Row],[Volume growth]]</f>
        <v>0.18276473903283746</v>
      </c>
      <c r="N43" s="222"/>
    </row>
    <row r="44" spans="2:14" hidden="1" x14ac:dyDescent="0.25">
      <c r="B44" s="41" t="s">
        <v>705</v>
      </c>
      <c r="C44" s="111">
        <v>19.4955</v>
      </c>
      <c r="D44" s="112">
        <v>39.761400000000002</v>
      </c>
      <c r="E44" s="113">
        <v>26.269500000000001</v>
      </c>
      <c r="F44" s="114">
        <v>286.0496</v>
      </c>
      <c r="G44" s="113">
        <v>652.10860000000002</v>
      </c>
      <c r="H44" s="113">
        <v>499.83789999999999</v>
      </c>
      <c r="I44" s="135">
        <f>SUM(Table7[[#This Row],[Volume 2022]:[Volume YTD 2024]])</f>
        <v>1437.9961000000001</v>
      </c>
      <c r="J44" s="138">
        <v>85.526399999999995</v>
      </c>
      <c r="K44" s="162">
        <f>IFERROR(((Table7[[#This Row],[2023]]-Table7[[#This Row],[2022]])/Table7[[#This Row],[2022]]),0)</f>
        <v>1.0395168115719013</v>
      </c>
      <c r="L44" s="162">
        <f>IFERROR(((Table7[[#This Row],[YTD 2024]]-Table7[[#This Row],[2023]])/Table7[[#This Row],[2023]]),0)</f>
        <v>-0.33932155306402695</v>
      </c>
      <c r="M44" s="218">
        <f>Table7[[#This Row],[YoY growth]]-Table7[[#This Row],[Volume growth]]</f>
        <v>1.3788383646359283</v>
      </c>
      <c r="N44" s="222"/>
    </row>
    <row r="45" spans="2:14" ht="24.75" hidden="1" x14ac:dyDescent="0.25">
      <c r="B45" s="41" t="s">
        <v>395</v>
      </c>
      <c r="C45" s="111">
        <v>20.423200000000001</v>
      </c>
      <c r="D45" s="112">
        <v>51.941600000000001</v>
      </c>
      <c r="E45" s="113">
        <v>13.0914</v>
      </c>
      <c r="F45" s="114">
        <v>1229.9928</v>
      </c>
      <c r="G45" s="113">
        <v>2594.8521000000001</v>
      </c>
      <c r="H45" s="113">
        <v>721.54930000000002</v>
      </c>
      <c r="I45" s="135">
        <f>SUM(Table7[[#This Row],[Volume 2022]:[Volume YTD 2024]])</f>
        <v>4546.3941999999997</v>
      </c>
      <c r="J45" s="138">
        <v>85.456199999999995</v>
      </c>
      <c r="K45" s="162">
        <f>IFERROR(((Table7[[#This Row],[2023]]-Table7[[#This Row],[2022]])/Table7[[#This Row],[2022]]),0)</f>
        <v>1.5432645226996748</v>
      </c>
      <c r="L45" s="162">
        <f>IFERROR(((Table7[[#This Row],[YTD 2024]]-Table7[[#This Row],[2023]])/Table7[[#This Row],[2023]]),0)</f>
        <v>-0.74795924653842005</v>
      </c>
      <c r="M45" s="218">
        <f>Table7[[#This Row],[YoY growth]]-Table7[[#This Row],[Volume growth]]</f>
        <v>2.291223769238095</v>
      </c>
      <c r="N45" s="222"/>
    </row>
    <row r="46" spans="2:14" hidden="1" x14ac:dyDescent="0.25">
      <c r="B46" s="41" t="s">
        <v>295</v>
      </c>
      <c r="C46" s="111">
        <v>41.451799999999999</v>
      </c>
      <c r="D46" s="112">
        <v>23.849699999999999</v>
      </c>
      <c r="E46" s="113">
        <v>14.791499999999999</v>
      </c>
      <c r="F46" s="114">
        <v>1547.7049999999999</v>
      </c>
      <c r="G46" s="113">
        <v>1096.4466</v>
      </c>
      <c r="H46" s="113">
        <v>817.30290000000002</v>
      </c>
      <c r="I46" s="135">
        <f>SUM(Table7[[#This Row],[Volume 2022]:[Volume YTD 2024]])</f>
        <v>3461.4545000000003</v>
      </c>
      <c r="J46" s="138">
        <v>80.093000000000004</v>
      </c>
      <c r="K46" s="162">
        <f>IFERROR(((Table7[[#This Row],[2023]]-Table7[[#This Row],[2022]])/Table7[[#This Row],[2022]]),0)</f>
        <v>-0.42464018450344737</v>
      </c>
      <c r="L46" s="162">
        <f>IFERROR(((Table7[[#This Row],[YTD 2024]]-Table7[[#This Row],[2023]])/Table7[[#This Row],[2023]]),0)</f>
        <v>-0.37980351954112629</v>
      </c>
      <c r="M46" s="218">
        <f>Table7[[#This Row],[YoY growth]]-Table7[[#This Row],[Volume growth]]</f>
        <v>-4.4836664962321082E-2</v>
      </c>
      <c r="N46" s="222"/>
    </row>
    <row r="47" spans="2:14" ht="24.75" hidden="1" x14ac:dyDescent="0.25">
      <c r="B47" s="41" t="s">
        <v>586</v>
      </c>
      <c r="C47" s="111">
        <v>38.935099999999998</v>
      </c>
      <c r="D47" s="112">
        <v>24.638200000000001</v>
      </c>
      <c r="E47" s="113">
        <v>13.2829</v>
      </c>
      <c r="F47" s="114">
        <v>1028.7485999999999</v>
      </c>
      <c r="G47" s="113">
        <v>660.65030000000002</v>
      </c>
      <c r="H47" s="113">
        <v>408.45429999999999</v>
      </c>
      <c r="I47" s="135">
        <f>SUM(Table7[[#This Row],[Volume 2022]:[Volume YTD 2024]])</f>
        <v>2097.8532</v>
      </c>
      <c r="J47" s="138">
        <v>76.856200000000001</v>
      </c>
      <c r="K47" s="162">
        <f>IFERROR(((Table7[[#This Row],[2023]]-Table7[[#This Row],[2022]])/Table7[[#This Row],[2022]]),0)</f>
        <v>-0.36719823501159615</v>
      </c>
      <c r="L47" s="162">
        <f>IFERROR(((Table7[[#This Row],[YTD 2024]]-Table7[[#This Row],[2023]])/Table7[[#This Row],[2023]]),0)</f>
        <v>-0.46088188260506047</v>
      </c>
      <c r="M47" s="218">
        <f>Table7[[#This Row],[YoY growth]]-Table7[[#This Row],[Volume growth]]</f>
        <v>9.3683647593464314E-2</v>
      </c>
      <c r="N47" s="222"/>
    </row>
    <row r="48" spans="2:14" hidden="1" x14ac:dyDescent="0.25">
      <c r="B48" s="41" t="s">
        <v>164</v>
      </c>
      <c r="C48" s="111">
        <v>0.25940000000000002</v>
      </c>
      <c r="D48" s="112">
        <v>52.957299999999996</v>
      </c>
      <c r="E48" s="113">
        <v>23.471399999999999</v>
      </c>
      <c r="F48" s="114">
        <v>15.5664</v>
      </c>
      <c r="G48" s="113">
        <v>2545.1428999999998</v>
      </c>
      <c r="H48" s="113">
        <v>1037.0354</v>
      </c>
      <c r="I48" s="135">
        <f>SUM(Table7[[#This Row],[Volume 2022]:[Volume YTD 2024]])</f>
        <v>3597.7447000000002</v>
      </c>
      <c r="J48" s="138">
        <v>76.688099999999991</v>
      </c>
      <c r="K48" s="162">
        <f>IFERROR(((Table7[[#This Row],[2023]]-Table7[[#This Row],[2022]])/Table7[[#This Row],[2022]]),0)</f>
        <v>203.15304548959134</v>
      </c>
      <c r="L48" s="162">
        <f>IFERROR(((Table7[[#This Row],[YTD 2024]]-Table7[[#This Row],[2023]])/Table7[[#This Row],[2023]]),0)</f>
        <v>-0.55678631652293453</v>
      </c>
      <c r="M48" s="218">
        <f>Table7[[#This Row],[YoY growth]]-Table7[[#This Row],[Volume growth]]</f>
        <v>203.70983180611427</v>
      </c>
      <c r="N48" s="222"/>
    </row>
    <row r="49" spans="2:14" hidden="1" x14ac:dyDescent="0.25">
      <c r="B49" s="41" t="s">
        <v>400</v>
      </c>
      <c r="C49" s="111">
        <v>42.300199999999997</v>
      </c>
      <c r="D49" s="112">
        <v>20.829499999999999</v>
      </c>
      <c r="E49" s="113">
        <v>4.8948</v>
      </c>
      <c r="F49" s="114">
        <v>2912.5239999999999</v>
      </c>
      <c r="G49" s="113">
        <v>1143.2672</v>
      </c>
      <c r="H49" s="113">
        <v>245.0727</v>
      </c>
      <c r="I49" s="135">
        <f>SUM(Table7[[#This Row],[Volume 2022]:[Volume YTD 2024]])</f>
        <v>4300.8638999999994</v>
      </c>
      <c r="J49" s="138">
        <v>68.024500000000003</v>
      </c>
      <c r="K49" s="162">
        <f>IFERROR(((Table7[[#This Row],[2023]]-Table7[[#This Row],[2022]])/Table7[[#This Row],[2022]]),0)</f>
        <v>-0.5075791603822204</v>
      </c>
      <c r="L49" s="162">
        <f>IFERROR(((Table7[[#This Row],[YTD 2024]]-Table7[[#This Row],[2023]])/Table7[[#This Row],[2023]]),0)</f>
        <v>-0.7650063611704554</v>
      </c>
      <c r="M49" s="218">
        <f>Table7[[#This Row],[YoY growth]]-Table7[[#This Row],[Volume growth]]</f>
        <v>0.257427200788235</v>
      </c>
      <c r="N49" s="222"/>
    </row>
    <row r="50" spans="2:14" hidden="1" x14ac:dyDescent="0.25">
      <c r="B50" s="41" t="s">
        <v>384</v>
      </c>
      <c r="C50" s="111">
        <v>58.588999999999999</v>
      </c>
      <c r="D50" s="112">
        <v>8.2077000000000009</v>
      </c>
      <c r="E50" s="113">
        <v>0.42030000000000001</v>
      </c>
      <c r="F50" s="114">
        <v>1297.0438999999999</v>
      </c>
      <c r="G50" s="113">
        <v>153.7491</v>
      </c>
      <c r="H50" s="113">
        <v>7.6287000000000003</v>
      </c>
      <c r="I50" s="135">
        <f>SUM(Table7[[#This Row],[Volume 2022]:[Volume YTD 2024]])</f>
        <v>1458.4216999999999</v>
      </c>
      <c r="J50" s="138">
        <v>67.216999999999999</v>
      </c>
      <c r="K50" s="162">
        <f>IFERROR(((Table7[[#This Row],[2023]]-Table7[[#This Row],[2022]])/Table7[[#This Row],[2022]]),0)</f>
        <v>-0.85991056341634087</v>
      </c>
      <c r="L50" s="162">
        <f>IFERROR(((Table7[[#This Row],[YTD 2024]]-Table7[[#This Row],[2023]])/Table7[[#This Row],[2023]]),0)</f>
        <v>-0.94879198801125775</v>
      </c>
      <c r="M50" s="218">
        <f>Table7[[#This Row],[YoY growth]]-Table7[[#This Row],[Volume growth]]</f>
        <v>8.888142459491688E-2</v>
      </c>
      <c r="N50" s="222"/>
    </row>
    <row r="51" spans="2:14" hidden="1" x14ac:dyDescent="0.25">
      <c r="B51" s="41" t="s">
        <v>863</v>
      </c>
      <c r="C51" s="111">
        <v>37.596899999999998</v>
      </c>
      <c r="D51" s="112">
        <v>28.031099999999999</v>
      </c>
      <c r="E51" s="113">
        <v>1.2394000000000001</v>
      </c>
      <c r="F51" s="114">
        <v>2231.0284000000001</v>
      </c>
      <c r="G51" s="113">
        <v>1606.1090999999999</v>
      </c>
      <c r="H51" s="113">
        <v>64.665899999999993</v>
      </c>
      <c r="I51" s="135">
        <f>SUM(Table7[[#This Row],[Volume 2022]:[Volume YTD 2024]])</f>
        <v>3901.8033999999998</v>
      </c>
      <c r="J51" s="138">
        <v>66.867400000000004</v>
      </c>
      <c r="K51" s="162">
        <f>IFERROR(((Table7[[#This Row],[2023]]-Table7[[#This Row],[2022]])/Table7[[#This Row],[2022]]),0)</f>
        <v>-0.25443055145504018</v>
      </c>
      <c r="L51" s="162">
        <f>IFERROR(((Table7[[#This Row],[YTD 2024]]-Table7[[#This Row],[2023]])/Table7[[#This Row],[2023]]),0)</f>
        <v>-0.95578482471255144</v>
      </c>
      <c r="M51" s="218">
        <f>Table7[[#This Row],[YoY growth]]-Table7[[#This Row],[Volume growth]]</f>
        <v>0.70135427325751132</v>
      </c>
      <c r="N51" s="222"/>
    </row>
    <row r="52" spans="2:14" hidden="1" x14ac:dyDescent="0.25">
      <c r="B52" s="41" t="s">
        <v>870</v>
      </c>
      <c r="C52" s="111">
        <v>15.6523</v>
      </c>
      <c r="D52" s="112">
        <v>38.264400000000002</v>
      </c>
      <c r="E52" s="113">
        <v>12.5626</v>
      </c>
      <c r="F52" s="114">
        <v>709.8646</v>
      </c>
      <c r="G52" s="113">
        <v>1422.4413</v>
      </c>
      <c r="H52" s="113">
        <v>440.17869999999999</v>
      </c>
      <c r="I52" s="135">
        <f>SUM(Table7[[#This Row],[Volume 2022]:[Volume YTD 2024]])</f>
        <v>2572.4845999999998</v>
      </c>
      <c r="J52" s="138">
        <v>66.479300000000009</v>
      </c>
      <c r="K52" s="162">
        <f>IFERROR(((Table7[[#This Row],[2023]]-Table7[[#This Row],[2022]])/Table7[[#This Row],[2022]]),0)</f>
        <v>1.4446503069836383</v>
      </c>
      <c r="L52" s="162">
        <f>IFERROR(((Table7[[#This Row],[YTD 2024]]-Table7[[#This Row],[2023]])/Table7[[#This Row],[2023]]),0)</f>
        <v>-0.67168961227668544</v>
      </c>
      <c r="M52" s="218">
        <f>Table7[[#This Row],[YoY growth]]-Table7[[#This Row],[Volume growth]]</f>
        <v>2.1163399192603238</v>
      </c>
      <c r="N52" s="222"/>
    </row>
    <row r="53" spans="2:14" hidden="1" x14ac:dyDescent="0.25">
      <c r="B53" s="41" t="s">
        <v>841</v>
      </c>
      <c r="C53" s="111">
        <v>0</v>
      </c>
      <c r="D53" s="112">
        <v>13.1921</v>
      </c>
      <c r="E53" s="113">
        <v>52.811100000000003</v>
      </c>
      <c r="F53" s="114">
        <v>0</v>
      </c>
      <c r="G53" s="113">
        <v>565.53909999999996</v>
      </c>
      <c r="H53" s="113">
        <v>2091.2260999999999</v>
      </c>
      <c r="I53" s="135">
        <f>SUM(Table7[[#This Row],[Volume 2022]:[Volume YTD 2024]])</f>
        <v>2656.7651999999998</v>
      </c>
      <c r="J53" s="138">
        <v>66.003200000000007</v>
      </c>
      <c r="K53" s="162">
        <f>IFERROR(((Table7[[#This Row],[2023]]-Table7[[#This Row],[2022]])/Table7[[#This Row],[2022]]),0)</f>
        <v>0</v>
      </c>
      <c r="L53" s="162">
        <f>IFERROR(((Table7[[#This Row],[YTD 2024]]-Table7[[#This Row],[2023]])/Table7[[#This Row],[2023]]),0)</f>
        <v>3.0032367856520188</v>
      </c>
      <c r="M53" s="218">
        <f>Table7[[#This Row],[YoY growth]]-Table7[[#This Row],[Volume growth]]</f>
        <v>-3.0032367856520188</v>
      </c>
      <c r="N53" s="222"/>
    </row>
    <row r="54" spans="2:14" hidden="1" x14ac:dyDescent="0.25">
      <c r="B54" s="41" t="s">
        <v>368</v>
      </c>
      <c r="C54" s="111">
        <v>23.7455</v>
      </c>
      <c r="D54" s="112">
        <v>29.3566</v>
      </c>
      <c r="E54" s="113">
        <v>11.906700000000001</v>
      </c>
      <c r="F54" s="114">
        <v>713.0412</v>
      </c>
      <c r="G54" s="113">
        <v>960.05740000000003</v>
      </c>
      <c r="H54" s="113">
        <v>372.1223</v>
      </c>
      <c r="I54" s="135">
        <f>SUM(Table7[[#This Row],[Volume 2022]:[Volume YTD 2024]])</f>
        <v>2045.2209</v>
      </c>
      <c r="J54" s="138">
        <v>65.008800000000008</v>
      </c>
      <c r="K54" s="162">
        <f>IFERROR(((Table7[[#This Row],[2023]]-Table7[[#This Row],[2022]])/Table7[[#This Row],[2022]]),0)</f>
        <v>0.23630161504285024</v>
      </c>
      <c r="L54" s="162">
        <f>IFERROR(((Table7[[#This Row],[YTD 2024]]-Table7[[#This Row],[2023]])/Table7[[#This Row],[2023]]),0)</f>
        <v>-0.59441147816845274</v>
      </c>
      <c r="M54" s="218">
        <f>Table7[[#This Row],[YoY growth]]-Table7[[#This Row],[Volume growth]]</f>
        <v>0.83071309321130293</v>
      </c>
      <c r="N54" s="222"/>
    </row>
    <row r="55" spans="2:14" hidden="1" x14ac:dyDescent="0.25">
      <c r="B55" s="41" t="s">
        <v>204</v>
      </c>
      <c r="C55" s="111">
        <v>27.677700000000002</v>
      </c>
      <c r="D55" s="112">
        <v>22.1416</v>
      </c>
      <c r="E55" s="113">
        <v>9.0610999999999997</v>
      </c>
      <c r="F55" s="114">
        <v>1974.3932</v>
      </c>
      <c r="G55" s="113">
        <v>1482.2675999999999</v>
      </c>
      <c r="H55" s="113">
        <v>601.1807</v>
      </c>
      <c r="I55" s="135">
        <f>SUM(Table7[[#This Row],[Volume 2022]:[Volume YTD 2024]])</f>
        <v>4057.8414999999995</v>
      </c>
      <c r="J55" s="138">
        <v>58.880399999999995</v>
      </c>
      <c r="K55" s="162">
        <f>IFERROR(((Table7[[#This Row],[2023]]-Table7[[#This Row],[2022]])/Table7[[#This Row],[2022]]),0)</f>
        <v>-0.2000202328950744</v>
      </c>
      <c r="L55" s="162">
        <f>IFERROR(((Table7[[#This Row],[YTD 2024]]-Table7[[#This Row],[2023]])/Table7[[#This Row],[2023]]),0)</f>
        <v>-0.5907657983162915</v>
      </c>
      <c r="M55" s="218">
        <f>Table7[[#This Row],[YoY growth]]-Table7[[#This Row],[Volume growth]]</f>
        <v>0.39074556542121708</v>
      </c>
      <c r="N55" s="222"/>
    </row>
    <row r="56" spans="2:14" hidden="1" x14ac:dyDescent="0.25">
      <c r="B56" s="41" t="s">
        <v>857</v>
      </c>
      <c r="C56" s="111">
        <v>0</v>
      </c>
      <c r="D56" s="112">
        <v>1.8077000000000001</v>
      </c>
      <c r="E56" s="113">
        <v>54.250700000000002</v>
      </c>
      <c r="F56" s="114">
        <v>0</v>
      </c>
      <c r="G56" s="113">
        <v>127.6024</v>
      </c>
      <c r="H56" s="113">
        <v>2956.24</v>
      </c>
      <c r="I56" s="135">
        <f>SUM(Table7[[#This Row],[Volume 2022]:[Volume YTD 2024]])</f>
        <v>3083.8424</v>
      </c>
      <c r="J56" s="138">
        <v>56.058399999999999</v>
      </c>
      <c r="K56" s="162">
        <f>IFERROR(((Table7[[#This Row],[2023]]-Table7[[#This Row],[2022]])/Table7[[#This Row],[2022]]),0)</f>
        <v>0</v>
      </c>
      <c r="L56" s="162">
        <f>IFERROR(((Table7[[#This Row],[YTD 2024]]-Table7[[#This Row],[2023]])/Table7[[#This Row],[2023]]),0)</f>
        <v>29.010897825966698</v>
      </c>
      <c r="M56" s="218">
        <f>Table7[[#This Row],[YoY growth]]-Table7[[#This Row],[Volume growth]]</f>
        <v>-29.010897825966698</v>
      </c>
      <c r="N56" s="222"/>
    </row>
    <row r="57" spans="2:14" hidden="1" x14ac:dyDescent="0.25">
      <c r="B57" s="41" t="s">
        <v>689</v>
      </c>
      <c r="C57" s="111">
        <v>34.924300000000002</v>
      </c>
      <c r="D57" s="112">
        <v>13.6989</v>
      </c>
      <c r="E57" s="113">
        <v>2.1793999999999998</v>
      </c>
      <c r="F57" s="114">
        <v>2361.7521000000002</v>
      </c>
      <c r="G57" s="113">
        <v>920.36559999999997</v>
      </c>
      <c r="H57" s="113">
        <v>151.65029999999999</v>
      </c>
      <c r="I57" s="135">
        <f>SUM(Table7[[#This Row],[Volume 2022]:[Volume YTD 2024]])</f>
        <v>3433.768</v>
      </c>
      <c r="J57" s="138">
        <v>50.802600000000005</v>
      </c>
      <c r="K57" s="162">
        <f>IFERROR(((Table7[[#This Row],[2023]]-Table7[[#This Row],[2022]])/Table7[[#This Row],[2022]]),0)</f>
        <v>-0.60775448613143279</v>
      </c>
      <c r="L57" s="162">
        <f>IFERROR(((Table7[[#This Row],[YTD 2024]]-Table7[[#This Row],[2023]])/Table7[[#This Row],[2023]]),0)</f>
        <v>-0.84090693413339768</v>
      </c>
      <c r="M57" s="218">
        <f>Table7[[#This Row],[YoY growth]]-Table7[[#This Row],[Volume growth]]</f>
        <v>0.23315244800196488</v>
      </c>
      <c r="N57" s="222"/>
    </row>
    <row r="58" spans="2:14" hidden="1" x14ac:dyDescent="0.25">
      <c r="B58" s="41" t="s">
        <v>316</v>
      </c>
      <c r="C58" s="111">
        <v>20.5808</v>
      </c>
      <c r="D58" s="112">
        <v>16.885999999999999</v>
      </c>
      <c r="E58" s="113">
        <v>8.2624999999999993</v>
      </c>
      <c r="F58" s="114">
        <v>116.04819999999999</v>
      </c>
      <c r="G58" s="113">
        <v>107.1939</v>
      </c>
      <c r="H58" s="113">
        <v>44.347099999999998</v>
      </c>
      <c r="I58" s="135">
        <f>SUM(Table7[[#This Row],[Volume 2022]:[Volume YTD 2024]])</f>
        <v>267.58920000000001</v>
      </c>
      <c r="J58" s="138">
        <v>45.729299999999995</v>
      </c>
      <c r="K58" s="162">
        <f>IFERROR(((Table7[[#This Row],[2023]]-Table7[[#This Row],[2022]])/Table7[[#This Row],[2022]]),0)</f>
        <v>-0.17952654901655915</v>
      </c>
      <c r="L58" s="162">
        <f>IFERROR(((Table7[[#This Row],[YTD 2024]]-Table7[[#This Row],[2023]])/Table7[[#This Row],[2023]]),0)</f>
        <v>-0.51068932843775916</v>
      </c>
      <c r="M58" s="218">
        <f>Table7[[#This Row],[YoY growth]]-Table7[[#This Row],[Volume growth]]</f>
        <v>0.33116277942119998</v>
      </c>
      <c r="N58" s="222"/>
    </row>
    <row r="59" spans="2:14" hidden="1" x14ac:dyDescent="0.25">
      <c r="B59" s="41" t="s">
        <v>456</v>
      </c>
      <c r="C59" s="111">
        <v>26.606400000000001</v>
      </c>
      <c r="D59" s="112">
        <v>12.7163</v>
      </c>
      <c r="E59" s="113">
        <v>6.1870000000000003</v>
      </c>
      <c r="F59" s="114">
        <v>773.97839999999997</v>
      </c>
      <c r="G59" s="113">
        <v>348.9753</v>
      </c>
      <c r="H59" s="113">
        <v>165.18170000000001</v>
      </c>
      <c r="I59" s="135">
        <f>SUM(Table7[[#This Row],[Volume 2022]:[Volume YTD 2024]])</f>
        <v>1288.1354000000001</v>
      </c>
      <c r="J59" s="138">
        <v>45.509699999999995</v>
      </c>
      <c r="K59" s="162">
        <f>IFERROR(((Table7[[#This Row],[2023]]-Table7[[#This Row],[2022]])/Table7[[#This Row],[2022]]),0)</f>
        <v>-0.52205860244151781</v>
      </c>
      <c r="L59" s="162">
        <f>IFERROR(((Table7[[#This Row],[YTD 2024]]-Table7[[#This Row],[2023]])/Table7[[#This Row],[2023]]),0)</f>
        <v>-0.51345910367009273</v>
      </c>
      <c r="M59" s="218">
        <f>Table7[[#This Row],[YoY growth]]-Table7[[#This Row],[Volume growth]]</f>
        <v>-8.5994987714250737E-3</v>
      </c>
      <c r="N59" s="222"/>
    </row>
    <row r="60" spans="2:14" hidden="1" x14ac:dyDescent="0.25">
      <c r="B60" s="41" t="s">
        <v>703</v>
      </c>
      <c r="C60" s="111">
        <v>25.839099999999998</v>
      </c>
      <c r="D60" s="112">
        <v>9.0121000000000002</v>
      </c>
      <c r="E60" s="113">
        <v>10.0204</v>
      </c>
      <c r="F60" s="114">
        <v>1539.4739</v>
      </c>
      <c r="G60" s="113">
        <v>509.45670000000001</v>
      </c>
      <c r="H60" s="113">
        <v>585.52229999999997</v>
      </c>
      <c r="I60" s="135">
        <f>SUM(Table7[[#This Row],[Volume 2022]:[Volume YTD 2024]])</f>
        <v>2634.4529000000002</v>
      </c>
      <c r="J60" s="138">
        <v>44.871600000000001</v>
      </c>
      <c r="K60" s="162">
        <f>IFERROR(((Table7[[#This Row],[2023]]-Table7[[#This Row],[2022]])/Table7[[#This Row],[2022]]),0)</f>
        <v>-0.65122237229624869</v>
      </c>
      <c r="L60" s="162">
        <f>IFERROR(((Table7[[#This Row],[YTD 2024]]-Table7[[#This Row],[2023]])/Table7[[#This Row],[2023]]),0)</f>
        <v>0.11188291297255913</v>
      </c>
      <c r="M60" s="218">
        <f>Table7[[#This Row],[YoY growth]]-Table7[[#This Row],[Volume growth]]</f>
        <v>-0.76310528526880783</v>
      </c>
      <c r="N60" s="222"/>
    </row>
    <row r="61" spans="2:14" hidden="1" x14ac:dyDescent="0.25">
      <c r="B61" s="41" t="s">
        <v>217</v>
      </c>
      <c r="C61" s="111">
        <v>14.2293</v>
      </c>
      <c r="D61" s="112">
        <v>21.789000000000001</v>
      </c>
      <c r="E61" s="113">
        <v>7.9466000000000001</v>
      </c>
      <c r="F61" s="114">
        <v>761.61429999999996</v>
      </c>
      <c r="G61" s="113">
        <v>1129.7994000000001</v>
      </c>
      <c r="H61" s="113">
        <v>412.24349999999998</v>
      </c>
      <c r="I61" s="135">
        <f>SUM(Table7[[#This Row],[Volume 2022]:[Volume YTD 2024]])</f>
        <v>2303.6572000000001</v>
      </c>
      <c r="J61" s="138">
        <v>43.9649</v>
      </c>
      <c r="K61" s="162">
        <f>IFERROR(((Table7[[#This Row],[2023]]-Table7[[#This Row],[2022]])/Table7[[#This Row],[2022]]),0)</f>
        <v>0.53127701292403706</v>
      </c>
      <c r="L61" s="162">
        <f>IFERROR(((Table7[[#This Row],[YTD 2024]]-Table7[[#This Row],[2023]])/Table7[[#This Row],[2023]]),0)</f>
        <v>-0.63529303777135249</v>
      </c>
      <c r="M61" s="218">
        <f>Table7[[#This Row],[YoY growth]]-Table7[[#This Row],[Volume growth]]</f>
        <v>1.1665700506953895</v>
      </c>
      <c r="N61" s="222"/>
    </row>
    <row r="62" spans="2:14" hidden="1" x14ac:dyDescent="0.25">
      <c r="B62" s="41" t="s">
        <v>861</v>
      </c>
      <c r="C62" s="111">
        <v>9.5548999999999999</v>
      </c>
      <c r="D62" s="112">
        <v>16.797000000000001</v>
      </c>
      <c r="E62" s="113">
        <v>14.8012</v>
      </c>
      <c r="F62" s="114">
        <v>338.9522</v>
      </c>
      <c r="G62" s="113">
        <v>643.8528</v>
      </c>
      <c r="H62" s="113">
        <v>454.05590000000001</v>
      </c>
      <c r="I62" s="135">
        <f>SUM(Table7[[#This Row],[Volume 2022]:[Volume YTD 2024]])</f>
        <v>1436.8609000000001</v>
      </c>
      <c r="J62" s="138">
        <v>41.153100000000002</v>
      </c>
      <c r="K62" s="162">
        <f>IFERROR(((Table7[[#This Row],[2023]]-Table7[[#This Row],[2022]])/Table7[[#This Row],[2022]]),0)</f>
        <v>0.75794618468011188</v>
      </c>
      <c r="L62" s="162">
        <f>IFERROR(((Table7[[#This Row],[YTD 2024]]-Table7[[#This Row],[2023]])/Table7[[#This Row],[2023]]),0)</f>
        <v>-0.11881883669702928</v>
      </c>
      <c r="M62" s="218">
        <f>Table7[[#This Row],[YoY growth]]-Table7[[#This Row],[Volume growth]]</f>
        <v>0.87676502137714118</v>
      </c>
      <c r="N62" s="222"/>
    </row>
    <row r="63" spans="2:14" hidden="1" x14ac:dyDescent="0.25">
      <c r="B63" s="41" t="s">
        <v>185</v>
      </c>
      <c r="C63" s="111">
        <v>30.201799999999999</v>
      </c>
      <c r="D63" s="112">
        <v>8.3574999999999999</v>
      </c>
      <c r="E63" s="113">
        <v>2.2814000000000001</v>
      </c>
      <c r="F63" s="114">
        <v>1834.3515</v>
      </c>
      <c r="G63" s="113">
        <v>456.8947</v>
      </c>
      <c r="H63" s="113">
        <v>133.4556</v>
      </c>
      <c r="I63" s="135">
        <f>SUM(Table7[[#This Row],[Volume 2022]:[Volume YTD 2024]])</f>
        <v>2424.7017999999998</v>
      </c>
      <c r="J63" s="138">
        <v>40.840699999999998</v>
      </c>
      <c r="K63" s="162">
        <f>IFERROR(((Table7[[#This Row],[2023]]-Table7[[#This Row],[2022]])/Table7[[#This Row],[2022]]),0)</f>
        <v>-0.72327808276327898</v>
      </c>
      <c r="L63" s="162">
        <f>IFERROR(((Table7[[#This Row],[YTD 2024]]-Table7[[#This Row],[2023]])/Table7[[#This Row],[2023]]),0)</f>
        <v>-0.72702363146874072</v>
      </c>
      <c r="M63" s="218">
        <f>Table7[[#This Row],[YoY growth]]-Table7[[#This Row],[Volume growth]]</f>
        <v>3.745548705461732E-3</v>
      </c>
      <c r="N63" s="222"/>
    </row>
    <row r="64" spans="2:14" hidden="1" x14ac:dyDescent="0.25">
      <c r="B64" s="41" t="s">
        <v>614</v>
      </c>
      <c r="C64" s="111">
        <v>0</v>
      </c>
      <c r="D64" s="112">
        <v>19.032699999999998</v>
      </c>
      <c r="E64" s="113">
        <v>19.713699999999999</v>
      </c>
      <c r="F64" s="114">
        <v>0</v>
      </c>
      <c r="G64" s="113">
        <v>1111.0531000000001</v>
      </c>
      <c r="H64" s="113">
        <v>1063.3096</v>
      </c>
      <c r="I64" s="135">
        <f>SUM(Table7[[#This Row],[Volume 2022]:[Volume YTD 2024]])</f>
        <v>2174.3627000000001</v>
      </c>
      <c r="J64" s="138">
        <v>38.746399999999994</v>
      </c>
      <c r="K64" s="162">
        <f>IFERROR(((Table7[[#This Row],[2023]]-Table7[[#This Row],[2022]])/Table7[[#This Row],[2022]]),0)</f>
        <v>0</v>
      </c>
      <c r="L64" s="162">
        <f>IFERROR(((Table7[[#This Row],[YTD 2024]]-Table7[[#This Row],[2023]])/Table7[[#This Row],[2023]]),0)</f>
        <v>3.5780525096281712E-2</v>
      </c>
      <c r="M64" s="218">
        <f>Table7[[#This Row],[YoY growth]]-Table7[[#This Row],[Volume growth]]</f>
        <v>-3.5780525096281712E-2</v>
      </c>
      <c r="N64" s="222"/>
    </row>
    <row r="65" spans="2:14" hidden="1" x14ac:dyDescent="0.25">
      <c r="B65" s="41" t="s">
        <v>598</v>
      </c>
      <c r="C65" s="111">
        <v>18.511199999999999</v>
      </c>
      <c r="D65" s="112">
        <v>14.1861</v>
      </c>
      <c r="E65" s="113">
        <v>5.5843999999999996</v>
      </c>
      <c r="F65" s="114">
        <v>978.4941</v>
      </c>
      <c r="G65" s="113">
        <v>734.42629999999997</v>
      </c>
      <c r="H65" s="113">
        <v>305.17070000000001</v>
      </c>
      <c r="I65" s="135">
        <f>SUM(Table7[[#This Row],[Volume 2022]:[Volume YTD 2024]])</f>
        <v>2018.0911000000001</v>
      </c>
      <c r="J65" s="138">
        <v>38.281700000000001</v>
      </c>
      <c r="K65" s="162">
        <f>IFERROR(((Table7[[#This Row],[2023]]-Table7[[#This Row],[2022]])/Table7[[#This Row],[2022]]),0)</f>
        <v>-0.23364773758589391</v>
      </c>
      <c r="L65" s="162">
        <f>IFERROR(((Table7[[#This Row],[YTD 2024]]-Table7[[#This Row],[2023]])/Table7[[#This Row],[2023]]),0)</f>
        <v>-0.6063470580356829</v>
      </c>
      <c r="M65" s="218">
        <f>Table7[[#This Row],[YoY growth]]-Table7[[#This Row],[Volume growth]]</f>
        <v>0.37269932044978898</v>
      </c>
      <c r="N65" s="222"/>
    </row>
    <row r="66" spans="2:14" hidden="1" x14ac:dyDescent="0.25">
      <c r="B66" s="41" t="s">
        <v>276</v>
      </c>
      <c r="C66" s="111">
        <v>34.405999999999999</v>
      </c>
      <c r="D66" s="112">
        <v>2.0082</v>
      </c>
      <c r="E66" s="113">
        <v>5.9400000000000001E-2</v>
      </c>
      <c r="F66" s="114">
        <v>1027.0906</v>
      </c>
      <c r="G66" s="113">
        <v>44.666600000000003</v>
      </c>
      <c r="H66" s="113">
        <v>0.51659999999999995</v>
      </c>
      <c r="I66" s="135">
        <f>SUM(Table7[[#This Row],[Volume 2022]:[Volume YTD 2024]])</f>
        <v>1072.2737999999999</v>
      </c>
      <c r="J66" s="138">
        <v>36.473599999999998</v>
      </c>
      <c r="K66" s="162">
        <f>IFERROR(((Table7[[#This Row],[2023]]-Table7[[#This Row],[2022]])/Table7[[#This Row],[2022]]),0)</f>
        <v>-0.9416322734406789</v>
      </c>
      <c r="L66" s="162">
        <f>IFERROR(((Table7[[#This Row],[YTD 2024]]-Table7[[#This Row],[2023]])/Table7[[#This Row],[2023]]),0)</f>
        <v>-0.97042127278159551</v>
      </c>
      <c r="M66" s="218">
        <f>Table7[[#This Row],[YoY growth]]-Table7[[#This Row],[Volume growth]]</f>
        <v>2.878899934091661E-2</v>
      </c>
      <c r="N66" s="222"/>
    </row>
    <row r="67" spans="2:14" hidden="1" x14ac:dyDescent="0.25">
      <c r="B67" s="41" t="s">
        <v>314</v>
      </c>
      <c r="C67" s="111">
        <v>11.181699999999999</v>
      </c>
      <c r="D67" s="112">
        <v>15.1816</v>
      </c>
      <c r="E67" s="113">
        <v>9.6165000000000003</v>
      </c>
      <c r="F67" s="114">
        <v>586.38080000000002</v>
      </c>
      <c r="G67" s="113">
        <v>752.94479999999999</v>
      </c>
      <c r="H67" s="113">
        <v>438.76389999999998</v>
      </c>
      <c r="I67" s="135">
        <f>SUM(Table7[[#This Row],[Volume 2022]:[Volume YTD 2024]])</f>
        <v>1778.0895</v>
      </c>
      <c r="J67" s="138">
        <v>35.979799999999997</v>
      </c>
      <c r="K67" s="162">
        <f>IFERROR(((Table7[[#This Row],[2023]]-Table7[[#This Row],[2022]])/Table7[[#This Row],[2022]]),0)</f>
        <v>0.35771841491007633</v>
      </c>
      <c r="L67" s="162">
        <f>IFERROR(((Table7[[#This Row],[YTD 2024]]-Table7[[#This Row],[2023]])/Table7[[#This Row],[2023]]),0)</f>
        <v>-0.36656874110765658</v>
      </c>
      <c r="M67" s="218">
        <f>Table7[[#This Row],[YoY growth]]-Table7[[#This Row],[Volume growth]]</f>
        <v>0.72428715601773286</v>
      </c>
      <c r="N67" s="222"/>
    </row>
    <row r="68" spans="2:14" hidden="1" x14ac:dyDescent="0.25">
      <c r="B68" s="41" t="s">
        <v>864</v>
      </c>
      <c r="C68" s="111">
        <v>21.1371</v>
      </c>
      <c r="D68" s="112">
        <v>8.0383999999999993</v>
      </c>
      <c r="E68" s="113">
        <v>4.7045000000000003</v>
      </c>
      <c r="F68" s="114">
        <v>1185.9459999999999</v>
      </c>
      <c r="G68" s="113">
        <v>460.75880000000001</v>
      </c>
      <c r="H68" s="113">
        <v>246.6643</v>
      </c>
      <c r="I68" s="135">
        <f>SUM(Table7[[#This Row],[Volume 2022]:[Volume YTD 2024]])</f>
        <v>1893.3690999999999</v>
      </c>
      <c r="J68" s="138">
        <v>33.880000000000003</v>
      </c>
      <c r="K68" s="162">
        <f>IFERROR(((Table7[[#This Row],[2023]]-Table7[[#This Row],[2022]])/Table7[[#This Row],[2022]]),0)</f>
        <v>-0.6197018512473329</v>
      </c>
      <c r="L68" s="162">
        <f>IFERROR(((Table7[[#This Row],[YTD 2024]]-Table7[[#This Row],[2023]])/Table7[[#This Row],[2023]]),0)</f>
        <v>-0.41474671576433114</v>
      </c>
      <c r="M68" s="218">
        <f>Table7[[#This Row],[YoY growth]]-Table7[[#This Row],[Volume growth]]</f>
        <v>-0.20495513548300176</v>
      </c>
      <c r="N68" s="222"/>
    </row>
    <row r="69" spans="2:14" hidden="1" x14ac:dyDescent="0.25">
      <c r="B69" s="41" t="s">
        <v>558</v>
      </c>
      <c r="C69" s="111">
        <v>12.300599999999999</v>
      </c>
      <c r="D69" s="112">
        <v>12.544</v>
      </c>
      <c r="E69" s="113">
        <v>8.6647999999999996</v>
      </c>
      <c r="F69" s="114">
        <v>127.5915</v>
      </c>
      <c r="G69" s="113">
        <v>142.6704</v>
      </c>
      <c r="H69" s="113">
        <v>110.39149999999999</v>
      </c>
      <c r="I69" s="135">
        <f>SUM(Table7[[#This Row],[Volume 2022]:[Volume YTD 2024]])</f>
        <v>380.65339999999998</v>
      </c>
      <c r="J69" s="138">
        <v>33.509399999999999</v>
      </c>
      <c r="K69" s="162">
        <f>IFERROR(((Table7[[#This Row],[2023]]-Table7[[#This Row],[2022]])/Table7[[#This Row],[2022]]),0)</f>
        <v>1.9787652634830916E-2</v>
      </c>
      <c r="L69" s="162">
        <f>IFERROR(((Table7[[#This Row],[YTD 2024]]-Table7[[#This Row],[2023]])/Table7[[#This Row],[2023]]),0)</f>
        <v>-0.30924744897959189</v>
      </c>
      <c r="M69" s="218">
        <f>Table7[[#This Row],[YoY growth]]-Table7[[#This Row],[Volume growth]]</f>
        <v>0.32903510161442279</v>
      </c>
      <c r="N69" s="222"/>
    </row>
    <row r="70" spans="2:14" hidden="1" x14ac:dyDescent="0.25">
      <c r="B70" s="41" t="s">
        <v>590</v>
      </c>
      <c r="C70" s="111">
        <v>20.231999999999999</v>
      </c>
      <c r="D70" s="112">
        <v>11.313700000000001</v>
      </c>
      <c r="E70" s="113">
        <v>0</v>
      </c>
      <c r="F70" s="114">
        <v>583.67819999999995</v>
      </c>
      <c r="G70" s="113">
        <v>345.19709999999998</v>
      </c>
      <c r="H70" s="113">
        <v>0</v>
      </c>
      <c r="I70" s="135">
        <f>SUM(Table7[[#This Row],[Volume 2022]:[Volume YTD 2024]])</f>
        <v>928.87529999999992</v>
      </c>
      <c r="J70" s="138">
        <v>31.5457</v>
      </c>
      <c r="K70" s="162">
        <f>IFERROR(((Table7[[#This Row],[2023]]-Table7[[#This Row],[2022]])/Table7[[#This Row],[2022]]),0)</f>
        <v>-0.44080170027678917</v>
      </c>
      <c r="L70" s="162">
        <f>IFERROR(((Table7[[#This Row],[YTD 2024]]-Table7[[#This Row],[2023]])/Table7[[#This Row],[2023]]),0)</f>
        <v>-1</v>
      </c>
      <c r="M70" s="218">
        <f>Table7[[#This Row],[YoY growth]]-Table7[[#This Row],[Volume growth]]</f>
        <v>0.55919829972321078</v>
      </c>
      <c r="N70" s="222"/>
    </row>
    <row r="71" spans="2:14" hidden="1" x14ac:dyDescent="0.25">
      <c r="B71" s="41" t="s">
        <v>840</v>
      </c>
      <c r="C71" s="111">
        <v>8.6231000000000009</v>
      </c>
      <c r="D71" s="112">
        <v>12.938800000000001</v>
      </c>
      <c r="E71" s="113">
        <v>5.3171999999999997</v>
      </c>
      <c r="F71" s="114">
        <v>434.61660000000001</v>
      </c>
      <c r="G71" s="113">
        <v>658.82550000000003</v>
      </c>
      <c r="H71" s="113">
        <v>232.69980000000001</v>
      </c>
      <c r="I71" s="135">
        <f>SUM(Table7[[#This Row],[Volume 2022]:[Volume YTD 2024]])</f>
        <v>1326.1419000000001</v>
      </c>
      <c r="J71" s="138">
        <v>26.879100000000001</v>
      </c>
      <c r="K71" s="162">
        <f>IFERROR(((Table7[[#This Row],[2023]]-Table7[[#This Row],[2022]])/Table7[[#This Row],[2022]]),0)</f>
        <v>0.50048126543818339</v>
      </c>
      <c r="L71" s="162">
        <f>IFERROR(((Table7[[#This Row],[YTD 2024]]-Table7[[#This Row],[2023]])/Table7[[#This Row],[2023]]),0)</f>
        <v>-0.5890499891798312</v>
      </c>
      <c r="M71" s="218">
        <f>Table7[[#This Row],[YoY growth]]-Table7[[#This Row],[Volume growth]]</f>
        <v>1.0895312546180147</v>
      </c>
      <c r="N71" s="222"/>
    </row>
    <row r="72" spans="2:14" hidden="1" x14ac:dyDescent="0.25">
      <c r="B72" s="41" t="s">
        <v>285</v>
      </c>
      <c r="C72" s="111">
        <v>0</v>
      </c>
      <c r="D72" s="112">
        <v>10.2052</v>
      </c>
      <c r="E72" s="113">
        <v>14.4321</v>
      </c>
      <c r="F72" s="114">
        <v>0</v>
      </c>
      <c r="G72" s="113">
        <v>569.2527</v>
      </c>
      <c r="H72" s="113">
        <v>716.4248</v>
      </c>
      <c r="I72" s="135">
        <f>SUM(Table7[[#This Row],[Volume 2022]:[Volume YTD 2024]])</f>
        <v>1285.6775</v>
      </c>
      <c r="J72" s="138">
        <v>24.6373</v>
      </c>
      <c r="K72" s="162">
        <f>IFERROR(((Table7[[#This Row],[2023]]-Table7[[#This Row],[2022]])/Table7[[#This Row],[2022]]),0)</f>
        <v>0</v>
      </c>
      <c r="L72" s="162">
        <f>IFERROR(((Table7[[#This Row],[YTD 2024]]-Table7[[#This Row],[2023]])/Table7[[#This Row],[2023]]),0)</f>
        <v>0.41419080468780628</v>
      </c>
      <c r="M72" s="218">
        <f>Table7[[#This Row],[YoY growth]]-Table7[[#This Row],[Volume growth]]</f>
        <v>-0.41419080468780628</v>
      </c>
      <c r="N72" s="222"/>
    </row>
    <row r="73" spans="2:14" hidden="1" x14ac:dyDescent="0.25">
      <c r="B73" s="41" t="s">
        <v>410</v>
      </c>
      <c r="C73" s="111">
        <v>17.142399999999999</v>
      </c>
      <c r="D73" s="112">
        <v>6.4819000000000004</v>
      </c>
      <c r="E73" s="113">
        <v>0.25540000000000002</v>
      </c>
      <c r="F73" s="114">
        <v>938.0729</v>
      </c>
      <c r="G73" s="113">
        <v>380.07749999999999</v>
      </c>
      <c r="H73" s="113">
        <v>12.7729</v>
      </c>
      <c r="I73" s="135">
        <f>SUM(Table7[[#This Row],[Volume 2022]:[Volume YTD 2024]])</f>
        <v>1330.9232999999999</v>
      </c>
      <c r="J73" s="138">
        <v>23.8797</v>
      </c>
      <c r="K73" s="162">
        <f>IFERROR(((Table7[[#This Row],[2023]]-Table7[[#This Row],[2022]])/Table7[[#This Row],[2022]]),0)</f>
        <v>-0.62187908344222509</v>
      </c>
      <c r="L73" s="162">
        <f>IFERROR(((Table7[[#This Row],[YTD 2024]]-Table7[[#This Row],[2023]])/Table7[[#This Row],[2023]]),0)</f>
        <v>-0.96059797281661241</v>
      </c>
      <c r="M73" s="218">
        <f>Table7[[#This Row],[YoY growth]]-Table7[[#This Row],[Volume growth]]</f>
        <v>0.33871888937438732</v>
      </c>
      <c r="N73" s="222"/>
    </row>
    <row r="74" spans="2:14" hidden="1" x14ac:dyDescent="0.25">
      <c r="B74" s="41" t="s">
        <v>698</v>
      </c>
      <c r="C74" s="111">
        <v>0</v>
      </c>
      <c r="D74" s="112">
        <v>0.06</v>
      </c>
      <c r="E74" s="113">
        <v>22.166699999999999</v>
      </c>
      <c r="F74" s="114">
        <v>0</v>
      </c>
      <c r="G74" s="113">
        <v>3.96</v>
      </c>
      <c r="H74" s="113">
        <v>1353.54</v>
      </c>
      <c r="I74" s="135">
        <f>SUM(Table7[[#This Row],[Volume 2022]:[Volume YTD 2024]])</f>
        <v>1357.5</v>
      </c>
      <c r="J74" s="138">
        <v>22.226699999999997</v>
      </c>
      <c r="K74" s="162">
        <f>IFERROR(((Table7[[#This Row],[2023]]-Table7[[#This Row],[2022]])/Table7[[#This Row],[2022]]),0)</f>
        <v>0</v>
      </c>
      <c r="L74" s="162">
        <f>IFERROR(((Table7[[#This Row],[YTD 2024]]-Table7[[#This Row],[2023]])/Table7[[#This Row],[2023]]),0)</f>
        <v>368.44499999999999</v>
      </c>
      <c r="M74" s="218">
        <f>Table7[[#This Row],[YoY growth]]-Table7[[#This Row],[Volume growth]]</f>
        <v>-368.44499999999999</v>
      </c>
      <c r="N74" s="222"/>
    </row>
    <row r="75" spans="2:14" hidden="1" x14ac:dyDescent="0.25">
      <c r="B75" s="41" t="s">
        <v>652</v>
      </c>
      <c r="C75" s="111">
        <v>5.7763</v>
      </c>
      <c r="D75" s="112">
        <v>9.2917000000000005</v>
      </c>
      <c r="E75" s="113">
        <v>0.95250000000000001</v>
      </c>
      <c r="F75" s="114">
        <v>311.05720000000002</v>
      </c>
      <c r="G75" s="113">
        <v>539.97619999999995</v>
      </c>
      <c r="H75" s="113">
        <v>61.781700000000001</v>
      </c>
      <c r="I75" s="135">
        <f>SUM(Table7[[#This Row],[Volume 2022]:[Volume YTD 2024]])</f>
        <v>912.81510000000003</v>
      </c>
      <c r="J75" s="138">
        <v>16.020500000000002</v>
      </c>
      <c r="K75" s="162">
        <f>IFERROR(((Table7[[#This Row],[2023]]-Table7[[#This Row],[2022]])/Table7[[#This Row],[2022]]),0)</f>
        <v>0.60859027405086308</v>
      </c>
      <c r="L75" s="162">
        <f>IFERROR(((Table7[[#This Row],[YTD 2024]]-Table7[[#This Row],[2023]])/Table7[[#This Row],[2023]]),0)</f>
        <v>-0.89748915698957132</v>
      </c>
      <c r="M75" s="218">
        <f>Table7[[#This Row],[YoY growth]]-Table7[[#This Row],[Volume growth]]</f>
        <v>1.5060794310404344</v>
      </c>
      <c r="N75" s="222"/>
    </row>
    <row r="76" spans="2:14" hidden="1" x14ac:dyDescent="0.25">
      <c r="B76" s="41" t="s">
        <v>577</v>
      </c>
      <c r="C76" s="111">
        <v>2.9096000000000002</v>
      </c>
      <c r="D76" s="112">
        <v>6.0198</v>
      </c>
      <c r="E76" s="113">
        <v>5.5109000000000004</v>
      </c>
      <c r="F76" s="114">
        <v>55.366500000000002</v>
      </c>
      <c r="G76" s="113">
        <v>108.4705</v>
      </c>
      <c r="H76" s="113">
        <v>98.710099999999997</v>
      </c>
      <c r="I76" s="135">
        <f>SUM(Table7[[#This Row],[Volume 2022]:[Volume YTD 2024]])</f>
        <v>262.5471</v>
      </c>
      <c r="J76" s="138">
        <v>14.440300000000001</v>
      </c>
      <c r="K76" s="162">
        <f>IFERROR(((Table7[[#This Row],[2023]]-Table7[[#This Row],[2022]])/Table7[[#This Row],[2022]]),0)</f>
        <v>1.0689441847676655</v>
      </c>
      <c r="L76" s="162">
        <f>IFERROR(((Table7[[#This Row],[YTD 2024]]-Table7[[#This Row],[2023]])/Table7[[#This Row],[2023]]),0)</f>
        <v>-8.4537692282135563E-2</v>
      </c>
      <c r="M76" s="218">
        <f>Table7[[#This Row],[YoY growth]]-Table7[[#This Row],[Volume growth]]</f>
        <v>1.153481877049801</v>
      </c>
      <c r="N76" s="222"/>
    </row>
    <row r="77" spans="2:14" hidden="1" x14ac:dyDescent="0.25">
      <c r="B77" s="41" t="s">
        <v>402</v>
      </c>
      <c r="C77" s="111">
        <v>12.6196</v>
      </c>
      <c r="D77" s="112">
        <v>0.30170000000000002</v>
      </c>
      <c r="E77" s="113">
        <v>0</v>
      </c>
      <c r="F77" s="114">
        <v>774.8818</v>
      </c>
      <c r="G77" s="113">
        <v>18.222799999999999</v>
      </c>
      <c r="H77" s="113">
        <v>0</v>
      </c>
      <c r="I77" s="135">
        <f>SUM(Table7[[#This Row],[Volume 2022]:[Volume YTD 2024]])</f>
        <v>793.1046</v>
      </c>
      <c r="J77" s="138">
        <v>12.9213</v>
      </c>
      <c r="K77" s="162">
        <f>IFERROR(((Table7[[#This Row],[2023]]-Table7[[#This Row],[2022]])/Table7[[#This Row],[2022]]),0)</f>
        <v>-0.97609274461948081</v>
      </c>
      <c r="L77" s="162">
        <f>IFERROR(((Table7[[#This Row],[YTD 2024]]-Table7[[#This Row],[2023]])/Table7[[#This Row],[2023]]),0)</f>
        <v>-1</v>
      </c>
      <c r="M77" s="218">
        <f>Table7[[#This Row],[YoY growth]]-Table7[[#This Row],[Volume growth]]</f>
        <v>2.3907255380519188E-2</v>
      </c>
      <c r="N77" s="222"/>
    </row>
    <row r="78" spans="2:14" hidden="1" x14ac:dyDescent="0.25">
      <c r="B78" s="41" t="s">
        <v>563</v>
      </c>
      <c r="C78" s="111">
        <v>12.684200000000001</v>
      </c>
      <c r="D78" s="112">
        <v>0</v>
      </c>
      <c r="E78" s="113">
        <v>0</v>
      </c>
      <c r="F78" s="114">
        <v>511.87400000000002</v>
      </c>
      <c r="G78" s="113">
        <v>0</v>
      </c>
      <c r="H78" s="113">
        <v>0</v>
      </c>
      <c r="I78" s="135">
        <f>SUM(Table7[[#This Row],[Volume 2022]:[Volume YTD 2024]])</f>
        <v>511.87400000000002</v>
      </c>
      <c r="J78" s="138">
        <v>12.684200000000001</v>
      </c>
      <c r="K78" s="162">
        <f>IFERROR(((Table7[[#This Row],[2023]]-Table7[[#This Row],[2022]])/Table7[[#This Row],[2022]]),0)</f>
        <v>-1</v>
      </c>
      <c r="L78" s="162">
        <f>IFERROR(((Table7[[#This Row],[YTD 2024]]-Table7[[#This Row],[2023]])/Table7[[#This Row],[2023]]),0)</f>
        <v>0</v>
      </c>
      <c r="M78" s="218">
        <f>Table7[[#This Row],[YoY growth]]-Table7[[#This Row],[Volume growth]]</f>
        <v>-1</v>
      </c>
      <c r="N78" s="222"/>
    </row>
    <row r="79" spans="2:14" hidden="1" x14ac:dyDescent="0.25">
      <c r="B79" s="41" t="s">
        <v>839</v>
      </c>
      <c r="C79" s="111">
        <v>3.3401000000000001</v>
      </c>
      <c r="D79" s="112">
        <v>5.1974</v>
      </c>
      <c r="E79" s="113">
        <v>3.7094999999999998</v>
      </c>
      <c r="F79" s="114">
        <v>168.65979999999999</v>
      </c>
      <c r="G79" s="113">
        <v>278.62639999999999</v>
      </c>
      <c r="H79" s="113">
        <v>222.0746</v>
      </c>
      <c r="I79" s="135">
        <f>SUM(Table7[[#This Row],[Volume 2022]:[Volume YTD 2024]])</f>
        <v>669.36080000000004</v>
      </c>
      <c r="J79" s="138">
        <v>12.247</v>
      </c>
      <c r="K79" s="162">
        <f>IFERROR(((Table7[[#This Row],[2023]]-Table7[[#This Row],[2022]])/Table7[[#This Row],[2022]]),0)</f>
        <v>0.55606119577258162</v>
      </c>
      <c r="L79" s="162">
        <f>IFERROR(((Table7[[#This Row],[YTD 2024]]-Table7[[#This Row],[2023]])/Table7[[#This Row],[2023]]),0)</f>
        <v>-0.28627775426174629</v>
      </c>
      <c r="M79" s="218">
        <f>Table7[[#This Row],[YoY growth]]-Table7[[#This Row],[Volume growth]]</f>
        <v>0.8423389500343279</v>
      </c>
      <c r="N79" s="222"/>
    </row>
    <row r="80" spans="2:14" hidden="1" x14ac:dyDescent="0.25">
      <c r="B80" s="41" t="s">
        <v>247</v>
      </c>
      <c r="C80" s="111">
        <v>4.0102000000000002</v>
      </c>
      <c r="D80" s="112">
        <v>6.6558000000000002</v>
      </c>
      <c r="E80" s="113">
        <v>0</v>
      </c>
      <c r="F80" s="114">
        <v>83.551900000000003</v>
      </c>
      <c r="G80" s="113">
        <v>115.5257</v>
      </c>
      <c r="H80" s="113">
        <v>0</v>
      </c>
      <c r="I80" s="135">
        <f>SUM(Table7[[#This Row],[Volume 2022]:[Volume YTD 2024]])</f>
        <v>199.07760000000002</v>
      </c>
      <c r="J80" s="138">
        <v>10.666</v>
      </c>
      <c r="K80" s="162">
        <f>IFERROR(((Table7[[#This Row],[2023]]-Table7[[#This Row],[2022]])/Table7[[#This Row],[2022]]),0)</f>
        <v>0.65971771981447302</v>
      </c>
      <c r="L80" s="162">
        <f>IFERROR(((Table7[[#This Row],[YTD 2024]]-Table7[[#This Row],[2023]])/Table7[[#This Row],[2023]]),0)</f>
        <v>-1</v>
      </c>
      <c r="M80" s="218">
        <f>Table7[[#This Row],[YoY growth]]-Table7[[#This Row],[Volume growth]]</f>
        <v>1.659717719814473</v>
      </c>
      <c r="N80" s="222"/>
    </row>
    <row r="81" spans="2:14" hidden="1" x14ac:dyDescent="0.25">
      <c r="B81" s="41" t="s">
        <v>213</v>
      </c>
      <c r="C81" s="111">
        <v>4.6416000000000004</v>
      </c>
      <c r="D81" s="112">
        <v>5.1684999999999999</v>
      </c>
      <c r="E81" s="113">
        <v>0.78010000000000002</v>
      </c>
      <c r="F81" s="114">
        <v>142.55420000000001</v>
      </c>
      <c r="G81" s="113">
        <v>145.93899999999999</v>
      </c>
      <c r="H81" s="113">
        <v>21.435099999999998</v>
      </c>
      <c r="I81" s="135">
        <f>SUM(Table7[[#This Row],[Volume 2022]:[Volume YTD 2024]])</f>
        <v>309.92829999999998</v>
      </c>
      <c r="J81" s="138">
        <v>10.590199999999999</v>
      </c>
      <c r="K81" s="162">
        <f>IFERROR(((Table7[[#This Row],[2023]]-Table7[[#This Row],[2022]])/Table7[[#This Row],[2022]]),0)</f>
        <v>0.11351689072733528</v>
      </c>
      <c r="L81" s="162">
        <f>IFERROR(((Table7[[#This Row],[YTD 2024]]-Table7[[#This Row],[2023]])/Table7[[#This Row],[2023]]),0)</f>
        <v>-0.84906646028828481</v>
      </c>
      <c r="M81" s="218">
        <f>Table7[[#This Row],[YoY growth]]-Table7[[#This Row],[Volume growth]]</f>
        <v>0.96258335101562009</v>
      </c>
      <c r="N81" s="222"/>
    </row>
    <row r="82" spans="2:14" hidden="1" x14ac:dyDescent="0.25">
      <c r="B82" s="41" t="s">
        <v>832</v>
      </c>
      <c r="C82" s="111">
        <v>0</v>
      </c>
      <c r="D82" s="112">
        <v>4.4634999999999998</v>
      </c>
      <c r="E82" s="113">
        <v>5.9009999999999998</v>
      </c>
      <c r="F82" s="114">
        <v>0</v>
      </c>
      <c r="G82" s="113">
        <v>231.33420000000001</v>
      </c>
      <c r="H82" s="113">
        <v>348.19819999999999</v>
      </c>
      <c r="I82" s="135">
        <f>SUM(Table7[[#This Row],[Volume 2022]:[Volume YTD 2024]])</f>
        <v>579.53240000000005</v>
      </c>
      <c r="J82" s="138">
        <v>10.3645</v>
      </c>
      <c r="K82" s="162">
        <f>IFERROR(((Table7[[#This Row],[2023]]-Table7[[#This Row],[2022]])/Table7[[#This Row],[2022]]),0)</f>
        <v>0</v>
      </c>
      <c r="L82" s="162">
        <f>IFERROR(((Table7[[#This Row],[YTD 2024]]-Table7[[#This Row],[2023]])/Table7[[#This Row],[2023]]),0)</f>
        <v>0.32205668197602777</v>
      </c>
      <c r="M82" s="218">
        <f>Table7[[#This Row],[YoY growth]]-Table7[[#This Row],[Volume growth]]</f>
        <v>-0.32205668197602777</v>
      </c>
      <c r="N82" s="222"/>
    </row>
    <row r="83" spans="2:14" hidden="1" x14ac:dyDescent="0.25">
      <c r="B83" s="41" t="s">
        <v>170</v>
      </c>
      <c r="C83" s="111">
        <v>8.6900999999999993</v>
      </c>
      <c r="D83" s="112">
        <v>1.1979</v>
      </c>
      <c r="E83" s="113">
        <v>0.1404</v>
      </c>
      <c r="F83" s="114">
        <v>161.07130000000001</v>
      </c>
      <c r="G83" s="113">
        <v>29.083500000000001</v>
      </c>
      <c r="H83" s="113">
        <v>1.4401999999999999</v>
      </c>
      <c r="I83" s="135">
        <f>SUM(Table7[[#This Row],[Volume 2022]:[Volume YTD 2024]])</f>
        <v>191.59500000000003</v>
      </c>
      <c r="J83" s="138">
        <v>10.0284</v>
      </c>
      <c r="K83" s="162">
        <f>IFERROR(((Table7[[#This Row],[2023]]-Table7[[#This Row],[2022]])/Table7[[#This Row],[2022]]),0)</f>
        <v>-0.86215348500017264</v>
      </c>
      <c r="L83" s="162">
        <f>IFERROR(((Table7[[#This Row],[YTD 2024]]-Table7[[#This Row],[2023]])/Table7[[#This Row],[2023]]),0)</f>
        <v>-0.88279489105935383</v>
      </c>
      <c r="M83" s="218">
        <f>Table7[[#This Row],[YoY growth]]-Table7[[#This Row],[Volume growth]]</f>
        <v>2.0641406059181189E-2</v>
      </c>
      <c r="N83" s="222"/>
    </row>
    <row r="84" spans="2:14" hidden="1" x14ac:dyDescent="0.25">
      <c r="B84" s="41" t="s">
        <v>179</v>
      </c>
      <c r="C84" s="111">
        <v>9.2643000000000004</v>
      </c>
      <c r="D84" s="112">
        <v>0.1729</v>
      </c>
      <c r="E84" s="113">
        <v>3.0000000000000001E-3</v>
      </c>
      <c r="F84" s="114">
        <v>358.95979999999997</v>
      </c>
      <c r="G84" s="113">
        <v>4.9572000000000003</v>
      </c>
      <c r="H84" s="113">
        <v>7.1999999999999995E-2</v>
      </c>
      <c r="I84" s="135">
        <f>SUM(Table7[[#This Row],[Volume 2022]:[Volume YTD 2024]])</f>
        <v>363.98899999999998</v>
      </c>
      <c r="J84" s="138">
        <v>9.4402000000000008</v>
      </c>
      <c r="K84" s="162">
        <f>IFERROR(((Table7[[#This Row],[2023]]-Table7[[#This Row],[2022]])/Table7[[#This Row],[2022]]),0)</f>
        <v>-0.98133696015888949</v>
      </c>
      <c r="L84" s="162">
        <f>IFERROR(((Table7[[#This Row],[YTD 2024]]-Table7[[#This Row],[2023]])/Table7[[#This Row],[2023]]),0)</f>
        <v>-0.9826489300173511</v>
      </c>
      <c r="M84" s="218">
        <f>Table7[[#This Row],[YoY growth]]-Table7[[#This Row],[Volume growth]]</f>
        <v>1.3119698584616035E-3</v>
      </c>
      <c r="N84" s="222"/>
    </row>
    <row r="85" spans="2:14" hidden="1" x14ac:dyDescent="0.25">
      <c r="B85" s="41" t="s">
        <v>644</v>
      </c>
      <c r="C85" s="111">
        <v>8.2482000000000006</v>
      </c>
      <c r="D85" s="112">
        <v>0.97330000000000005</v>
      </c>
      <c r="E85" s="113">
        <v>0</v>
      </c>
      <c r="F85" s="114">
        <v>505.78250000000003</v>
      </c>
      <c r="G85" s="113">
        <v>58.400799999999997</v>
      </c>
      <c r="H85" s="113">
        <v>0</v>
      </c>
      <c r="I85" s="135">
        <f>SUM(Table7[[#This Row],[Volume 2022]:[Volume YTD 2024]])</f>
        <v>564.18330000000003</v>
      </c>
      <c r="J85" s="138">
        <v>9.2215000000000007</v>
      </c>
      <c r="K85" s="162">
        <f>IFERROR(((Table7[[#This Row],[2023]]-Table7[[#This Row],[2022]])/Table7[[#This Row],[2022]]),0)</f>
        <v>-0.8819984966416915</v>
      </c>
      <c r="L85" s="162">
        <f>IFERROR(((Table7[[#This Row],[YTD 2024]]-Table7[[#This Row],[2023]])/Table7[[#This Row],[2023]]),0)</f>
        <v>-1</v>
      </c>
      <c r="M85" s="218">
        <f>Table7[[#This Row],[YoY growth]]-Table7[[#This Row],[Volume growth]]</f>
        <v>0.1180015033583085</v>
      </c>
      <c r="N85" s="222"/>
    </row>
    <row r="86" spans="2:14" hidden="1" x14ac:dyDescent="0.25">
      <c r="B86" s="41" t="s">
        <v>221</v>
      </c>
      <c r="C86" s="111">
        <v>9.1872000000000007</v>
      </c>
      <c r="D86" s="112">
        <v>0</v>
      </c>
      <c r="E86" s="113">
        <v>0</v>
      </c>
      <c r="F86" s="114">
        <v>430.16879999999998</v>
      </c>
      <c r="G86" s="113">
        <v>0</v>
      </c>
      <c r="H86" s="113">
        <v>0</v>
      </c>
      <c r="I86" s="135">
        <f>SUM(Table7[[#This Row],[Volume 2022]:[Volume YTD 2024]])</f>
        <v>430.16879999999998</v>
      </c>
      <c r="J86" s="138">
        <v>9.1872000000000007</v>
      </c>
      <c r="K86" s="162">
        <f>IFERROR(((Table7[[#This Row],[2023]]-Table7[[#This Row],[2022]])/Table7[[#This Row],[2022]]),0)</f>
        <v>-1</v>
      </c>
      <c r="L86" s="162">
        <f>IFERROR(((Table7[[#This Row],[YTD 2024]]-Table7[[#This Row],[2023]])/Table7[[#This Row],[2023]]),0)</f>
        <v>0</v>
      </c>
      <c r="M86" s="218">
        <f>Table7[[#This Row],[YoY growth]]-Table7[[#This Row],[Volume growth]]</f>
        <v>-1</v>
      </c>
      <c r="N86" s="222"/>
    </row>
    <row r="87" spans="2:14" hidden="1" x14ac:dyDescent="0.25">
      <c r="B87" s="41" t="s">
        <v>151</v>
      </c>
      <c r="C87" s="111">
        <v>8.9794</v>
      </c>
      <c r="D87" s="112">
        <v>0</v>
      </c>
      <c r="E87" s="113">
        <v>0</v>
      </c>
      <c r="F87" s="114">
        <v>618.46879999999999</v>
      </c>
      <c r="G87" s="113">
        <v>0</v>
      </c>
      <c r="H87" s="113">
        <v>0</v>
      </c>
      <c r="I87" s="135">
        <f>SUM(Table7[[#This Row],[Volume 2022]:[Volume YTD 2024]])</f>
        <v>618.46879999999999</v>
      </c>
      <c r="J87" s="138">
        <v>8.9794</v>
      </c>
      <c r="K87" s="162">
        <f>IFERROR(((Table7[[#This Row],[2023]]-Table7[[#This Row],[2022]])/Table7[[#This Row],[2022]]),0)</f>
        <v>-1</v>
      </c>
      <c r="L87" s="162">
        <f>IFERROR(((Table7[[#This Row],[YTD 2024]]-Table7[[#This Row],[2023]])/Table7[[#This Row],[2023]]),0)</f>
        <v>0</v>
      </c>
      <c r="M87" s="218">
        <f>Table7[[#This Row],[YoY growth]]-Table7[[#This Row],[Volume growth]]</f>
        <v>-1</v>
      </c>
      <c r="N87" s="222"/>
    </row>
    <row r="88" spans="2:14" hidden="1" x14ac:dyDescent="0.25">
      <c r="B88" s="41" t="s">
        <v>219</v>
      </c>
      <c r="C88" s="111">
        <v>7.4866999999999999</v>
      </c>
      <c r="D88" s="112">
        <v>1.5100000000000001E-2</v>
      </c>
      <c r="E88" s="113">
        <v>0</v>
      </c>
      <c r="F88" s="114">
        <v>509.18150000000003</v>
      </c>
      <c r="G88" s="113">
        <v>0.77590000000000003</v>
      </c>
      <c r="H88" s="113">
        <v>0</v>
      </c>
      <c r="I88" s="135">
        <f>SUM(Table7[[#This Row],[Volume 2022]:[Volume YTD 2024]])</f>
        <v>509.95740000000001</v>
      </c>
      <c r="J88" s="138">
        <v>7.5018000000000002</v>
      </c>
      <c r="K88" s="162">
        <f>IFERROR(((Table7[[#This Row],[2023]]-Table7[[#This Row],[2022]])/Table7[[#This Row],[2022]]),0)</f>
        <v>-0.99798309001295626</v>
      </c>
      <c r="L88" s="162">
        <f>IFERROR(((Table7[[#This Row],[YTD 2024]]-Table7[[#This Row],[2023]])/Table7[[#This Row],[2023]]),0)</f>
        <v>-1</v>
      </c>
      <c r="M88" s="218">
        <f>Table7[[#This Row],[YoY growth]]-Table7[[#This Row],[Volume growth]]</f>
        <v>2.0169099870437357E-3</v>
      </c>
      <c r="N88" s="222"/>
    </row>
    <row r="89" spans="2:14" hidden="1" x14ac:dyDescent="0.25">
      <c r="B89" s="41" t="s">
        <v>428</v>
      </c>
      <c r="C89" s="111">
        <v>6.1833</v>
      </c>
      <c r="D89" s="112">
        <v>0.61119999999999997</v>
      </c>
      <c r="E89" s="113">
        <v>0</v>
      </c>
      <c r="F89" s="114">
        <v>392.1592</v>
      </c>
      <c r="G89" s="113">
        <v>31.181999999999999</v>
      </c>
      <c r="H89" s="113">
        <v>0</v>
      </c>
      <c r="I89" s="135">
        <f>SUM(Table7[[#This Row],[Volume 2022]:[Volume YTD 2024]])</f>
        <v>423.34120000000001</v>
      </c>
      <c r="J89" s="138">
        <v>6.7945000000000002</v>
      </c>
      <c r="K89" s="162">
        <f>IFERROR(((Table7[[#This Row],[2023]]-Table7[[#This Row],[2022]])/Table7[[#This Row],[2022]]),0)</f>
        <v>-0.90115310594666276</v>
      </c>
      <c r="L89" s="162">
        <f>IFERROR(((Table7[[#This Row],[YTD 2024]]-Table7[[#This Row],[2023]])/Table7[[#This Row],[2023]]),0)</f>
        <v>-1</v>
      </c>
      <c r="M89" s="218">
        <f>Table7[[#This Row],[YoY growth]]-Table7[[#This Row],[Volume growth]]</f>
        <v>9.8846894053337242E-2</v>
      </c>
      <c r="N89" s="222"/>
    </row>
    <row r="90" spans="2:14" hidden="1" x14ac:dyDescent="0.25">
      <c r="B90" s="41" t="s">
        <v>393</v>
      </c>
      <c r="C90" s="111">
        <v>0</v>
      </c>
      <c r="D90" s="112">
        <v>6.2138</v>
      </c>
      <c r="E90" s="113">
        <v>8.77E-2</v>
      </c>
      <c r="F90" s="114">
        <v>0</v>
      </c>
      <c r="G90" s="113">
        <v>384.83499999999998</v>
      </c>
      <c r="H90" s="113">
        <v>5.7408999999999999</v>
      </c>
      <c r="I90" s="135">
        <f>SUM(Table7[[#This Row],[Volume 2022]:[Volume YTD 2024]])</f>
        <v>390.57589999999999</v>
      </c>
      <c r="J90" s="138">
        <v>6.3014999999999999</v>
      </c>
      <c r="K90" s="162">
        <f>IFERROR(((Table7[[#This Row],[2023]]-Table7[[#This Row],[2022]])/Table7[[#This Row],[2022]]),0)</f>
        <v>0</v>
      </c>
      <c r="L90" s="162">
        <f>IFERROR(((Table7[[#This Row],[YTD 2024]]-Table7[[#This Row],[2023]])/Table7[[#This Row],[2023]]),0)</f>
        <v>-0.98588625317840939</v>
      </c>
      <c r="M90" s="218">
        <f>Table7[[#This Row],[YoY growth]]-Table7[[#This Row],[Volume growth]]</f>
        <v>0.98588625317840939</v>
      </c>
      <c r="N90" s="222"/>
    </row>
    <row r="91" spans="2:14" hidden="1" x14ac:dyDescent="0.25">
      <c r="B91" s="41" t="s">
        <v>708</v>
      </c>
      <c r="C91" s="111">
        <v>1.8396999999999999</v>
      </c>
      <c r="D91" s="112">
        <v>4.3616000000000001</v>
      </c>
      <c r="E91" s="113">
        <v>0</v>
      </c>
      <c r="F91" s="114">
        <v>115.49760000000001</v>
      </c>
      <c r="G91" s="113">
        <v>300.46589999999998</v>
      </c>
      <c r="H91" s="113">
        <v>0</v>
      </c>
      <c r="I91" s="135">
        <f>SUM(Table7[[#This Row],[Volume 2022]:[Volume YTD 2024]])</f>
        <v>415.96349999999995</v>
      </c>
      <c r="J91" s="138">
        <v>6.2012999999999998</v>
      </c>
      <c r="K91" s="162">
        <f>IFERROR(((Table7[[#This Row],[2023]]-Table7[[#This Row],[2022]])/Table7[[#This Row],[2022]]),0)</f>
        <v>1.3708213295646032</v>
      </c>
      <c r="L91" s="162">
        <f>IFERROR(((Table7[[#This Row],[YTD 2024]]-Table7[[#This Row],[2023]])/Table7[[#This Row],[2023]]),0)</f>
        <v>-1</v>
      </c>
      <c r="M91" s="218">
        <f>Table7[[#This Row],[YoY growth]]-Table7[[#This Row],[Volume growth]]</f>
        <v>2.3708213295646035</v>
      </c>
      <c r="N91" s="222"/>
    </row>
    <row r="92" spans="2:14" hidden="1" x14ac:dyDescent="0.25">
      <c r="B92" s="41" t="s">
        <v>311</v>
      </c>
      <c r="C92" s="111">
        <v>6.1033999999999997</v>
      </c>
      <c r="D92" s="112">
        <v>8.2299999999999998E-2</v>
      </c>
      <c r="E92" s="113">
        <v>0</v>
      </c>
      <c r="F92" s="114">
        <v>422.25490000000002</v>
      </c>
      <c r="G92" s="113">
        <v>3.4649000000000001</v>
      </c>
      <c r="H92" s="113">
        <v>0</v>
      </c>
      <c r="I92" s="135">
        <f>SUM(Table7[[#This Row],[Volume 2022]:[Volume YTD 2024]])</f>
        <v>425.71980000000002</v>
      </c>
      <c r="J92" s="138">
        <v>6.1856999999999998</v>
      </c>
      <c r="K92" s="162">
        <f>IFERROR(((Table7[[#This Row],[2023]]-Table7[[#This Row],[2022]])/Table7[[#This Row],[2022]]),0)</f>
        <v>-0.98651571255365866</v>
      </c>
      <c r="L92" s="162">
        <f>IFERROR(((Table7[[#This Row],[YTD 2024]]-Table7[[#This Row],[2023]])/Table7[[#This Row],[2023]]),0)</f>
        <v>-1</v>
      </c>
      <c r="M92" s="218">
        <f>Table7[[#This Row],[YoY growth]]-Table7[[#This Row],[Volume growth]]</f>
        <v>1.3484287446341336E-2</v>
      </c>
      <c r="N92" s="222"/>
    </row>
    <row r="93" spans="2:14" hidden="1" x14ac:dyDescent="0.25">
      <c r="B93" s="41" t="s">
        <v>842</v>
      </c>
      <c r="C93" s="111">
        <v>3.1665000000000001</v>
      </c>
      <c r="D93" s="112">
        <v>2.1888000000000001</v>
      </c>
      <c r="E93" s="113">
        <v>0.46289999999999998</v>
      </c>
      <c r="F93" s="114">
        <v>65.203199999999995</v>
      </c>
      <c r="G93" s="113">
        <v>50.370399999999997</v>
      </c>
      <c r="H93" s="113">
        <v>10.166600000000001</v>
      </c>
      <c r="I93" s="135">
        <f>SUM(Table7[[#This Row],[Volume 2022]:[Volume YTD 2024]])</f>
        <v>125.7402</v>
      </c>
      <c r="J93" s="138">
        <v>5.8182</v>
      </c>
      <c r="K93" s="162">
        <f>IFERROR(((Table7[[#This Row],[2023]]-Table7[[#This Row],[2022]])/Table7[[#This Row],[2022]]),0)</f>
        <v>-0.30876361913784933</v>
      </c>
      <c r="L93" s="162">
        <f>IFERROR(((Table7[[#This Row],[YTD 2024]]-Table7[[#This Row],[2023]])/Table7[[#This Row],[2023]]),0)</f>
        <v>-0.78851425438596501</v>
      </c>
      <c r="M93" s="218">
        <f>Table7[[#This Row],[YoY growth]]-Table7[[#This Row],[Volume growth]]</f>
        <v>0.47975063524811568</v>
      </c>
      <c r="N93" s="222"/>
    </row>
    <row r="94" spans="2:14" hidden="1" x14ac:dyDescent="0.25">
      <c r="B94" s="41" t="s">
        <v>674</v>
      </c>
      <c r="C94" s="111">
        <v>5.2523</v>
      </c>
      <c r="D94" s="112">
        <v>0</v>
      </c>
      <c r="E94" s="113">
        <v>0</v>
      </c>
      <c r="F94" s="114">
        <v>269.2595</v>
      </c>
      <c r="G94" s="113">
        <v>0</v>
      </c>
      <c r="H94" s="113">
        <v>0</v>
      </c>
      <c r="I94" s="135">
        <f>SUM(Table7[[#This Row],[Volume 2022]:[Volume YTD 2024]])</f>
        <v>269.2595</v>
      </c>
      <c r="J94" s="138">
        <v>5.2523</v>
      </c>
      <c r="K94" s="162">
        <f>IFERROR(((Table7[[#This Row],[2023]]-Table7[[#This Row],[2022]])/Table7[[#This Row],[2022]]),0)</f>
        <v>-1</v>
      </c>
      <c r="L94" s="162">
        <f>IFERROR(((Table7[[#This Row],[YTD 2024]]-Table7[[#This Row],[2023]])/Table7[[#This Row],[2023]]),0)</f>
        <v>0</v>
      </c>
      <c r="M94" s="218">
        <f>Table7[[#This Row],[YoY growth]]-Table7[[#This Row],[Volume growth]]</f>
        <v>-1</v>
      </c>
      <c r="N94" s="222"/>
    </row>
    <row r="95" spans="2:14" hidden="1" x14ac:dyDescent="0.25">
      <c r="B95" s="41" t="s">
        <v>432</v>
      </c>
      <c r="C95" s="111">
        <v>2.5480999999999998</v>
      </c>
      <c r="D95" s="112">
        <v>2.6009000000000002</v>
      </c>
      <c r="E95" s="113">
        <v>0</v>
      </c>
      <c r="F95" s="114">
        <v>132.16820000000001</v>
      </c>
      <c r="G95" s="113">
        <v>141.76490000000001</v>
      </c>
      <c r="H95" s="113">
        <v>0</v>
      </c>
      <c r="I95" s="135">
        <f>SUM(Table7[[#This Row],[Volume 2022]:[Volume YTD 2024]])</f>
        <v>273.93310000000002</v>
      </c>
      <c r="J95" s="138">
        <v>5.149</v>
      </c>
      <c r="K95" s="162">
        <f>IFERROR(((Table7[[#This Row],[2023]]-Table7[[#This Row],[2022]])/Table7[[#This Row],[2022]]),0)</f>
        <v>2.0721321769161496E-2</v>
      </c>
      <c r="L95" s="162">
        <f>IFERROR(((Table7[[#This Row],[YTD 2024]]-Table7[[#This Row],[2023]])/Table7[[#This Row],[2023]]),0)</f>
        <v>-1</v>
      </c>
      <c r="M95" s="218">
        <f>Table7[[#This Row],[YoY growth]]-Table7[[#This Row],[Volume growth]]</f>
        <v>1.0207213217691615</v>
      </c>
      <c r="N95" s="222"/>
    </row>
    <row r="96" spans="2:14" hidden="1" x14ac:dyDescent="0.25">
      <c r="B96" s="41" t="s">
        <v>837</v>
      </c>
      <c r="C96" s="111">
        <v>1.5390999999999999</v>
      </c>
      <c r="D96" s="112">
        <v>2.0581</v>
      </c>
      <c r="E96" s="113">
        <v>0.68220000000000003</v>
      </c>
      <c r="F96" s="114">
        <v>71.357399999999998</v>
      </c>
      <c r="G96" s="113">
        <v>96.8429</v>
      </c>
      <c r="H96" s="113">
        <v>27.710899999999999</v>
      </c>
      <c r="I96" s="135">
        <f>SUM(Table7[[#This Row],[Volume 2022]:[Volume YTD 2024]])</f>
        <v>195.91120000000001</v>
      </c>
      <c r="J96" s="138">
        <v>4.2793999999999999</v>
      </c>
      <c r="K96" s="162">
        <f>IFERROR(((Table7[[#This Row],[2023]]-Table7[[#This Row],[2022]])/Table7[[#This Row],[2022]]),0)</f>
        <v>0.33721005782600233</v>
      </c>
      <c r="L96" s="162">
        <f>IFERROR(((Table7[[#This Row],[YTD 2024]]-Table7[[#This Row],[2023]])/Table7[[#This Row],[2023]]),0)</f>
        <v>-0.66852922598513198</v>
      </c>
      <c r="M96" s="218">
        <f>Table7[[#This Row],[YoY growth]]-Table7[[#This Row],[Volume growth]]</f>
        <v>1.0057392838111343</v>
      </c>
      <c r="N96" s="222"/>
    </row>
    <row r="97" spans="2:14" hidden="1" x14ac:dyDescent="0.25">
      <c r="B97" s="41" t="s">
        <v>859</v>
      </c>
      <c r="C97" s="111">
        <v>4.0544000000000002</v>
      </c>
      <c r="D97" s="112">
        <v>0</v>
      </c>
      <c r="E97" s="113">
        <v>0</v>
      </c>
      <c r="F97" s="114">
        <v>233.119</v>
      </c>
      <c r="G97" s="113">
        <v>0</v>
      </c>
      <c r="H97" s="113">
        <v>0</v>
      </c>
      <c r="I97" s="135">
        <f>SUM(Table7[[#This Row],[Volume 2022]:[Volume YTD 2024]])</f>
        <v>233.119</v>
      </c>
      <c r="J97" s="138">
        <v>4.0544000000000002</v>
      </c>
      <c r="K97" s="162">
        <f>IFERROR(((Table7[[#This Row],[2023]]-Table7[[#This Row],[2022]])/Table7[[#This Row],[2022]]),0)</f>
        <v>-1</v>
      </c>
      <c r="L97" s="162">
        <f>IFERROR(((Table7[[#This Row],[YTD 2024]]-Table7[[#This Row],[2023]])/Table7[[#This Row],[2023]]),0)</f>
        <v>0</v>
      </c>
      <c r="M97" s="218">
        <f>Table7[[#This Row],[YoY growth]]-Table7[[#This Row],[Volume growth]]</f>
        <v>-1</v>
      </c>
      <c r="N97" s="222"/>
    </row>
    <row r="98" spans="2:14" hidden="1" x14ac:dyDescent="0.25">
      <c r="B98" s="41" t="s">
        <v>231</v>
      </c>
      <c r="C98" s="111">
        <v>0</v>
      </c>
      <c r="D98" s="112">
        <v>3.052</v>
      </c>
      <c r="E98" s="113">
        <v>0.7581</v>
      </c>
      <c r="F98" s="114">
        <v>0</v>
      </c>
      <c r="G98" s="113">
        <v>36.4679</v>
      </c>
      <c r="H98" s="113">
        <v>10.828200000000001</v>
      </c>
      <c r="I98" s="135">
        <f>SUM(Table7[[#This Row],[Volume 2022]:[Volume YTD 2024]])</f>
        <v>47.296100000000003</v>
      </c>
      <c r="J98" s="138">
        <v>3.8101000000000003</v>
      </c>
      <c r="K98" s="162">
        <f>IFERROR(((Table7[[#This Row],[2023]]-Table7[[#This Row],[2022]])/Table7[[#This Row],[2022]]),0)</f>
        <v>0</v>
      </c>
      <c r="L98" s="162">
        <f>IFERROR(((Table7[[#This Row],[YTD 2024]]-Table7[[#This Row],[2023]])/Table7[[#This Row],[2023]]),0)</f>
        <v>-0.75160550458715591</v>
      </c>
      <c r="M98" s="218">
        <f>Table7[[#This Row],[YoY growth]]-Table7[[#This Row],[Volume growth]]</f>
        <v>0.75160550458715591</v>
      </c>
      <c r="N98" s="222"/>
    </row>
    <row r="99" spans="2:14" hidden="1" x14ac:dyDescent="0.25">
      <c r="B99" s="41" t="s">
        <v>575</v>
      </c>
      <c r="C99" s="111">
        <v>1.4174</v>
      </c>
      <c r="D99" s="112">
        <v>2.3006000000000002</v>
      </c>
      <c r="E99" s="113">
        <v>0</v>
      </c>
      <c r="F99" s="114">
        <v>78.384500000000003</v>
      </c>
      <c r="G99" s="113">
        <v>113.29300000000001</v>
      </c>
      <c r="H99" s="113">
        <v>0</v>
      </c>
      <c r="I99" s="135">
        <f>SUM(Table7[[#This Row],[Volume 2022]:[Volume YTD 2024]])</f>
        <v>191.67750000000001</v>
      </c>
      <c r="J99" s="138">
        <v>3.718</v>
      </c>
      <c r="K99" s="162">
        <f>IFERROR(((Table7[[#This Row],[2023]]-Table7[[#This Row],[2022]])/Table7[[#This Row],[2022]]),0)</f>
        <v>0.62311274163962194</v>
      </c>
      <c r="L99" s="162">
        <f>IFERROR(((Table7[[#This Row],[YTD 2024]]-Table7[[#This Row],[2023]])/Table7[[#This Row],[2023]]),0)</f>
        <v>-1</v>
      </c>
      <c r="M99" s="218">
        <f>Table7[[#This Row],[YoY growth]]-Table7[[#This Row],[Volume growth]]</f>
        <v>1.623112741639622</v>
      </c>
      <c r="N99" s="222"/>
    </row>
    <row r="100" spans="2:14" hidden="1" x14ac:dyDescent="0.25">
      <c r="B100" s="41" t="s">
        <v>182</v>
      </c>
      <c r="C100" s="111">
        <v>2.5741999999999998</v>
      </c>
      <c r="D100" s="112">
        <v>0.58250000000000002</v>
      </c>
      <c r="E100" s="113">
        <v>9.0300000000000005E-2</v>
      </c>
      <c r="F100" s="114">
        <v>138.52269999999999</v>
      </c>
      <c r="G100" s="113">
        <v>28.354600000000001</v>
      </c>
      <c r="H100" s="113">
        <v>3.9451999999999998</v>
      </c>
      <c r="I100" s="135">
        <f>SUM(Table7[[#This Row],[Volume 2022]:[Volume YTD 2024]])</f>
        <v>170.82249999999999</v>
      </c>
      <c r="J100" s="138">
        <v>3.2469999999999999</v>
      </c>
      <c r="K100" s="162">
        <f>IFERROR(((Table7[[#This Row],[2023]]-Table7[[#This Row],[2022]])/Table7[[#This Row],[2022]]),0)</f>
        <v>-0.77371610597467178</v>
      </c>
      <c r="L100" s="162">
        <f>IFERROR(((Table7[[#This Row],[YTD 2024]]-Table7[[#This Row],[2023]])/Table7[[#This Row],[2023]]),0)</f>
        <v>-0.84497854077253221</v>
      </c>
      <c r="M100" s="218">
        <f>Table7[[#This Row],[YoY growth]]-Table7[[#This Row],[Volume growth]]</f>
        <v>7.126243479786043E-2</v>
      </c>
      <c r="N100" s="222"/>
    </row>
    <row r="101" spans="2:14" hidden="1" x14ac:dyDescent="0.25">
      <c r="B101" s="41" t="s">
        <v>683</v>
      </c>
      <c r="C101" s="111">
        <v>0</v>
      </c>
      <c r="D101" s="112">
        <v>0</v>
      </c>
      <c r="E101" s="113">
        <v>3.1633</v>
      </c>
      <c r="F101" s="114">
        <v>0</v>
      </c>
      <c r="G101" s="113">
        <v>0</v>
      </c>
      <c r="H101" s="113">
        <v>171.71680000000001</v>
      </c>
      <c r="I101" s="135">
        <f>SUM(Table7[[#This Row],[Volume 2022]:[Volume YTD 2024]])</f>
        <v>171.71680000000001</v>
      </c>
      <c r="J101" s="138">
        <v>3.1633</v>
      </c>
      <c r="K101" s="162">
        <f>IFERROR(((Table7[[#This Row],[2023]]-Table7[[#This Row],[2022]])/Table7[[#This Row],[2022]]),0)</f>
        <v>0</v>
      </c>
      <c r="L101" s="162">
        <f>IFERROR(((Table7[[#This Row],[YTD 2024]]-Table7[[#This Row],[2023]])/Table7[[#This Row],[2023]]),0)</f>
        <v>0</v>
      </c>
      <c r="M101" s="218">
        <f>Table7[[#This Row],[YoY growth]]-Table7[[#This Row],[Volume growth]]</f>
        <v>0</v>
      </c>
      <c r="N101" s="222"/>
    </row>
    <row r="102" spans="2:14" hidden="1" x14ac:dyDescent="0.25">
      <c r="B102" s="41" t="s">
        <v>359</v>
      </c>
      <c r="C102" s="111">
        <v>3.0200000000000001E-2</v>
      </c>
      <c r="D102" s="112">
        <v>2.0104000000000002</v>
      </c>
      <c r="E102" s="113">
        <v>1.0045999999999999</v>
      </c>
      <c r="F102" s="114">
        <v>1.4571000000000001</v>
      </c>
      <c r="G102" s="113">
        <v>118.0438</v>
      </c>
      <c r="H102" s="113">
        <v>56.873399999999997</v>
      </c>
      <c r="I102" s="135">
        <f>SUM(Table7[[#This Row],[Volume 2022]:[Volume YTD 2024]])</f>
        <v>176.37430000000001</v>
      </c>
      <c r="J102" s="138">
        <v>3.0451999999999999</v>
      </c>
      <c r="K102" s="162">
        <f>IFERROR(((Table7[[#This Row],[2023]]-Table7[[#This Row],[2022]])/Table7[[#This Row],[2022]]),0)</f>
        <v>65.569536423841058</v>
      </c>
      <c r="L102" s="162">
        <f>IFERROR(((Table7[[#This Row],[YTD 2024]]-Table7[[#This Row],[2023]])/Table7[[#This Row],[2023]]),0)</f>
        <v>-0.50029844807003587</v>
      </c>
      <c r="M102" s="218">
        <f>Table7[[#This Row],[YoY growth]]-Table7[[#This Row],[Volume growth]]</f>
        <v>66.069834871911098</v>
      </c>
      <c r="N102" s="222"/>
    </row>
    <row r="103" spans="2:14" hidden="1" x14ac:dyDescent="0.25">
      <c r="B103" s="41" t="s">
        <v>451</v>
      </c>
      <c r="C103" s="111">
        <v>1.4567000000000001</v>
      </c>
      <c r="D103" s="112">
        <v>0.9708</v>
      </c>
      <c r="E103" s="113">
        <v>0.44130000000000003</v>
      </c>
      <c r="F103" s="114">
        <v>8.1128999999999998</v>
      </c>
      <c r="G103" s="113">
        <v>4.8048999999999999</v>
      </c>
      <c r="H103" s="113">
        <v>2.4375</v>
      </c>
      <c r="I103" s="135">
        <f>SUM(Table7[[#This Row],[Volume 2022]:[Volume YTD 2024]])</f>
        <v>15.3553</v>
      </c>
      <c r="J103" s="138">
        <v>2.8688000000000002</v>
      </c>
      <c r="K103" s="162">
        <f>IFERROR(((Table7[[#This Row],[2023]]-Table7[[#This Row],[2022]])/Table7[[#This Row],[2022]]),0)</f>
        <v>-0.33356216104894632</v>
      </c>
      <c r="L103" s="162">
        <f>IFERROR(((Table7[[#This Row],[YTD 2024]]-Table7[[#This Row],[2023]])/Table7[[#This Row],[2023]]),0)</f>
        <v>-0.54542645241038312</v>
      </c>
      <c r="M103" s="218">
        <f>Table7[[#This Row],[YoY growth]]-Table7[[#This Row],[Volume growth]]</f>
        <v>0.21186429136143681</v>
      </c>
      <c r="N103" s="222"/>
    </row>
    <row r="104" spans="2:14" hidden="1" x14ac:dyDescent="0.25">
      <c r="B104" s="41" t="s">
        <v>421</v>
      </c>
      <c r="C104" s="111">
        <v>2.6486999999999998</v>
      </c>
      <c r="D104" s="112">
        <v>0</v>
      </c>
      <c r="E104" s="113">
        <v>0</v>
      </c>
      <c r="F104" s="114">
        <v>124.62050000000001</v>
      </c>
      <c r="G104" s="113">
        <v>0</v>
      </c>
      <c r="H104" s="113">
        <v>0</v>
      </c>
      <c r="I104" s="135">
        <f>SUM(Table7[[#This Row],[Volume 2022]:[Volume YTD 2024]])</f>
        <v>124.62050000000001</v>
      </c>
      <c r="J104" s="138">
        <v>2.6486999999999998</v>
      </c>
      <c r="K104" s="162">
        <f>IFERROR(((Table7[[#This Row],[2023]]-Table7[[#This Row],[2022]])/Table7[[#This Row],[2022]]),0)</f>
        <v>-1</v>
      </c>
      <c r="L104" s="162">
        <f>IFERROR(((Table7[[#This Row],[YTD 2024]]-Table7[[#This Row],[2023]])/Table7[[#This Row],[2023]]),0)</f>
        <v>0</v>
      </c>
      <c r="M104" s="218">
        <f>Table7[[#This Row],[YoY growth]]-Table7[[#This Row],[Volume growth]]</f>
        <v>-1</v>
      </c>
      <c r="N104" s="222"/>
    </row>
    <row r="105" spans="2:14" hidden="1" x14ac:dyDescent="0.25">
      <c r="B105" s="41" t="s">
        <v>595</v>
      </c>
      <c r="C105" s="111">
        <v>0.97350000000000003</v>
      </c>
      <c r="D105" s="112">
        <v>1.3669</v>
      </c>
      <c r="E105" s="113">
        <v>0.25619999999999998</v>
      </c>
      <c r="F105" s="114">
        <v>4.9279999999999999</v>
      </c>
      <c r="G105" s="113">
        <v>7.3564999999999996</v>
      </c>
      <c r="H105" s="113">
        <v>1.4279999999999999</v>
      </c>
      <c r="I105" s="135">
        <f>SUM(Table7[[#This Row],[Volume 2022]:[Volume YTD 2024]])</f>
        <v>13.712499999999999</v>
      </c>
      <c r="J105" s="138">
        <v>2.5965999999999996</v>
      </c>
      <c r="K105" s="162">
        <f>IFERROR(((Table7[[#This Row],[2023]]-Table7[[#This Row],[2022]])/Table7[[#This Row],[2022]]),0)</f>
        <v>0.4041088854648176</v>
      </c>
      <c r="L105" s="162">
        <f>IFERROR(((Table7[[#This Row],[YTD 2024]]-Table7[[#This Row],[2023]])/Table7[[#This Row],[2023]]),0)</f>
        <v>-0.81256858585119618</v>
      </c>
      <c r="M105" s="218">
        <f>Table7[[#This Row],[YoY growth]]-Table7[[#This Row],[Volume growth]]</f>
        <v>1.2166774713160138</v>
      </c>
      <c r="N105" s="222"/>
    </row>
    <row r="106" spans="2:14" hidden="1" x14ac:dyDescent="0.25">
      <c r="B106" s="41" t="s">
        <v>828</v>
      </c>
      <c r="C106" s="128">
        <v>1.9350000000000001</v>
      </c>
      <c r="D106" s="129">
        <v>0.624</v>
      </c>
      <c r="E106" s="115">
        <v>0</v>
      </c>
      <c r="F106" s="130">
        <v>24.822900000000001</v>
      </c>
      <c r="G106" s="115">
        <v>9.4085999999999999</v>
      </c>
      <c r="H106" s="115">
        <v>0</v>
      </c>
      <c r="I106" s="140">
        <f>SUM(Table7[[#This Row],[Volume 2022]:[Volume YTD 2024]])</f>
        <v>34.231499999999997</v>
      </c>
      <c r="J106" s="137">
        <v>2.5590000000000002</v>
      </c>
      <c r="K106" s="162">
        <f>IFERROR(((Table7[[#This Row],[2023]]-Table7[[#This Row],[2022]])/Table7[[#This Row],[2022]]),0)</f>
        <v>-0.67751937984496124</v>
      </c>
      <c r="L106" s="162">
        <f>IFERROR(((Table7[[#This Row],[YTD 2024]]-Table7[[#This Row],[2023]])/Table7[[#This Row],[2023]]),0)</f>
        <v>-1</v>
      </c>
      <c r="M106" s="218">
        <f>Table7[[#This Row],[YoY growth]]-Table7[[#This Row],[Volume growth]]</f>
        <v>0.32248062015503876</v>
      </c>
      <c r="N106" s="222"/>
    </row>
    <row r="107" spans="2:14" hidden="1" x14ac:dyDescent="0.25">
      <c r="B107" s="41" t="s">
        <v>448</v>
      </c>
      <c r="C107" s="111">
        <v>2.1507000000000001</v>
      </c>
      <c r="D107" s="112">
        <v>0.15629999999999999</v>
      </c>
      <c r="E107" s="113">
        <v>5.8099999999999999E-2</v>
      </c>
      <c r="F107" s="114">
        <v>55.849800000000002</v>
      </c>
      <c r="G107" s="113">
        <v>3.1030000000000002</v>
      </c>
      <c r="H107" s="113">
        <v>1.1613</v>
      </c>
      <c r="I107" s="135">
        <f>SUM(Table7[[#This Row],[Volume 2022]:[Volume YTD 2024]])</f>
        <v>60.114100000000001</v>
      </c>
      <c r="J107" s="138">
        <v>2.3651</v>
      </c>
      <c r="K107" s="162">
        <f>IFERROR(((Table7[[#This Row],[2023]]-Table7[[#This Row],[2022]])/Table7[[#This Row],[2022]]),0)</f>
        <v>-0.92732598688799006</v>
      </c>
      <c r="L107" s="162">
        <f>IFERROR(((Table7[[#This Row],[YTD 2024]]-Table7[[#This Row],[2023]])/Table7[[#This Row],[2023]]),0)</f>
        <v>-0.62827895073576456</v>
      </c>
      <c r="M107" s="218">
        <f>Table7[[#This Row],[YoY growth]]-Table7[[#This Row],[Volume growth]]</f>
        <v>-0.2990470361522255</v>
      </c>
      <c r="N107" s="222"/>
    </row>
    <row r="108" spans="2:14" hidden="1" x14ac:dyDescent="0.25">
      <c r="B108" s="41" t="s">
        <v>845</v>
      </c>
      <c r="C108" s="111">
        <v>0.22359999999999999</v>
      </c>
      <c r="D108" s="112">
        <v>1.0136000000000001</v>
      </c>
      <c r="E108" s="113">
        <v>1.0572999999999999</v>
      </c>
      <c r="F108" s="114">
        <v>12.2155</v>
      </c>
      <c r="G108" s="113">
        <v>49.151600000000002</v>
      </c>
      <c r="H108" s="113">
        <v>44.717399999999998</v>
      </c>
      <c r="I108" s="135">
        <f>SUM(Table7[[#This Row],[Volume 2022]:[Volume YTD 2024]])</f>
        <v>106.08449999999999</v>
      </c>
      <c r="J108" s="138">
        <v>2.2945000000000002</v>
      </c>
      <c r="K108" s="162">
        <f>IFERROR(((Table7[[#This Row],[2023]]-Table7[[#This Row],[2022]])/Table7[[#This Row],[2022]]),0)</f>
        <v>3.5330948121645798</v>
      </c>
      <c r="L108" s="162">
        <f>IFERROR(((Table7[[#This Row],[YTD 2024]]-Table7[[#This Row],[2023]])/Table7[[#This Row],[2023]]),0)</f>
        <v>4.3113654301499452E-2</v>
      </c>
      <c r="M108" s="218">
        <f>Table7[[#This Row],[YoY growth]]-Table7[[#This Row],[Volume growth]]</f>
        <v>3.4899811578630802</v>
      </c>
      <c r="N108" s="222"/>
    </row>
    <row r="109" spans="2:14" hidden="1" x14ac:dyDescent="0.25">
      <c r="B109" s="41" t="s">
        <v>126</v>
      </c>
      <c r="C109" s="111">
        <v>0.52039999999999997</v>
      </c>
      <c r="D109" s="112">
        <v>1.6072</v>
      </c>
      <c r="E109" s="113">
        <v>0.16420000000000001</v>
      </c>
      <c r="F109" s="114">
        <v>10.5198</v>
      </c>
      <c r="G109" s="113">
        <v>34.4998</v>
      </c>
      <c r="H109" s="113">
        <v>3.1461000000000001</v>
      </c>
      <c r="I109" s="135">
        <f>SUM(Table7[[#This Row],[Volume 2022]:[Volume YTD 2024]])</f>
        <v>48.165699999999994</v>
      </c>
      <c r="J109" s="138">
        <v>2.2918000000000003</v>
      </c>
      <c r="K109" s="162">
        <f>IFERROR(((Table7[[#This Row],[2023]]-Table7[[#This Row],[2022]])/Table7[[#This Row],[2022]]),0)</f>
        <v>2.0883935434281322</v>
      </c>
      <c r="L109" s="162">
        <f>IFERROR(((Table7[[#This Row],[YTD 2024]]-Table7[[#This Row],[2023]])/Table7[[#This Row],[2023]]),0)</f>
        <v>-0.89783474365355909</v>
      </c>
      <c r="M109" s="218">
        <f>Table7[[#This Row],[YoY growth]]-Table7[[#This Row],[Volume growth]]</f>
        <v>2.9862282870816914</v>
      </c>
      <c r="N109" s="222"/>
    </row>
    <row r="110" spans="2:14" hidden="1" x14ac:dyDescent="0.25">
      <c r="B110" s="41" t="s">
        <v>694</v>
      </c>
      <c r="C110" s="111">
        <v>2.0785999999999998</v>
      </c>
      <c r="D110" s="112">
        <v>7.1199999999999999E-2</v>
      </c>
      <c r="E110" s="113">
        <v>0</v>
      </c>
      <c r="F110" s="114">
        <v>104.04649999999999</v>
      </c>
      <c r="G110" s="113">
        <v>3.8216000000000001</v>
      </c>
      <c r="H110" s="113">
        <v>0</v>
      </c>
      <c r="I110" s="135">
        <f>SUM(Table7[[#This Row],[Volume 2022]:[Volume YTD 2024]])</f>
        <v>107.8681</v>
      </c>
      <c r="J110" s="138">
        <v>2.1497999999999999</v>
      </c>
      <c r="K110" s="162">
        <f>IFERROR(((Table7[[#This Row],[2023]]-Table7[[#This Row],[2022]])/Table7[[#This Row],[2022]]),0)</f>
        <v>-0.96574617531030493</v>
      </c>
      <c r="L110" s="162">
        <f>IFERROR(((Table7[[#This Row],[YTD 2024]]-Table7[[#This Row],[2023]])/Table7[[#This Row],[2023]]),0)</f>
        <v>-1</v>
      </c>
      <c r="M110" s="218">
        <f>Table7[[#This Row],[YoY growth]]-Table7[[#This Row],[Volume growth]]</f>
        <v>3.4253824689695067E-2</v>
      </c>
      <c r="N110" s="222"/>
    </row>
    <row r="111" spans="2:14" hidden="1" x14ac:dyDescent="0.25">
      <c r="B111" s="41" t="s">
        <v>601</v>
      </c>
      <c r="C111" s="111">
        <v>1.9984999999999999</v>
      </c>
      <c r="D111" s="112">
        <v>3.2300000000000002E-2</v>
      </c>
      <c r="E111" s="113">
        <v>0</v>
      </c>
      <c r="F111" s="114">
        <v>141.71469999999999</v>
      </c>
      <c r="G111" s="113">
        <v>1.9971000000000001</v>
      </c>
      <c r="H111" s="113">
        <v>0</v>
      </c>
      <c r="I111" s="135">
        <f>SUM(Table7[[#This Row],[Volume 2022]:[Volume YTD 2024]])</f>
        <v>143.71179999999998</v>
      </c>
      <c r="J111" s="138">
        <v>2.0308000000000002</v>
      </c>
      <c r="K111" s="162">
        <f>IFERROR(((Table7[[#This Row],[2023]]-Table7[[#This Row],[2022]])/Table7[[#This Row],[2022]]),0)</f>
        <v>-0.98383787840880665</v>
      </c>
      <c r="L111" s="162">
        <f>IFERROR(((Table7[[#This Row],[YTD 2024]]-Table7[[#This Row],[2023]])/Table7[[#This Row],[2023]]),0)</f>
        <v>-1</v>
      </c>
      <c r="M111" s="218">
        <f>Table7[[#This Row],[YoY growth]]-Table7[[#This Row],[Volume growth]]</f>
        <v>1.6162121591193346E-2</v>
      </c>
      <c r="N111" s="222"/>
    </row>
    <row r="112" spans="2:14" hidden="1" x14ac:dyDescent="0.25">
      <c r="B112" s="41" t="s">
        <v>692</v>
      </c>
      <c r="C112" s="111">
        <v>0</v>
      </c>
      <c r="D112" s="112">
        <v>0</v>
      </c>
      <c r="E112" s="113">
        <v>1.9407000000000001</v>
      </c>
      <c r="F112" s="114">
        <v>0</v>
      </c>
      <c r="G112" s="113">
        <v>0</v>
      </c>
      <c r="H112" s="113">
        <v>110.1146</v>
      </c>
      <c r="I112" s="135">
        <f>SUM(Table7[[#This Row],[Volume 2022]:[Volume YTD 2024]])</f>
        <v>110.1146</v>
      </c>
      <c r="J112" s="138">
        <v>1.9407000000000001</v>
      </c>
      <c r="K112" s="162">
        <f>IFERROR(((Table7[[#This Row],[2023]]-Table7[[#This Row],[2022]])/Table7[[#This Row],[2022]]),0)</f>
        <v>0</v>
      </c>
      <c r="L112" s="162">
        <f>IFERROR(((Table7[[#This Row],[YTD 2024]]-Table7[[#This Row],[2023]])/Table7[[#This Row],[2023]]),0)</f>
        <v>0</v>
      </c>
      <c r="M112" s="218">
        <f>Table7[[#This Row],[YoY growth]]-Table7[[#This Row],[Volume growth]]</f>
        <v>0</v>
      </c>
      <c r="N112" s="222"/>
    </row>
    <row r="113" spans="2:14" ht="24.75" hidden="1" x14ac:dyDescent="0.25">
      <c r="B113" s="41" t="s">
        <v>292</v>
      </c>
      <c r="C113" s="111">
        <v>0.33289999999999997</v>
      </c>
      <c r="D113" s="112">
        <v>2.7199999999999998E-2</v>
      </c>
      <c r="E113" s="113">
        <v>1.4402999999999999</v>
      </c>
      <c r="F113" s="114">
        <v>16.585699999999999</v>
      </c>
      <c r="G113" s="113">
        <v>2.2242999999999999</v>
      </c>
      <c r="H113" s="113">
        <v>35.560600000000001</v>
      </c>
      <c r="I113" s="135">
        <f>SUM(Table7[[#This Row],[Volume 2022]:[Volume YTD 2024]])</f>
        <v>54.370599999999996</v>
      </c>
      <c r="J113" s="138">
        <v>1.8003999999999998</v>
      </c>
      <c r="K113" s="162">
        <f>IFERROR(((Table7[[#This Row],[2023]]-Table7[[#This Row],[2022]])/Table7[[#This Row],[2022]]),0)</f>
        <v>-0.91829378191649147</v>
      </c>
      <c r="L113" s="162">
        <f>IFERROR(((Table7[[#This Row],[YTD 2024]]-Table7[[#This Row],[2023]])/Table7[[#This Row],[2023]]),0)</f>
        <v>51.952205882352942</v>
      </c>
      <c r="M113" s="218">
        <f>Table7[[#This Row],[YoY growth]]-Table7[[#This Row],[Volume growth]]</f>
        <v>-52.870499664269431</v>
      </c>
      <c r="N113" s="222"/>
    </row>
    <row r="114" spans="2:14" hidden="1" x14ac:dyDescent="0.25">
      <c r="B114" s="41" t="s">
        <v>583</v>
      </c>
      <c r="C114" s="111">
        <v>1.7324999999999999</v>
      </c>
      <c r="D114" s="112">
        <v>2.7699999999999999E-2</v>
      </c>
      <c r="E114" s="113">
        <v>0</v>
      </c>
      <c r="F114" s="114">
        <v>34.565800000000003</v>
      </c>
      <c r="G114" s="113">
        <v>0.64290000000000003</v>
      </c>
      <c r="H114" s="113">
        <v>0</v>
      </c>
      <c r="I114" s="135">
        <f>SUM(Table7[[#This Row],[Volume 2022]:[Volume YTD 2024]])</f>
        <v>35.2087</v>
      </c>
      <c r="J114" s="138">
        <v>1.7602</v>
      </c>
      <c r="K114" s="162">
        <f>IFERROR(((Table7[[#This Row],[2023]]-Table7[[#This Row],[2022]])/Table7[[#This Row],[2022]]),0)</f>
        <v>-0.984011544011544</v>
      </c>
      <c r="L114" s="162">
        <f>IFERROR(((Table7[[#This Row],[YTD 2024]]-Table7[[#This Row],[2023]])/Table7[[#This Row],[2023]]),0)</f>
        <v>-1</v>
      </c>
      <c r="M114" s="218">
        <f>Table7[[#This Row],[YoY growth]]-Table7[[#This Row],[Volume growth]]</f>
        <v>1.5988455988455996E-2</v>
      </c>
      <c r="N114" s="222"/>
    </row>
    <row r="115" spans="2:14" hidden="1" x14ac:dyDescent="0.25">
      <c r="B115" s="41" t="s">
        <v>860</v>
      </c>
      <c r="C115" s="111">
        <v>1.6357999999999999</v>
      </c>
      <c r="D115" s="112">
        <v>0</v>
      </c>
      <c r="E115" s="113">
        <v>0</v>
      </c>
      <c r="F115" s="114">
        <v>89.7791</v>
      </c>
      <c r="G115" s="113">
        <v>0</v>
      </c>
      <c r="H115" s="113">
        <v>0</v>
      </c>
      <c r="I115" s="135">
        <f>SUM(Table7[[#This Row],[Volume 2022]:[Volume YTD 2024]])</f>
        <v>89.7791</v>
      </c>
      <c r="J115" s="138">
        <v>1.6357999999999999</v>
      </c>
      <c r="K115" s="162">
        <f>IFERROR(((Table7[[#This Row],[2023]]-Table7[[#This Row],[2022]])/Table7[[#This Row],[2022]]),0)</f>
        <v>-1</v>
      </c>
      <c r="L115" s="162">
        <f>IFERROR(((Table7[[#This Row],[YTD 2024]]-Table7[[#This Row],[2023]])/Table7[[#This Row],[2023]]),0)</f>
        <v>0</v>
      </c>
      <c r="M115" s="218">
        <f>Table7[[#This Row],[YoY growth]]-Table7[[#This Row],[Volume growth]]</f>
        <v>-1</v>
      </c>
      <c r="N115" s="222"/>
    </row>
    <row r="116" spans="2:14" hidden="1" x14ac:dyDescent="0.25">
      <c r="B116" s="41" t="s">
        <v>200</v>
      </c>
      <c r="C116" s="111">
        <v>0</v>
      </c>
      <c r="D116" s="112">
        <v>6.88E-2</v>
      </c>
      <c r="E116" s="113">
        <v>1.5603</v>
      </c>
      <c r="F116" s="114">
        <v>0</v>
      </c>
      <c r="G116" s="113">
        <v>2.9011</v>
      </c>
      <c r="H116" s="113">
        <v>56.070300000000003</v>
      </c>
      <c r="I116" s="135">
        <f>SUM(Table7[[#This Row],[Volume 2022]:[Volume YTD 2024]])</f>
        <v>58.971400000000003</v>
      </c>
      <c r="J116" s="138">
        <v>1.6291</v>
      </c>
      <c r="K116" s="162">
        <f>IFERROR(((Table7[[#This Row],[2023]]-Table7[[#This Row],[2022]])/Table7[[#This Row],[2022]]),0)</f>
        <v>0</v>
      </c>
      <c r="L116" s="162">
        <f>IFERROR(((Table7[[#This Row],[YTD 2024]]-Table7[[#This Row],[2023]])/Table7[[#This Row],[2023]]),0)</f>
        <v>21.678779069767444</v>
      </c>
      <c r="M116" s="218">
        <f>Table7[[#This Row],[YoY growth]]-Table7[[#This Row],[Volume growth]]</f>
        <v>-21.678779069767444</v>
      </c>
      <c r="N116" s="222"/>
    </row>
    <row r="117" spans="2:14" hidden="1" x14ac:dyDescent="0.25">
      <c r="B117" s="41" t="s">
        <v>441</v>
      </c>
      <c r="C117" s="111">
        <v>0</v>
      </c>
      <c r="D117" s="112">
        <v>0.79349999999999998</v>
      </c>
      <c r="E117" s="113">
        <v>0.7298</v>
      </c>
      <c r="F117" s="114">
        <v>0</v>
      </c>
      <c r="G117" s="113">
        <v>47.268799999999999</v>
      </c>
      <c r="H117" s="113">
        <v>43.602699999999999</v>
      </c>
      <c r="I117" s="135">
        <f>SUM(Table7[[#This Row],[Volume 2022]:[Volume YTD 2024]])</f>
        <v>90.871499999999997</v>
      </c>
      <c r="J117" s="138">
        <v>1.5232999999999999</v>
      </c>
      <c r="K117" s="162">
        <f>IFERROR(((Table7[[#This Row],[2023]]-Table7[[#This Row],[2022]])/Table7[[#This Row],[2022]]),0)</f>
        <v>0</v>
      </c>
      <c r="L117" s="162">
        <f>IFERROR(((Table7[[#This Row],[YTD 2024]]-Table7[[#This Row],[2023]])/Table7[[#This Row],[2023]]),0)</f>
        <v>-8.0277252678008795E-2</v>
      </c>
      <c r="M117" s="218">
        <f>Table7[[#This Row],[YoY growth]]-Table7[[#This Row],[Volume growth]]</f>
        <v>8.0277252678008795E-2</v>
      </c>
      <c r="N117" s="222"/>
    </row>
    <row r="118" spans="2:14" hidden="1" x14ac:dyDescent="0.25">
      <c r="B118" s="41" t="s">
        <v>228</v>
      </c>
      <c r="C118" s="111">
        <v>1.18</v>
      </c>
      <c r="D118" s="112">
        <v>0</v>
      </c>
      <c r="E118" s="113">
        <v>0</v>
      </c>
      <c r="F118" s="114">
        <v>36.940399999999997</v>
      </c>
      <c r="G118" s="113">
        <v>0</v>
      </c>
      <c r="H118" s="113">
        <v>0</v>
      </c>
      <c r="I118" s="135">
        <f>SUM(Table7[[#This Row],[Volume 2022]:[Volume YTD 2024]])</f>
        <v>36.940399999999997</v>
      </c>
      <c r="J118" s="138">
        <v>1.18</v>
      </c>
      <c r="K118" s="162">
        <f>IFERROR(((Table7[[#This Row],[2023]]-Table7[[#This Row],[2022]])/Table7[[#This Row],[2022]]),0)</f>
        <v>-1</v>
      </c>
      <c r="L118" s="162">
        <f>IFERROR(((Table7[[#This Row],[YTD 2024]]-Table7[[#This Row],[2023]])/Table7[[#This Row],[2023]]),0)</f>
        <v>0</v>
      </c>
      <c r="M118" s="218">
        <f>Table7[[#This Row],[YoY growth]]-Table7[[#This Row],[Volume growth]]</f>
        <v>-1</v>
      </c>
      <c r="N118" s="222"/>
    </row>
    <row r="119" spans="2:14" hidden="1" x14ac:dyDescent="0.25">
      <c r="B119" s="41" t="s">
        <v>419</v>
      </c>
      <c r="C119" s="111">
        <v>1.0731999999999999</v>
      </c>
      <c r="D119" s="112">
        <v>0</v>
      </c>
      <c r="E119" s="113">
        <v>0</v>
      </c>
      <c r="F119" s="114">
        <v>47.075600000000001</v>
      </c>
      <c r="G119" s="113">
        <v>0</v>
      </c>
      <c r="H119" s="113">
        <v>0</v>
      </c>
      <c r="I119" s="135">
        <f>SUM(Table7[[#This Row],[Volume 2022]:[Volume YTD 2024]])</f>
        <v>47.075600000000001</v>
      </c>
      <c r="J119" s="138">
        <v>1.0731999999999999</v>
      </c>
      <c r="K119" s="162">
        <f>IFERROR(((Table7[[#This Row],[2023]]-Table7[[#This Row],[2022]])/Table7[[#This Row],[2022]]),0)</f>
        <v>-1</v>
      </c>
      <c r="L119" s="162">
        <f>IFERROR(((Table7[[#This Row],[YTD 2024]]-Table7[[#This Row],[2023]])/Table7[[#This Row],[2023]]),0)</f>
        <v>0</v>
      </c>
      <c r="M119" s="218">
        <f>Table7[[#This Row],[YoY growth]]-Table7[[#This Row],[Volume growth]]</f>
        <v>-1</v>
      </c>
      <c r="N119" s="222"/>
    </row>
    <row r="120" spans="2:14" hidden="1" x14ac:dyDescent="0.25">
      <c r="B120" s="41" t="s">
        <v>364</v>
      </c>
      <c r="C120" s="111">
        <v>0.17230000000000001</v>
      </c>
      <c r="D120" s="112">
        <v>0.63319999999999999</v>
      </c>
      <c r="E120" s="113">
        <v>0.15670000000000001</v>
      </c>
      <c r="F120" s="114">
        <v>7.7868000000000004</v>
      </c>
      <c r="G120" s="113">
        <v>27.705500000000001</v>
      </c>
      <c r="H120" s="113">
        <v>6.8449999999999998</v>
      </c>
      <c r="I120" s="135">
        <f>SUM(Table7[[#This Row],[Volume 2022]:[Volume YTD 2024]])</f>
        <v>42.337299999999999</v>
      </c>
      <c r="J120" s="138">
        <v>0.96219999999999994</v>
      </c>
      <c r="K120" s="162">
        <f>IFERROR(((Table7[[#This Row],[2023]]-Table7[[#This Row],[2022]])/Table7[[#This Row],[2022]]),0)</f>
        <v>2.6749854904236794</v>
      </c>
      <c r="L120" s="162">
        <f>IFERROR(((Table7[[#This Row],[YTD 2024]]-Table7[[#This Row],[2023]])/Table7[[#This Row],[2023]]),0)</f>
        <v>-0.75252684775742262</v>
      </c>
      <c r="M120" s="218">
        <f>Table7[[#This Row],[YoY growth]]-Table7[[#This Row],[Volume growth]]</f>
        <v>3.4275123381811019</v>
      </c>
      <c r="N120" s="222"/>
    </row>
    <row r="121" spans="2:14" hidden="1" x14ac:dyDescent="0.25">
      <c r="B121" s="41" t="s">
        <v>361</v>
      </c>
      <c r="C121" s="111">
        <v>0.1913</v>
      </c>
      <c r="D121" s="112">
        <v>0.55200000000000005</v>
      </c>
      <c r="E121" s="113">
        <v>4.3700000000000003E-2</v>
      </c>
      <c r="F121" s="114">
        <v>6.9211999999999998</v>
      </c>
      <c r="G121" s="113">
        <v>19.9695</v>
      </c>
      <c r="H121" s="113">
        <v>1.2094</v>
      </c>
      <c r="I121" s="135">
        <f>SUM(Table7[[#This Row],[Volume 2022]:[Volume YTD 2024]])</f>
        <v>28.100099999999998</v>
      </c>
      <c r="J121" s="138">
        <v>0.78700000000000003</v>
      </c>
      <c r="K121" s="162">
        <f>IFERROR(((Table7[[#This Row],[2023]]-Table7[[#This Row],[2022]])/Table7[[#This Row],[2022]]),0)</f>
        <v>1.8855201254573968</v>
      </c>
      <c r="L121" s="162">
        <f>IFERROR(((Table7[[#This Row],[YTD 2024]]-Table7[[#This Row],[2023]])/Table7[[#This Row],[2023]]),0)</f>
        <v>-0.92083333333333339</v>
      </c>
      <c r="M121" s="218">
        <f>Table7[[#This Row],[YoY growth]]-Table7[[#This Row],[Volume growth]]</f>
        <v>2.8063534587907304</v>
      </c>
      <c r="N121" s="222"/>
    </row>
    <row r="122" spans="2:14" hidden="1" x14ac:dyDescent="0.25">
      <c r="B122" s="41" t="s">
        <v>834</v>
      </c>
      <c r="C122" s="111">
        <v>0.70520000000000005</v>
      </c>
      <c r="D122" s="112">
        <v>0</v>
      </c>
      <c r="E122" s="113">
        <v>0</v>
      </c>
      <c r="F122" s="114">
        <v>47.325299999999999</v>
      </c>
      <c r="G122" s="113">
        <v>0</v>
      </c>
      <c r="H122" s="113">
        <v>0</v>
      </c>
      <c r="I122" s="135">
        <f>SUM(Table7[[#This Row],[Volume 2022]:[Volume YTD 2024]])</f>
        <v>47.325299999999999</v>
      </c>
      <c r="J122" s="138">
        <v>0.70520000000000005</v>
      </c>
      <c r="K122" s="162">
        <f>IFERROR(((Table7[[#This Row],[2023]]-Table7[[#This Row],[2022]])/Table7[[#This Row],[2022]]),0)</f>
        <v>-1</v>
      </c>
      <c r="L122" s="162">
        <f>IFERROR(((Table7[[#This Row],[YTD 2024]]-Table7[[#This Row],[2023]])/Table7[[#This Row],[2023]]),0)</f>
        <v>0</v>
      </c>
      <c r="M122" s="218">
        <f>Table7[[#This Row],[YoY growth]]-Table7[[#This Row],[Volume growth]]</f>
        <v>-1</v>
      </c>
      <c r="N122" s="222"/>
    </row>
    <row r="123" spans="2:14" hidden="1" x14ac:dyDescent="0.25">
      <c r="B123" s="41" t="s">
        <v>461</v>
      </c>
      <c r="C123" s="111">
        <v>0</v>
      </c>
      <c r="D123" s="112">
        <v>0</v>
      </c>
      <c r="E123" s="113">
        <v>0.624</v>
      </c>
      <c r="F123" s="114">
        <v>0</v>
      </c>
      <c r="G123" s="113">
        <v>0</v>
      </c>
      <c r="H123" s="113">
        <v>34.035699999999999</v>
      </c>
      <c r="I123" s="135">
        <f>SUM(Table7[[#This Row],[Volume 2022]:[Volume YTD 2024]])</f>
        <v>34.035699999999999</v>
      </c>
      <c r="J123" s="138">
        <v>0.624</v>
      </c>
      <c r="K123" s="162">
        <f>IFERROR(((Table7[[#This Row],[2023]]-Table7[[#This Row],[2022]])/Table7[[#This Row],[2022]]),0)</f>
        <v>0</v>
      </c>
      <c r="L123" s="162">
        <f>IFERROR(((Table7[[#This Row],[YTD 2024]]-Table7[[#This Row],[2023]])/Table7[[#This Row],[2023]]),0)</f>
        <v>0</v>
      </c>
      <c r="M123" s="218">
        <f>Table7[[#This Row],[YoY growth]]-Table7[[#This Row],[Volume growth]]</f>
        <v>0</v>
      </c>
      <c r="N123" s="222"/>
    </row>
    <row r="124" spans="2:14" hidden="1" x14ac:dyDescent="0.25">
      <c r="B124" s="41" t="s">
        <v>671</v>
      </c>
      <c r="C124" s="111">
        <v>0.1459</v>
      </c>
      <c r="D124" s="112">
        <v>0.29930000000000001</v>
      </c>
      <c r="E124" s="113">
        <v>5.04E-2</v>
      </c>
      <c r="F124" s="114">
        <v>2.8885999999999998</v>
      </c>
      <c r="G124" s="113">
        <v>6.5743</v>
      </c>
      <c r="H124" s="113">
        <v>1.1331</v>
      </c>
      <c r="I124" s="135">
        <f>SUM(Table7[[#This Row],[Volume 2022]:[Volume YTD 2024]])</f>
        <v>10.596</v>
      </c>
      <c r="J124" s="138">
        <v>0.49560000000000004</v>
      </c>
      <c r="K124" s="162">
        <f>IFERROR(((Table7[[#This Row],[2023]]-Table7[[#This Row],[2022]])/Table7[[#This Row],[2022]]),0)</f>
        <v>1.0514050719671009</v>
      </c>
      <c r="L124" s="162">
        <f>IFERROR(((Table7[[#This Row],[YTD 2024]]-Table7[[#This Row],[2023]])/Table7[[#This Row],[2023]]),0)</f>
        <v>-0.83160708319411958</v>
      </c>
      <c r="M124" s="218">
        <f>Table7[[#This Row],[YoY growth]]-Table7[[#This Row],[Volume growth]]</f>
        <v>1.8830121551612204</v>
      </c>
      <c r="N124" s="222"/>
    </row>
    <row r="125" spans="2:14" hidden="1" x14ac:dyDescent="0.25">
      <c r="B125" s="41" t="s">
        <v>642</v>
      </c>
      <c r="C125" s="111">
        <v>0.26200000000000001</v>
      </c>
      <c r="D125" s="112">
        <v>0.1656</v>
      </c>
      <c r="E125" s="113">
        <v>0</v>
      </c>
      <c r="F125" s="114">
        <v>18.860299999999999</v>
      </c>
      <c r="G125" s="113">
        <v>11.920500000000001</v>
      </c>
      <c r="H125" s="113">
        <v>0</v>
      </c>
      <c r="I125" s="135">
        <f>SUM(Table7[[#This Row],[Volume 2022]:[Volume YTD 2024]])</f>
        <v>30.780799999999999</v>
      </c>
      <c r="J125" s="138">
        <v>0.42759999999999998</v>
      </c>
      <c r="K125" s="162">
        <f>IFERROR(((Table7[[#This Row],[2023]]-Table7[[#This Row],[2022]])/Table7[[#This Row],[2022]]),0)</f>
        <v>-0.36793893129770994</v>
      </c>
      <c r="L125" s="162">
        <f>IFERROR(((Table7[[#This Row],[YTD 2024]]-Table7[[#This Row],[2023]])/Table7[[#This Row],[2023]]),0)</f>
        <v>-1</v>
      </c>
      <c r="M125" s="218">
        <f>Table7[[#This Row],[YoY growth]]-Table7[[#This Row],[Volume growth]]</f>
        <v>0.63206106870229006</v>
      </c>
      <c r="N125" s="222"/>
    </row>
    <row r="126" spans="2:14" hidden="1" x14ac:dyDescent="0.25">
      <c r="B126" s="41" t="s">
        <v>444</v>
      </c>
      <c r="C126" s="111">
        <v>0.36020000000000002</v>
      </c>
      <c r="D126" s="112">
        <v>5.21E-2</v>
      </c>
      <c r="E126" s="113">
        <v>9.4000000000000004E-3</v>
      </c>
      <c r="F126" s="114">
        <v>19.065100000000001</v>
      </c>
      <c r="G126" s="113">
        <v>2.6206</v>
      </c>
      <c r="H126" s="113">
        <v>0.48</v>
      </c>
      <c r="I126" s="135">
        <f>SUM(Table7[[#This Row],[Volume 2022]:[Volume YTD 2024]])</f>
        <v>22.165700000000001</v>
      </c>
      <c r="J126" s="138">
        <v>0.42170000000000002</v>
      </c>
      <c r="K126" s="162">
        <f>IFERROR(((Table7[[#This Row],[2023]]-Table7[[#This Row],[2022]])/Table7[[#This Row],[2022]]),0)</f>
        <v>-0.85535813436979458</v>
      </c>
      <c r="L126" s="162">
        <f>IFERROR(((Table7[[#This Row],[YTD 2024]]-Table7[[#This Row],[2023]])/Table7[[#This Row],[2023]]),0)</f>
        <v>-0.81957773512476007</v>
      </c>
      <c r="M126" s="218">
        <f>Table7[[#This Row],[YoY growth]]-Table7[[#This Row],[Volume growth]]</f>
        <v>-3.5780399245034511E-2</v>
      </c>
      <c r="N126" s="222"/>
    </row>
    <row r="127" spans="2:14" hidden="1" x14ac:dyDescent="0.25">
      <c r="B127" s="41" t="s">
        <v>556</v>
      </c>
      <c r="C127" s="111">
        <v>0.373</v>
      </c>
      <c r="D127" s="112">
        <v>1.12E-2</v>
      </c>
      <c r="E127" s="113">
        <v>0</v>
      </c>
      <c r="F127" s="114">
        <v>7.2888000000000002</v>
      </c>
      <c r="G127" s="113">
        <v>0.2389</v>
      </c>
      <c r="H127" s="113">
        <v>0</v>
      </c>
      <c r="I127" s="135">
        <f>SUM(Table7[[#This Row],[Volume 2022]:[Volume YTD 2024]])</f>
        <v>7.5277000000000003</v>
      </c>
      <c r="J127" s="138">
        <v>0.38419999999999999</v>
      </c>
      <c r="K127" s="162">
        <f>IFERROR(((Table7[[#This Row],[2023]]-Table7[[#This Row],[2022]])/Table7[[#This Row],[2022]]),0)</f>
        <v>-0.96997319034852547</v>
      </c>
      <c r="L127" s="162">
        <f>IFERROR(((Table7[[#This Row],[YTD 2024]]-Table7[[#This Row],[2023]])/Table7[[#This Row],[2023]]),0)</f>
        <v>-1</v>
      </c>
      <c r="M127" s="218">
        <f>Table7[[#This Row],[YoY growth]]-Table7[[#This Row],[Volume growth]]</f>
        <v>3.0026809651474529E-2</v>
      </c>
      <c r="N127" s="222"/>
    </row>
    <row r="128" spans="2:14" hidden="1" x14ac:dyDescent="0.25">
      <c r="B128" s="41" t="s">
        <v>436</v>
      </c>
      <c r="C128" s="111">
        <v>6.0000000000000001E-3</v>
      </c>
      <c r="D128" s="112">
        <v>0.35439999999999999</v>
      </c>
      <c r="E128" s="113">
        <v>0</v>
      </c>
      <c r="F128" s="114">
        <v>0.33839999999999998</v>
      </c>
      <c r="G128" s="113">
        <v>16.541699999999999</v>
      </c>
      <c r="H128" s="113">
        <v>0</v>
      </c>
      <c r="I128" s="135">
        <f>SUM(Table7[[#This Row],[Volume 2022]:[Volume YTD 2024]])</f>
        <v>16.880099999999999</v>
      </c>
      <c r="J128" s="138">
        <v>0.3604</v>
      </c>
      <c r="K128" s="162">
        <f>IFERROR(((Table7[[#This Row],[2023]]-Table7[[#This Row],[2022]])/Table7[[#This Row],[2022]]),0)</f>
        <v>58.066666666666663</v>
      </c>
      <c r="L128" s="162">
        <f>IFERROR(((Table7[[#This Row],[YTD 2024]]-Table7[[#This Row],[2023]])/Table7[[#This Row],[2023]]),0)</f>
        <v>-1</v>
      </c>
      <c r="M128" s="218">
        <f>Table7[[#This Row],[YoY growth]]-Table7[[#This Row],[Volume growth]]</f>
        <v>59.066666666666663</v>
      </c>
      <c r="N128" s="222"/>
    </row>
    <row r="129" spans="2:14" hidden="1" x14ac:dyDescent="0.25">
      <c r="B129" s="41" t="s">
        <v>407</v>
      </c>
      <c r="C129" s="111">
        <v>0.31290000000000001</v>
      </c>
      <c r="D129" s="112">
        <v>4.0300000000000002E-2</v>
      </c>
      <c r="E129" s="113">
        <v>0</v>
      </c>
      <c r="F129" s="114">
        <v>2.3519999999999999</v>
      </c>
      <c r="G129" s="113">
        <v>0.30399999999999999</v>
      </c>
      <c r="H129" s="113">
        <v>0</v>
      </c>
      <c r="I129" s="135">
        <f>SUM(Table7[[#This Row],[Volume 2022]:[Volume YTD 2024]])</f>
        <v>2.6559999999999997</v>
      </c>
      <c r="J129" s="138">
        <v>0.35320000000000001</v>
      </c>
      <c r="K129" s="162">
        <f>IFERROR(((Table7[[#This Row],[2023]]-Table7[[#This Row],[2022]])/Table7[[#This Row],[2022]]),0)</f>
        <v>-0.87120485778203893</v>
      </c>
      <c r="L129" s="162">
        <f>IFERROR(((Table7[[#This Row],[YTD 2024]]-Table7[[#This Row],[2023]])/Table7[[#This Row],[2023]]),0)</f>
        <v>-1</v>
      </c>
      <c r="M129" s="218">
        <f>Table7[[#This Row],[YoY growth]]-Table7[[#This Row],[Volume growth]]</f>
        <v>0.12879514221796107</v>
      </c>
      <c r="N129" s="222"/>
    </row>
    <row r="130" spans="2:14" hidden="1" x14ac:dyDescent="0.25">
      <c r="B130" s="41" t="s">
        <v>274</v>
      </c>
      <c r="C130" s="111">
        <v>0</v>
      </c>
      <c r="D130" s="112">
        <v>0.22009999999999999</v>
      </c>
      <c r="E130" s="113">
        <v>0.1012</v>
      </c>
      <c r="F130" s="114">
        <v>0</v>
      </c>
      <c r="G130" s="113">
        <v>3.5211000000000001</v>
      </c>
      <c r="H130" s="113">
        <v>1.6187</v>
      </c>
      <c r="I130" s="135">
        <f>SUM(Table7[[#This Row],[Volume 2022]:[Volume YTD 2024]])</f>
        <v>5.1398000000000001</v>
      </c>
      <c r="J130" s="138">
        <v>0.32129999999999997</v>
      </c>
      <c r="K130" s="162">
        <f>IFERROR(((Table7[[#This Row],[2023]]-Table7[[#This Row],[2022]])/Table7[[#This Row],[2022]]),0)</f>
        <v>0</v>
      </c>
      <c r="L130" s="162">
        <f>IFERROR(((Table7[[#This Row],[YTD 2024]]-Table7[[#This Row],[2023]])/Table7[[#This Row],[2023]]),0)</f>
        <v>-0.54020899591094951</v>
      </c>
      <c r="M130" s="218">
        <f>Table7[[#This Row],[YoY growth]]-Table7[[#This Row],[Volume growth]]</f>
        <v>0.54020899591094951</v>
      </c>
      <c r="N130" s="222"/>
    </row>
    <row r="131" spans="2:14" hidden="1" x14ac:dyDescent="0.25">
      <c r="B131" s="41" t="s">
        <v>273</v>
      </c>
      <c r="C131" s="111">
        <v>0</v>
      </c>
      <c r="D131" s="112">
        <v>0.2286</v>
      </c>
      <c r="E131" s="113">
        <v>8.4099999999999994E-2</v>
      </c>
      <c r="F131" s="114">
        <v>0</v>
      </c>
      <c r="G131" s="113">
        <v>3.6671999999999998</v>
      </c>
      <c r="H131" s="113">
        <v>1.3489</v>
      </c>
      <c r="I131" s="135">
        <f>SUM(Table7[[#This Row],[Volume 2022]:[Volume YTD 2024]])</f>
        <v>5.0160999999999998</v>
      </c>
      <c r="J131" s="138">
        <v>0.31269999999999998</v>
      </c>
      <c r="K131" s="162">
        <f>IFERROR(((Table7[[#This Row],[2023]]-Table7[[#This Row],[2022]])/Table7[[#This Row],[2022]]),0)</f>
        <v>0</v>
      </c>
      <c r="L131" s="162">
        <f>IFERROR(((Table7[[#This Row],[YTD 2024]]-Table7[[#This Row],[2023]])/Table7[[#This Row],[2023]]),0)</f>
        <v>-0.63210848643919515</v>
      </c>
      <c r="M131" s="218">
        <f>Table7[[#This Row],[YoY growth]]-Table7[[#This Row],[Volume growth]]</f>
        <v>0.63210848643919515</v>
      </c>
      <c r="N131" s="222"/>
    </row>
    <row r="132" spans="2:14" hidden="1" x14ac:dyDescent="0.25">
      <c r="B132" s="41" t="s">
        <v>687</v>
      </c>
      <c r="C132" s="111">
        <v>0.1076</v>
      </c>
      <c r="D132" s="112">
        <v>0.1249</v>
      </c>
      <c r="E132" s="113">
        <v>7.1900000000000006E-2</v>
      </c>
      <c r="F132" s="114">
        <v>5.5374999999999996</v>
      </c>
      <c r="G132" s="113">
        <v>6.4203000000000001</v>
      </c>
      <c r="H132" s="113">
        <v>3.698</v>
      </c>
      <c r="I132" s="135">
        <f>SUM(Table7[[#This Row],[Volume 2022]:[Volume YTD 2024]])</f>
        <v>15.655799999999999</v>
      </c>
      <c r="J132" s="138">
        <v>0.3044</v>
      </c>
      <c r="K132" s="162">
        <f>IFERROR(((Table7[[#This Row],[2023]]-Table7[[#This Row],[2022]])/Table7[[#This Row],[2022]]),0)</f>
        <v>0.16078066914498138</v>
      </c>
      <c r="L132" s="162">
        <f>IFERROR(((Table7[[#This Row],[YTD 2024]]-Table7[[#This Row],[2023]])/Table7[[#This Row],[2023]]),0)</f>
        <v>-0.42433947157726176</v>
      </c>
      <c r="M132" s="218">
        <f>Table7[[#This Row],[YoY growth]]-Table7[[#This Row],[Volume growth]]</f>
        <v>0.58512014072224316</v>
      </c>
      <c r="N132" s="222"/>
    </row>
    <row r="133" spans="2:14" hidden="1" x14ac:dyDescent="0.25">
      <c r="B133" s="41" t="s">
        <v>263</v>
      </c>
      <c r="C133" s="111">
        <v>6.6299999999999998E-2</v>
      </c>
      <c r="D133" s="112">
        <v>0.12959999999999999</v>
      </c>
      <c r="E133" s="113">
        <v>7.1499999999999994E-2</v>
      </c>
      <c r="F133" s="114">
        <v>0.504</v>
      </c>
      <c r="G133" s="113">
        <v>0.91539999999999999</v>
      </c>
      <c r="H133" s="113">
        <v>0.52459999999999996</v>
      </c>
      <c r="I133" s="135">
        <f>SUM(Table7[[#This Row],[Volume 2022]:[Volume YTD 2024]])</f>
        <v>1.944</v>
      </c>
      <c r="J133" s="138">
        <v>0.26739999999999997</v>
      </c>
      <c r="K133" s="162">
        <f>IFERROR(((Table7[[#This Row],[2023]]-Table7[[#This Row],[2022]])/Table7[[#This Row],[2022]]),0)</f>
        <v>0.9547511312217194</v>
      </c>
      <c r="L133" s="162">
        <f>IFERROR(((Table7[[#This Row],[YTD 2024]]-Table7[[#This Row],[2023]])/Table7[[#This Row],[2023]]),0)</f>
        <v>-0.44830246913580246</v>
      </c>
      <c r="M133" s="218">
        <f>Table7[[#This Row],[YoY growth]]-Table7[[#This Row],[Volume growth]]</f>
        <v>1.4030536003575218</v>
      </c>
      <c r="N133" s="222"/>
    </row>
    <row r="134" spans="2:14" hidden="1" x14ac:dyDescent="0.25">
      <c r="B134" s="41" t="s">
        <v>869</v>
      </c>
      <c r="C134" s="111">
        <v>0.24010000000000001</v>
      </c>
      <c r="D134" s="112">
        <v>0</v>
      </c>
      <c r="E134" s="113">
        <v>0</v>
      </c>
      <c r="F134" s="114">
        <v>10.8056</v>
      </c>
      <c r="G134" s="113">
        <v>0</v>
      </c>
      <c r="H134" s="113">
        <v>0</v>
      </c>
      <c r="I134" s="135">
        <f>SUM(Table7[[#This Row],[Volume 2022]:[Volume YTD 2024]])</f>
        <v>10.8056</v>
      </c>
      <c r="J134" s="138">
        <v>0.24010000000000001</v>
      </c>
      <c r="K134" s="162">
        <f>IFERROR(((Table7[[#This Row],[2023]]-Table7[[#This Row],[2022]])/Table7[[#This Row],[2022]]),0)</f>
        <v>-1</v>
      </c>
      <c r="L134" s="162">
        <f>IFERROR(((Table7[[#This Row],[YTD 2024]]-Table7[[#This Row],[2023]])/Table7[[#This Row],[2023]]),0)</f>
        <v>0</v>
      </c>
      <c r="M134" s="218">
        <f>Table7[[#This Row],[YoY growth]]-Table7[[#This Row],[Volume growth]]</f>
        <v>-1</v>
      </c>
      <c r="N134" s="222"/>
    </row>
    <row r="135" spans="2:14" hidden="1" x14ac:dyDescent="0.25">
      <c r="B135" s="41" t="s">
        <v>434</v>
      </c>
      <c r="C135" s="111">
        <v>0.15809999999999999</v>
      </c>
      <c r="D135" s="112">
        <v>2E-3</v>
      </c>
      <c r="E135" s="113">
        <v>1E-3</v>
      </c>
      <c r="F135" s="114">
        <v>2.1</v>
      </c>
      <c r="G135" s="113">
        <v>0.02</v>
      </c>
      <c r="H135" s="113">
        <v>0.02</v>
      </c>
      <c r="I135" s="135">
        <f>SUM(Table7[[#This Row],[Volume 2022]:[Volume YTD 2024]])</f>
        <v>2.14</v>
      </c>
      <c r="J135" s="138">
        <v>0.16109999999999999</v>
      </c>
      <c r="K135" s="162">
        <f>IFERROR(((Table7[[#This Row],[2023]]-Table7[[#This Row],[2022]])/Table7[[#This Row],[2022]]),0)</f>
        <v>-0.98734977862112583</v>
      </c>
      <c r="L135" s="162">
        <f>IFERROR(((Table7[[#This Row],[YTD 2024]]-Table7[[#This Row],[2023]])/Table7[[#This Row],[2023]]),0)</f>
        <v>-0.5</v>
      </c>
      <c r="M135" s="218">
        <f>Table7[[#This Row],[YoY growth]]-Table7[[#This Row],[Volume growth]]</f>
        <v>-0.48734977862112583</v>
      </c>
      <c r="N135" s="222"/>
    </row>
    <row r="136" spans="2:14" hidden="1" x14ac:dyDescent="0.25">
      <c r="B136" s="41" t="s">
        <v>696</v>
      </c>
      <c r="C136" s="111">
        <v>0</v>
      </c>
      <c r="D136" s="112">
        <v>0</v>
      </c>
      <c r="E136" s="113">
        <v>0.1532</v>
      </c>
      <c r="F136" s="114">
        <v>0</v>
      </c>
      <c r="G136" s="113">
        <v>0</v>
      </c>
      <c r="H136" s="113">
        <v>9.1946999999999992</v>
      </c>
      <c r="I136" s="135">
        <f>SUM(Table7[[#This Row],[Volume 2022]:[Volume YTD 2024]])</f>
        <v>9.1946999999999992</v>
      </c>
      <c r="J136" s="138">
        <v>0.1532</v>
      </c>
      <c r="K136" s="162">
        <f>IFERROR(((Table7[[#This Row],[2023]]-Table7[[#This Row],[2022]])/Table7[[#This Row],[2022]]),0)</f>
        <v>0</v>
      </c>
      <c r="L136" s="162">
        <f>IFERROR(((Table7[[#This Row],[YTD 2024]]-Table7[[#This Row],[2023]])/Table7[[#This Row],[2023]]),0)</f>
        <v>0</v>
      </c>
      <c r="M136" s="218">
        <f>Table7[[#This Row],[YoY growth]]-Table7[[#This Row],[Volume growth]]</f>
        <v>0</v>
      </c>
      <c r="N136" s="222"/>
    </row>
    <row r="137" spans="2:14" hidden="1" x14ac:dyDescent="0.25">
      <c r="B137" s="41" t="s">
        <v>372</v>
      </c>
      <c r="C137" s="111">
        <v>0.13550000000000001</v>
      </c>
      <c r="D137" s="112">
        <v>0</v>
      </c>
      <c r="E137" s="113">
        <v>0</v>
      </c>
      <c r="F137" s="114">
        <v>3.2519</v>
      </c>
      <c r="G137" s="113">
        <v>0</v>
      </c>
      <c r="H137" s="113">
        <v>0</v>
      </c>
      <c r="I137" s="135">
        <f>SUM(Table7[[#This Row],[Volume 2022]:[Volume YTD 2024]])</f>
        <v>3.2519</v>
      </c>
      <c r="J137" s="138">
        <v>0.13550000000000001</v>
      </c>
      <c r="K137" s="162">
        <f>IFERROR(((Table7[[#This Row],[2023]]-Table7[[#This Row],[2022]])/Table7[[#This Row],[2022]]),0)</f>
        <v>-1</v>
      </c>
      <c r="L137" s="162">
        <f>IFERROR(((Table7[[#This Row],[YTD 2024]]-Table7[[#This Row],[2023]])/Table7[[#This Row],[2023]]),0)</f>
        <v>0</v>
      </c>
      <c r="M137" s="218">
        <f>Table7[[#This Row],[YoY growth]]-Table7[[#This Row],[Volume growth]]</f>
        <v>-1</v>
      </c>
      <c r="N137" s="222"/>
    </row>
    <row r="138" spans="2:14" hidden="1" x14ac:dyDescent="0.25">
      <c r="B138" s="41" t="s">
        <v>131</v>
      </c>
      <c r="C138" s="111">
        <v>0</v>
      </c>
      <c r="D138" s="112">
        <v>0.1202</v>
      </c>
      <c r="E138" s="113">
        <v>0</v>
      </c>
      <c r="F138" s="114">
        <v>0</v>
      </c>
      <c r="G138" s="113">
        <v>2.4085999999999999</v>
      </c>
      <c r="H138" s="113">
        <v>0</v>
      </c>
      <c r="I138" s="135">
        <f>SUM(Table7[[#This Row],[Volume 2022]:[Volume YTD 2024]])</f>
        <v>2.4085999999999999</v>
      </c>
      <c r="J138" s="138">
        <v>0.1202</v>
      </c>
      <c r="K138" s="162">
        <f>IFERROR(((Table7[[#This Row],[2023]]-Table7[[#This Row],[2022]])/Table7[[#This Row],[2022]]),0)</f>
        <v>0</v>
      </c>
      <c r="L138" s="162">
        <f>IFERROR(((Table7[[#This Row],[YTD 2024]]-Table7[[#This Row],[2023]])/Table7[[#This Row],[2023]]),0)</f>
        <v>-1</v>
      </c>
      <c r="M138" s="218">
        <f>Table7[[#This Row],[YoY growth]]-Table7[[#This Row],[Volume growth]]</f>
        <v>1</v>
      </c>
      <c r="N138" s="222"/>
    </row>
    <row r="139" spans="2:14" hidden="1" x14ac:dyDescent="0.25">
      <c r="B139" s="41" t="s">
        <v>847</v>
      </c>
      <c r="C139" s="111">
        <v>0</v>
      </c>
      <c r="D139" s="112">
        <v>3.7900000000000003E-2</v>
      </c>
      <c r="E139" s="113">
        <v>6.93E-2</v>
      </c>
      <c r="F139" s="114">
        <v>0</v>
      </c>
      <c r="G139" s="113">
        <v>2.3294000000000001</v>
      </c>
      <c r="H139" s="113">
        <v>4.2670000000000003</v>
      </c>
      <c r="I139" s="135">
        <f>SUM(Table7[[#This Row],[Volume 2022]:[Volume YTD 2024]])</f>
        <v>6.5964000000000009</v>
      </c>
      <c r="J139" s="138">
        <v>0.1072</v>
      </c>
      <c r="K139" s="162">
        <f>IFERROR(((Table7[[#This Row],[2023]]-Table7[[#This Row],[2022]])/Table7[[#This Row],[2022]]),0)</f>
        <v>0</v>
      </c>
      <c r="L139" s="162">
        <f>IFERROR(((Table7[[#This Row],[YTD 2024]]-Table7[[#This Row],[2023]])/Table7[[#This Row],[2023]]),0)</f>
        <v>0.82849604221635875</v>
      </c>
      <c r="M139" s="218">
        <f>Table7[[#This Row],[YoY growth]]-Table7[[#This Row],[Volume growth]]</f>
        <v>-0.82849604221635875</v>
      </c>
      <c r="N139" s="222"/>
    </row>
    <row r="140" spans="2:14" hidden="1" x14ac:dyDescent="0.25">
      <c r="B140" s="41" t="s">
        <v>838</v>
      </c>
      <c r="C140" s="111">
        <v>4.4499999999999998E-2</v>
      </c>
      <c r="D140" s="112">
        <v>6.2E-2</v>
      </c>
      <c r="E140" s="113">
        <v>0</v>
      </c>
      <c r="F140" s="114">
        <v>0.36759999999999998</v>
      </c>
      <c r="G140" s="113">
        <v>0.48380000000000001</v>
      </c>
      <c r="H140" s="113">
        <v>0</v>
      </c>
      <c r="I140" s="135">
        <f>SUM(Table7[[#This Row],[Volume 2022]:[Volume YTD 2024]])</f>
        <v>0.85139999999999993</v>
      </c>
      <c r="J140" s="138">
        <v>0.1065</v>
      </c>
      <c r="K140" s="162">
        <f>IFERROR(((Table7[[#This Row],[2023]]-Table7[[#This Row],[2022]])/Table7[[#This Row],[2022]]),0)</f>
        <v>0.39325842696629221</v>
      </c>
      <c r="L140" s="162">
        <f>IFERROR(((Table7[[#This Row],[YTD 2024]]-Table7[[#This Row],[2023]])/Table7[[#This Row],[2023]]),0)</f>
        <v>-1</v>
      </c>
      <c r="M140" s="218">
        <f>Table7[[#This Row],[YoY growth]]-Table7[[#This Row],[Volume growth]]</f>
        <v>1.3932584269662922</v>
      </c>
      <c r="N140" s="222"/>
    </row>
    <row r="141" spans="2:14" hidden="1" x14ac:dyDescent="0.25">
      <c r="B141" s="41" t="s">
        <v>440</v>
      </c>
      <c r="C141" s="111">
        <v>0</v>
      </c>
      <c r="D141" s="112">
        <v>0</v>
      </c>
      <c r="E141" s="113">
        <v>9.8000000000000004E-2</v>
      </c>
      <c r="F141" s="114">
        <v>0</v>
      </c>
      <c r="G141" s="113">
        <v>0</v>
      </c>
      <c r="H141" s="113">
        <v>3.3592</v>
      </c>
      <c r="I141" s="135">
        <f>SUM(Table7[[#This Row],[Volume 2022]:[Volume YTD 2024]])</f>
        <v>3.3592</v>
      </c>
      <c r="J141" s="138">
        <v>9.8000000000000004E-2</v>
      </c>
      <c r="K141" s="162">
        <f>IFERROR(((Table7[[#This Row],[2023]]-Table7[[#This Row],[2022]])/Table7[[#This Row],[2022]]),0)</f>
        <v>0</v>
      </c>
      <c r="L141" s="162">
        <f>IFERROR(((Table7[[#This Row],[YTD 2024]]-Table7[[#This Row],[2023]])/Table7[[#This Row],[2023]]),0)</f>
        <v>0</v>
      </c>
      <c r="M141" s="218">
        <f>Table7[[#This Row],[YoY growth]]-Table7[[#This Row],[Volume growth]]</f>
        <v>0</v>
      </c>
      <c r="N141" s="222"/>
    </row>
    <row r="142" spans="2:14" hidden="1" x14ac:dyDescent="0.25">
      <c r="B142" s="41" t="s">
        <v>843</v>
      </c>
      <c r="C142" s="111">
        <v>0</v>
      </c>
      <c r="D142" s="112">
        <v>0</v>
      </c>
      <c r="E142" s="113">
        <v>5.57E-2</v>
      </c>
      <c r="F142" s="114">
        <v>0</v>
      </c>
      <c r="G142" s="113">
        <v>0</v>
      </c>
      <c r="H142" s="113">
        <v>1.7425999999999999</v>
      </c>
      <c r="I142" s="135">
        <f>SUM(Table7[[#This Row],[Volume 2022]:[Volume YTD 2024]])</f>
        <v>1.7425999999999999</v>
      </c>
      <c r="J142" s="138">
        <v>5.57E-2</v>
      </c>
      <c r="K142" s="162">
        <f>IFERROR(((Table7[[#This Row],[2023]]-Table7[[#This Row],[2022]])/Table7[[#This Row],[2022]]),0)</f>
        <v>0</v>
      </c>
      <c r="L142" s="162">
        <f>IFERROR(((Table7[[#This Row],[YTD 2024]]-Table7[[#This Row],[2023]])/Table7[[#This Row],[2023]]),0)</f>
        <v>0</v>
      </c>
      <c r="M142" s="218">
        <f>Table7[[#This Row],[YoY growth]]-Table7[[#This Row],[Volume growth]]</f>
        <v>0</v>
      </c>
      <c r="N142" s="222"/>
    </row>
    <row r="143" spans="2:14" hidden="1" x14ac:dyDescent="0.25">
      <c r="B143" s="41" t="s">
        <v>669</v>
      </c>
      <c r="C143" s="111">
        <v>0</v>
      </c>
      <c r="D143" s="112">
        <v>3.1300000000000001E-2</v>
      </c>
      <c r="E143" s="113">
        <v>0</v>
      </c>
      <c r="F143" s="114">
        <v>0</v>
      </c>
      <c r="G143" s="113">
        <v>1.2579</v>
      </c>
      <c r="H143" s="113">
        <v>0</v>
      </c>
      <c r="I143" s="135">
        <f>SUM(Table7[[#This Row],[Volume 2022]:[Volume YTD 2024]])</f>
        <v>1.2579</v>
      </c>
      <c r="J143" s="138">
        <v>3.1300000000000001E-2</v>
      </c>
      <c r="K143" s="162">
        <f>IFERROR(((Table7[[#This Row],[2023]]-Table7[[#This Row],[2022]])/Table7[[#This Row],[2022]]),0)</f>
        <v>0</v>
      </c>
      <c r="L143" s="162">
        <f>IFERROR(((Table7[[#This Row],[YTD 2024]]-Table7[[#This Row],[2023]])/Table7[[#This Row],[2023]]),0)</f>
        <v>-1</v>
      </c>
      <c r="M143" s="218">
        <f>Table7[[#This Row],[YoY growth]]-Table7[[#This Row],[Volume growth]]</f>
        <v>1</v>
      </c>
      <c r="N143" s="222"/>
    </row>
    <row r="144" spans="2:14" hidden="1" x14ac:dyDescent="0.25">
      <c r="B144" s="41" t="s">
        <v>289</v>
      </c>
      <c r="C144" s="111">
        <v>1.1900000000000001E-2</v>
      </c>
      <c r="D144" s="112">
        <v>0</v>
      </c>
      <c r="E144" s="113">
        <v>0</v>
      </c>
      <c r="F144" s="114">
        <v>0.14000000000000001</v>
      </c>
      <c r="G144" s="113">
        <v>0</v>
      </c>
      <c r="H144" s="113">
        <v>0</v>
      </c>
      <c r="I144" s="135">
        <f>SUM(Table7[[#This Row],[Volume 2022]:[Volume YTD 2024]])</f>
        <v>0.14000000000000001</v>
      </c>
      <c r="J144" s="138">
        <v>1.1900000000000001E-2</v>
      </c>
      <c r="K144" s="162">
        <f>IFERROR(((Table7[[#This Row],[2023]]-Table7[[#This Row],[2022]])/Table7[[#This Row],[2022]]),0)</f>
        <v>-1</v>
      </c>
      <c r="L144" s="162">
        <f>IFERROR(((Table7[[#This Row],[YTD 2024]]-Table7[[#This Row],[2023]])/Table7[[#This Row],[2023]]),0)</f>
        <v>0</v>
      </c>
      <c r="M144" s="218">
        <f>Table7[[#This Row],[YoY growth]]-Table7[[#This Row],[Volume growth]]</f>
        <v>-1</v>
      </c>
      <c r="N144" s="222"/>
    </row>
    <row r="145" spans="2:14" hidden="1" x14ac:dyDescent="0.25">
      <c r="B145" s="41" t="s">
        <v>829</v>
      </c>
      <c r="C145" s="111">
        <v>1.09E-2</v>
      </c>
      <c r="D145" s="112">
        <v>0</v>
      </c>
      <c r="E145" s="113">
        <v>0</v>
      </c>
      <c r="F145" s="114">
        <v>0.16</v>
      </c>
      <c r="G145" s="113">
        <v>0</v>
      </c>
      <c r="H145" s="113">
        <v>0</v>
      </c>
      <c r="I145" s="135">
        <f>SUM(Table7[[#This Row],[Volume 2022]:[Volume YTD 2024]])</f>
        <v>0.16</v>
      </c>
      <c r="J145" s="138">
        <v>1.09E-2</v>
      </c>
      <c r="K145" s="162">
        <f>IFERROR(((Table7[[#This Row],[2023]]-Table7[[#This Row],[2022]])/Table7[[#This Row],[2022]]),0)</f>
        <v>-1</v>
      </c>
      <c r="L145" s="162">
        <f>IFERROR(((Table7[[#This Row],[YTD 2024]]-Table7[[#This Row],[2023]])/Table7[[#This Row],[2023]]),0)</f>
        <v>0</v>
      </c>
      <c r="M145" s="218">
        <f>Table7[[#This Row],[YoY growth]]-Table7[[#This Row],[Volume growth]]</f>
        <v>-1</v>
      </c>
      <c r="N145" s="222"/>
    </row>
    <row r="146" spans="2:14" hidden="1" x14ac:dyDescent="0.25">
      <c r="B146" s="41" t="s">
        <v>856</v>
      </c>
      <c r="C146" s="111">
        <v>1.03E-2</v>
      </c>
      <c r="D146" s="112">
        <v>0</v>
      </c>
      <c r="E146" s="113">
        <v>0</v>
      </c>
      <c r="F146" s="114">
        <v>0.3876</v>
      </c>
      <c r="G146" s="113">
        <v>0</v>
      </c>
      <c r="H146" s="113">
        <v>0</v>
      </c>
      <c r="I146" s="135">
        <f>SUM(Table7[[#This Row],[Volume 2022]:[Volume YTD 2024]])</f>
        <v>0.3876</v>
      </c>
      <c r="J146" s="138">
        <v>1.03E-2</v>
      </c>
      <c r="K146" s="162">
        <f>IFERROR(((Table7[[#This Row],[2023]]-Table7[[#This Row],[2022]])/Table7[[#This Row],[2022]]),0)</f>
        <v>-1</v>
      </c>
      <c r="L146" s="162">
        <f>IFERROR(((Table7[[#This Row],[YTD 2024]]-Table7[[#This Row],[2023]])/Table7[[#This Row],[2023]]),0)</f>
        <v>0</v>
      </c>
      <c r="M146" s="218">
        <f>Table7[[#This Row],[YoY growth]]-Table7[[#This Row],[Volume growth]]</f>
        <v>-1</v>
      </c>
      <c r="N146" s="222"/>
    </row>
    <row r="147" spans="2:14" hidden="1" x14ac:dyDescent="0.25">
      <c r="B147" s="41" t="s">
        <v>866</v>
      </c>
      <c r="C147" s="111">
        <v>0</v>
      </c>
      <c r="D147" s="112">
        <v>9.4999999999999998E-3</v>
      </c>
      <c r="E147" s="113">
        <v>0</v>
      </c>
      <c r="F147" s="114">
        <v>0</v>
      </c>
      <c r="G147" s="113">
        <v>0.51649999999999996</v>
      </c>
      <c r="H147" s="113">
        <v>0</v>
      </c>
      <c r="I147" s="135">
        <f>SUM(Table7[[#This Row],[Volume 2022]:[Volume YTD 2024]])</f>
        <v>0.51649999999999996</v>
      </c>
      <c r="J147" s="138">
        <v>9.4999999999999998E-3</v>
      </c>
      <c r="K147" s="162">
        <f>IFERROR(((Table7[[#This Row],[2023]]-Table7[[#This Row],[2022]])/Table7[[#This Row],[2022]]),0)</f>
        <v>0</v>
      </c>
      <c r="L147" s="162">
        <f>IFERROR(((Table7[[#This Row],[YTD 2024]]-Table7[[#This Row],[2023]])/Table7[[#This Row],[2023]]),0)</f>
        <v>-1</v>
      </c>
      <c r="M147" s="218">
        <f>Table7[[#This Row],[YoY growth]]-Table7[[#This Row],[Volume growth]]</f>
        <v>1</v>
      </c>
      <c r="N147" s="222"/>
    </row>
    <row r="148" spans="2:14" hidden="1" x14ac:dyDescent="0.25">
      <c r="B148" s="41" t="s">
        <v>579</v>
      </c>
      <c r="C148" s="111">
        <v>0</v>
      </c>
      <c r="D148" s="112">
        <v>0</v>
      </c>
      <c r="E148" s="113">
        <v>9.1999999999999998E-3</v>
      </c>
      <c r="F148" s="114">
        <v>0</v>
      </c>
      <c r="G148" s="113">
        <v>0</v>
      </c>
      <c r="H148" s="113">
        <v>0.30320000000000003</v>
      </c>
      <c r="I148" s="135">
        <f>SUM(Table7[[#This Row],[Volume 2022]:[Volume YTD 2024]])</f>
        <v>0.30320000000000003</v>
      </c>
      <c r="J148" s="138">
        <v>9.1999999999999998E-3</v>
      </c>
      <c r="K148" s="162">
        <f>IFERROR(((Table7[[#This Row],[2023]]-Table7[[#This Row],[2022]])/Table7[[#This Row],[2022]]),0)</f>
        <v>0</v>
      </c>
      <c r="L148" s="162">
        <f>IFERROR(((Table7[[#This Row],[YTD 2024]]-Table7[[#This Row],[2023]])/Table7[[#This Row],[2023]]),0)</f>
        <v>0</v>
      </c>
      <c r="M148" s="218">
        <f>Table7[[#This Row],[YoY growth]]-Table7[[#This Row],[Volume growth]]</f>
        <v>0</v>
      </c>
      <c r="N148" s="222"/>
    </row>
    <row r="149" spans="2:14" hidden="1" x14ac:dyDescent="0.25">
      <c r="B149" s="41" t="s">
        <v>325</v>
      </c>
      <c r="C149" s="111">
        <v>7.0000000000000001E-3</v>
      </c>
      <c r="D149" s="112">
        <v>0</v>
      </c>
      <c r="E149" s="113">
        <v>0</v>
      </c>
      <c r="F149" s="114">
        <v>0.08</v>
      </c>
      <c r="G149" s="113">
        <v>0</v>
      </c>
      <c r="H149" s="113">
        <v>0</v>
      </c>
      <c r="I149" s="135">
        <f>SUM(Table7[[#This Row],[Volume 2022]:[Volume YTD 2024]])</f>
        <v>0.08</v>
      </c>
      <c r="J149" s="138">
        <v>7.0000000000000001E-3</v>
      </c>
      <c r="K149" s="162">
        <f>IFERROR(((Table7[[#This Row],[2023]]-Table7[[#This Row],[2022]])/Table7[[#This Row],[2022]]),0)</f>
        <v>-1</v>
      </c>
      <c r="L149" s="162">
        <f>IFERROR(((Table7[[#This Row],[YTD 2024]]-Table7[[#This Row],[2023]])/Table7[[#This Row],[2023]]),0)</f>
        <v>0</v>
      </c>
      <c r="M149" s="218">
        <f>Table7[[#This Row],[YoY growth]]-Table7[[#This Row],[Volume growth]]</f>
        <v>-1</v>
      </c>
      <c r="N149" s="222"/>
    </row>
    <row r="150" spans="2:14" hidden="1" x14ac:dyDescent="0.25">
      <c r="B150" s="41" t="s">
        <v>446</v>
      </c>
      <c r="C150" s="111">
        <v>0</v>
      </c>
      <c r="D150" s="112">
        <v>0</v>
      </c>
      <c r="E150" s="113">
        <v>2.0999999999999999E-3</v>
      </c>
      <c r="F150" s="114">
        <v>0</v>
      </c>
      <c r="G150" s="113">
        <v>0</v>
      </c>
      <c r="H150" s="113">
        <v>0.17710000000000001</v>
      </c>
      <c r="I150" s="135">
        <f>SUM(Table7[[#This Row],[Volume 2022]:[Volume YTD 2024]])</f>
        <v>0.17710000000000001</v>
      </c>
      <c r="J150" s="138">
        <v>2.0999999999999999E-3</v>
      </c>
      <c r="K150" s="162">
        <f>IFERROR(((Table7[[#This Row],[2023]]-Table7[[#This Row],[2022]])/Table7[[#This Row],[2022]]),0)</f>
        <v>0</v>
      </c>
      <c r="L150" s="162">
        <f>IFERROR(((Table7[[#This Row],[YTD 2024]]-Table7[[#This Row],[2023]])/Table7[[#This Row],[2023]]),0)</f>
        <v>0</v>
      </c>
      <c r="M150" s="218">
        <f>Table7[[#This Row],[YoY growth]]-Table7[[#This Row],[Volume growth]]</f>
        <v>0</v>
      </c>
      <c r="N150" s="222"/>
    </row>
    <row r="151" spans="2:14" hidden="1" x14ac:dyDescent="0.25">
      <c r="B151" s="41" t="s">
        <v>836</v>
      </c>
      <c r="C151" s="111">
        <v>0</v>
      </c>
      <c r="D151" s="112">
        <v>0</v>
      </c>
      <c r="E151" s="113">
        <v>0</v>
      </c>
      <c r="F151" s="114">
        <v>0</v>
      </c>
      <c r="G151" s="113">
        <v>0</v>
      </c>
      <c r="H151" s="113">
        <v>0</v>
      </c>
      <c r="I151" s="135">
        <f>SUM(Table7[[#This Row],[Volume 2022]:[Volume YTD 2024]])</f>
        <v>0</v>
      </c>
      <c r="J151" s="138">
        <v>0</v>
      </c>
      <c r="K151" s="162">
        <f>IFERROR(((Table7[[#This Row],[2023]]-Table7[[#This Row],[2022]])/Table7[[#This Row],[2022]]),0)</f>
        <v>0</v>
      </c>
      <c r="L151" s="162">
        <f>IFERROR(((Table7[[#This Row],[YTD 2024]]-Table7[[#This Row],[2023]])/Table7[[#This Row],[2023]]),0)</f>
        <v>0</v>
      </c>
      <c r="M151" s="218">
        <f>Table7[[#This Row],[YoY growth]]-Table7[[#This Row],[Volume growth]]</f>
        <v>0</v>
      </c>
      <c r="N151" s="222"/>
    </row>
    <row r="152" spans="2:14" hidden="1" x14ac:dyDescent="0.25">
      <c r="B152" s="41" t="s">
        <v>846</v>
      </c>
      <c r="C152" s="111">
        <v>0</v>
      </c>
      <c r="D152" s="112">
        <v>0</v>
      </c>
      <c r="E152" s="113">
        <v>0</v>
      </c>
      <c r="F152" s="114">
        <v>0</v>
      </c>
      <c r="G152" s="113">
        <v>0</v>
      </c>
      <c r="H152" s="113">
        <v>0</v>
      </c>
      <c r="I152" s="135">
        <f>SUM(Table7[[#This Row],[Volume 2022]:[Volume YTD 2024]])</f>
        <v>0</v>
      </c>
      <c r="J152" s="138">
        <v>0</v>
      </c>
      <c r="K152" s="162">
        <f>IFERROR(((Table7[[#This Row],[2023]]-Table7[[#This Row],[2022]])/Table7[[#This Row],[2022]]),0)</f>
        <v>0</v>
      </c>
      <c r="L152" s="162">
        <f>IFERROR(((Table7[[#This Row],[YTD 2024]]-Table7[[#This Row],[2023]])/Table7[[#This Row],[2023]]),0)</f>
        <v>0</v>
      </c>
      <c r="M152" s="218">
        <f>Table7[[#This Row],[YoY growth]]-Table7[[#This Row],[Volume growth]]</f>
        <v>0</v>
      </c>
      <c r="N152" s="222"/>
    </row>
    <row r="153" spans="2:14" hidden="1" x14ac:dyDescent="0.25">
      <c r="B153" s="41" t="s">
        <v>865</v>
      </c>
      <c r="C153" s="111">
        <v>0</v>
      </c>
      <c r="D153" s="112">
        <v>0</v>
      </c>
      <c r="E153" s="113">
        <v>0</v>
      </c>
      <c r="F153" s="114">
        <v>0</v>
      </c>
      <c r="G153" s="113">
        <v>0</v>
      </c>
      <c r="H153" s="113">
        <v>0</v>
      </c>
      <c r="I153" s="135">
        <f>SUM(Table7[[#This Row],[Volume 2022]:[Volume YTD 2024]])</f>
        <v>0</v>
      </c>
      <c r="J153" s="138">
        <v>0</v>
      </c>
      <c r="K153" s="162">
        <f>IFERROR(((Table7[[#This Row],[2023]]-Table7[[#This Row],[2022]])/Table7[[#This Row],[2022]]),0)</f>
        <v>0</v>
      </c>
      <c r="L153" s="162">
        <f>IFERROR(((Table7[[#This Row],[YTD 2024]]-Table7[[#This Row],[2023]])/Table7[[#This Row],[2023]]),0)</f>
        <v>0</v>
      </c>
      <c r="M153" s="218">
        <f>Table7[[#This Row],[YoY growth]]-Table7[[#This Row],[Volume growth]]</f>
        <v>0</v>
      </c>
      <c r="N153" s="222"/>
    </row>
    <row r="154" spans="2:14" hidden="1" x14ac:dyDescent="0.25">
      <c r="B154" s="41" t="s">
        <v>206</v>
      </c>
      <c r="C154" s="111">
        <v>0</v>
      </c>
      <c r="D154" s="112">
        <v>0</v>
      </c>
      <c r="E154" s="113">
        <v>0</v>
      </c>
      <c r="F154" s="114">
        <v>0</v>
      </c>
      <c r="G154" s="113">
        <v>0</v>
      </c>
      <c r="H154" s="113">
        <v>0</v>
      </c>
      <c r="I154" s="135">
        <f>SUM(Table7[[#This Row],[Volume 2022]:[Volume YTD 2024]])</f>
        <v>0</v>
      </c>
      <c r="J154" s="138">
        <v>0</v>
      </c>
      <c r="K154" s="162">
        <f>IFERROR(((Table7[[#This Row],[2023]]-Table7[[#This Row],[2022]])/Table7[[#This Row],[2022]]),0)</f>
        <v>0</v>
      </c>
      <c r="L154" s="162">
        <f>IFERROR(((Table7[[#This Row],[YTD 2024]]-Table7[[#This Row],[2023]])/Table7[[#This Row],[2023]]),0)</f>
        <v>0</v>
      </c>
      <c r="M154" s="218">
        <f>Table7[[#This Row],[YoY growth]]-Table7[[#This Row],[Volume growth]]</f>
        <v>0</v>
      </c>
      <c r="N154" s="222"/>
    </row>
    <row r="155" spans="2:14" ht="24.75" hidden="1" x14ac:dyDescent="0.25">
      <c r="B155" s="41" t="s">
        <v>287</v>
      </c>
      <c r="C155" s="111">
        <v>0</v>
      </c>
      <c r="D155" s="112">
        <v>0</v>
      </c>
      <c r="E155" s="113">
        <v>0</v>
      </c>
      <c r="F155" s="114">
        <v>0</v>
      </c>
      <c r="G155" s="113">
        <v>0</v>
      </c>
      <c r="H155" s="113">
        <v>0</v>
      </c>
      <c r="I155" s="135">
        <f>SUM(Table7[[#This Row],[Volume 2022]:[Volume YTD 2024]])</f>
        <v>0</v>
      </c>
      <c r="J155" s="138">
        <v>0</v>
      </c>
      <c r="K155" s="162">
        <f>IFERROR(((Table7[[#This Row],[2023]]-Table7[[#This Row],[2022]])/Table7[[#This Row],[2022]]),0)</f>
        <v>0</v>
      </c>
      <c r="L155" s="162">
        <f>IFERROR(((Table7[[#This Row],[YTD 2024]]-Table7[[#This Row],[2023]])/Table7[[#This Row],[2023]]),0)</f>
        <v>0</v>
      </c>
      <c r="M155" s="218">
        <f>Table7[[#This Row],[YoY growth]]-Table7[[#This Row],[Volume growth]]</f>
        <v>0</v>
      </c>
      <c r="N155" s="222"/>
    </row>
    <row r="156" spans="2:14" hidden="1" x14ac:dyDescent="0.25">
      <c r="B156" s="41" t="s">
        <v>391</v>
      </c>
      <c r="C156" s="111">
        <v>0</v>
      </c>
      <c r="D156" s="112">
        <v>0</v>
      </c>
      <c r="E156" s="113">
        <v>0</v>
      </c>
      <c r="F156" s="114">
        <v>0</v>
      </c>
      <c r="G156" s="113">
        <v>0</v>
      </c>
      <c r="H156" s="113">
        <v>0</v>
      </c>
      <c r="I156" s="135">
        <f>SUM(Table7[[#This Row],[Volume 2022]:[Volume YTD 2024]])</f>
        <v>0</v>
      </c>
      <c r="J156" s="138">
        <v>0</v>
      </c>
      <c r="K156" s="162">
        <f>IFERROR(((Table7[[#This Row],[2023]]-Table7[[#This Row],[2022]])/Table7[[#This Row],[2022]]),0)</f>
        <v>0</v>
      </c>
      <c r="L156" s="162">
        <f>IFERROR(((Table7[[#This Row],[YTD 2024]]-Table7[[#This Row],[2023]])/Table7[[#This Row],[2023]]),0)</f>
        <v>0</v>
      </c>
      <c r="M156" s="218">
        <f>Table7[[#This Row],[YoY growth]]-Table7[[#This Row],[Volume growth]]</f>
        <v>0</v>
      </c>
      <c r="N156" s="222"/>
    </row>
    <row r="157" spans="2:14" hidden="1" x14ac:dyDescent="0.25">
      <c r="B157" s="41" t="s">
        <v>430</v>
      </c>
      <c r="C157" s="111">
        <v>0</v>
      </c>
      <c r="D157" s="112">
        <v>0</v>
      </c>
      <c r="E157" s="113">
        <v>0</v>
      </c>
      <c r="F157" s="114">
        <v>0</v>
      </c>
      <c r="G157" s="113">
        <v>0</v>
      </c>
      <c r="H157" s="113">
        <v>0</v>
      </c>
      <c r="I157" s="135">
        <f>SUM(Table7[[#This Row],[Volume 2022]:[Volume YTD 2024]])</f>
        <v>0</v>
      </c>
      <c r="J157" s="138">
        <v>0</v>
      </c>
      <c r="K157" s="162">
        <f>IFERROR(((Table7[[#This Row],[2023]]-Table7[[#This Row],[2022]])/Table7[[#This Row],[2022]]),0)</f>
        <v>0</v>
      </c>
      <c r="L157" s="162">
        <f>IFERROR(((Table7[[#This Row],[YTD 2024]]-Table7[[#This Row],[2023]])/Table7[[#This Row],[2023]]),0)</f>
        <v>0</v>
      </c>
      <c r="M157" s="218">
        <f>Table7[[#This Row],[YoY growth]]-Table7[[#This Row],[Volume growth]]</f>
        <v>0</v>
      </c>
      <c r="N157" s="222"/>
    </row>
    <row r="158" spans="2:14" hidden="1" x14ac:dyDescent="0.25">
      <c r="B158" s="41" t="s">
        <v>438</v>
      </c>
      <c r="C158" s="111">
        <v>0</v>
      </c>
      <c r="D158" s="112">
        <v>0</v>
      </c>
      <c r="E158" s="113">
        <v>0</v>
      </c>
      <c r="F158" s="114">
        <v>0</v>
      </c>
      <c r="G158" s="113">
        <v>0</v>
      </c>
      <c r="H158" s="113">
        <v>0</v>
      </c>
      <c r="I158" s="135">
        <f>SUM(Table7[[#This Row],[Volume 2022]:[Volume YTD 2024]])</f>
        <v>0</v>
      </c>
      <c r="J158" s="138">
        <v>0</v>
      </c>
      <c r="K158" s="162">
        <f>IFERROR(((Table7[[#This Row],[2023]]-Table7[[#This Row],[2022]])/Table7[[#This Row],[2022]]),0)</f>
        <v>0</v>
      </c>
      <c r="L158" s="162">
        <f>IFERROR(((Table7[[#This Row],[YTD 2024]]-Table7[[#This Row],[2023]])/Table7[[#This Row],[2023]]),0)</f>
        <v>0</v>
      </c>
      <c r="M158" s="218">
        <f>Table7[[#This Row],[YoY growth]]-Table7[[#This Row],[Volume growth]]</f>
        <v>0</v>
      </c>
      <c r="N158" s="222"/>
    </row>
    <row r="159" spans="2:14" hidden="1" x14ac:dyDescent="0.25">
      <c r="B159" s="41" t="s">
        <v>561</v>
      </c>
      <c r="C159" s="111">
        <v>0</v>
      </c>
      <c r="D159" s="112">
        <v>0</v>
      </c>
      <c r="E159" s="113">
        <v>0</v>
      </c>
      <c r="F159" s="114">
        <v>0</v>
      </c>
      <c r="G159" s="113">
        <v>0</v>
      </c>
      <c r="H159" s="113">
        <v>0</v>
      </c>
      <c r="I159" s="135">
        <f>SUM(Table7[[#This Row],[Volume 2022]:[Volume YTD 2024]])</f>
        <v>0</v>
      </c>
      <c r="J159" s="138">
        <v>0</v>
      </c>
      <c r="K159" s="162">
        <f>IFERROR(((Table7[[#This Row],[2023]]-Table7[[#This Row],[2022]])/Table7[[#This Row],[2022]]),0)</f>
        <v>0</v>
      </c>
      <c r="L159" s="162">
        <f>IFERROR(((Table7[[#This Row],[YTD 2024]]-Table7[[#This Row],[2023]])/Table7[[#This Row],[2023]]),0)</f>
        <v>0</v>
      </c>
      <c r="M159" s="218">
        <f>Table7[[#This Row],[YoY growth]]-Table7[[#This Row],[Volume growth]]</f>
        <v>0</v>
      </c>
      <c r="N159" s="222"/>
    </row>
    <row r="160" spans="2:14" hidden="1" x14ac:dyDescent="0.25">
      <c r="B160" s="41" t="s">
        <v>581</v>
      </c>
      <c r="C160" s="111">
        <v>0</v>
      </c>
      <c r="D160" s="112">
        <v>0</v>
      </c>
      <c r="E160" s="113">
        <v>0</v>
      </c>
      <c r="F160" s="114">
        <v>0</v>
      </c>
      <c r="G160" s="113">
        <v>0</v>
      </c>
      <c r="H160" s="113">
        <v>0</v>
      </c>
      <c r="I160" s="135">
        <f>SUM(Table7[[#This Row],[Volume 2022]:[Volume YTD 2024]])</f>
        <v>0</v>
      </c>
      <c r="J160" s="138">
        <v>0</v>
      </c>
      <c r="K160" s="162">
        <f>IFERROR(((Table7[[#This Row],[2023]]-Table7[[#This Row],[2022]])/Table7[[#This Row],[2022]]),0)</f>
        <v>0</v>
      </c>
      <c r="L160" s="162">
        <f>IFERROR(((Table7[[#This Row],[YTD 2024]]-Table7[[#This Row],[2023]])/Table7[[#This Row],[2023]]),0)</f>
        <v>0</v>
      </c>
      <c r="M160" s="218">
        <f>Table7[[#This Row],[YoY growth]]-Table7[[#This Row],[Volume growth]]</f>
        <v>0</v>
      </c>
      <c r="N160" s="222"/>
    </row>
    <row r="161" spans="2:14" hidden="1" x14ac:dyDescent="0.25">
      <c r="B161" s="41" t="s">
        <v>648</v>
      </c>
      <c r="C161" s="111">
        <v>0</v>
      </c>
      <c r="D161" s="112">
        <v>0</v>
      </c>
      <c r="E161" s="113">
        <v>0</v>
      </c>
      <c r="F161" s="114">
        <v>0</v>
      </c>
      <c r="G161" s="113">
        <v>0</v>
      </c>
      <c r="H161" s="113">
        <v>0</v>
      </c>
      <c r="I161" s="135">
        <f>SUM(Table7[[#This Row],[Volume 2022]:[Volume YTD 2024]])</f>
        <v>0</v>
      </c>
      <c r="J161" s="138">
        <v>0</v>
      </c>
      <c r="K161" s="162">
        <f>IFERROR(((Table7[[#This Row],[2023]]-Table7[[#This Row],[2022]])/Table7[[#This Row],[2022]]),0)</f>
        <v>0</v>
      </c>
      <c r="L161" s="162">
        <f>IFERROR(((Table7[[#This Row],[YTD 2024]]-Table7[[#This Row],[2023]])/Table7[[#This Row],[2023]]),0)</f>
        <v>0</v>
      </c>
      <c r="M161" s="218">
        <f>Table7[[#This Row],[YoY growth]]-Table7[[#This Row],[Volume growth]]</f>
        <v>0</v>
      </c>
      <c r="N161" s="222"/>
    </row>
    <row r="162" spans="2:14" hidden="1" x14ac:dyDescent="0.25">
      <c r="B162" s="41" t="s">
        <v>650</v>
      </c>
      <c r="C162" s="111">
        <v>0</v>
      </c>
      <c r="D162" s="112">
        <v>0</v>
      </c>
      <c r="E162" s="113">
        <v>0</v>
      </c>
      <c r="F162" s="114">
        <v>0</v>
      </c>
      <c r="G162" s="113">
        <v>0</v>
      </c>
      <c r="H162" s="113">
        <v>0</v>
      </c>
      <c r="I162" s="135">
        <f>SUM(Table7[[#This Row],[Volume 2022]:[Volume YTD 2024]])</f>
        <v>0</v>
      </c>
      <c r="J162" s="138">
        <v>0</v>
      </c>
      <c r="K162" s="162">
        <f>IFERROR(((Table7[[#This Row],[2023]]-Table7[[#This Row],[2022]])/Table7[[#This Row],[2022]]),0)</f>
        <v>0</v>
      </c>
      <c r="L162" s="162">
        <f>IFERROR(((Table7[[#This Row],[YTD 2024]]-Table7[[#This Row],[2023]])/Table7[[#This Row],[2023]]),0)</f>
        <v>0</v>
      </c>
      <c r="M162" s="218">
        <f>Table7[[#This Row],[YoY growth]]-Table7[[#This Row],[Volume growth]]</f>
        <v>0</v>
      </c>
      <c r="N162" s="222"/>
    </row>
    <row r="163" spans="2:14" hidden="1" x14ac:dyDescent="0.25">
      <c r="B163" s="41" t="s">
        <v>667</v>
      </c>
      <c r="C163" s="111">
        <v>0</v>
      </c>
      <c r="D163" s="112">
        <v>0</v>
      </c>
      <c r="E163" s="113">
        <v>0</v>
      </c>
      <c r="F163" s="114">
        <v>0</v>
      </c>
      <c r="G163" s="113">
        <v>0</v>
      </c>
      <c r="H163" s="113">
        <v>0</v>
      </c>
      <c r="I163" s="135">
        <f>SUM(Table7[[#This Row],[Volume 2022]:[Volume YTD 2024]])</f>
        <v>0</v>
      </c>
      <c r="J163" s="138">
        <v>0</v>
      </c>
      <c r="K163" s="162">
        <f>IFERROR(((Table7[[#This Row],[2023]]-Table7[[#This Row],[2022]])/Table7[[#This Row],[2022]]),0)</f>
        <v>0</v>
      </c>
      <c r="L163" s="162">
        <f>IFERROR(((Table7[[#This Row],[YTD 2024]]-Table7[[#This Row],[2023]])/Table7[[#This Row],[2023]]),0)</f>
        <v>0</v>
      </c>
      <c r="M163" s="218">
        <f>Table7[[#This Row],[YoY growth]]-Table7[[#This Row],[Volume growth]]</f>
        <v>0</v>
      </c>
      <c r="N163" s="222"/>
    </row>
    <row r="164" spans="2:14" ht="24.75" hidden="1" x14ac:dyDescent="0.25">
      <c r="B164" s="41" t="s">
        <v>680</v>
      </c>
      <c r="C164" s="111">
        <v>0</v>
      </c>
      <c r="D164" s="112">
        <v>0</v>
      </c>
      <c r="E164" s="113">
        <v>0</v>
      </c>
      <c r="F164" s="114">
        <v>0</v>
      </c>
      <c r="G164" s="113">
        <v>0</v>
      </c>
      <c r="H164" s="113">
        <v>0</v>
      </c>
      <c r="I164" s="135">
        <f>SUM(Table7[[#This Row],[Volume 2022]:[Volume YTD 2024]])</f>
        <v>0</v>
      </c>
      <c r="J164" s="138">
        <v>0</v>
      </c>
      <c r="K164" s="162">
        <f>IFERROR(((Table7[[#This Row],[2023]]-Table7[[#This Row],[2022]])/Table7[[#This Row],[2022]]),0)</f>
        <v>0</v>
      </c>
      <c r="L164" s="162">
        <f>IFERROR(((Table7[[#This Row],[YTD 2024]]-Table7[[#This Row],[2023]])/Table7[[#This Row],[2023]]),0)</f>
        <v>0</v>
      </c>
      <c r="M164" s="218">
        <f>Table7[[#This Row],[YoY growth]]-Table7[[#This Row],[Volume growth]]</f>
        <v>0</v>
      </c>
      <c r="N164" s="222"/>
    </row>
    <row r="165" spans="2:14" hidden="1" x14ac:dyDescent="0.25">
      <c r="B165" s="127" t="s">
        <v>701</v>
      </c>
      <c r="C165" s="116">
        <v>0</v>
      </c>
      <c r="D165" s="117">
        <v>0</v>
      </c>
      <c r="E165" s="118">
        <v>0</v>
      </c>
      <c r="F165" s="119">
        <v>0</v>
      </c>
      <c r="G165" s="118">
        <v>0</v>
      </c>
      <c r="H165" s="118">
        <v>0</v>
      </c>
      <c r="I165" s="141">
        <f>SUM(Table7[[#This Row],[Volume 2022]:[Volume YTD 2024]])</f>
        <v>0</v>
      </c>
      <c r="J165" s="139">
        <v>0</v>
      </c>
      <c r="K165" s="162">
        <f>IFERROR(((Table7[[#This Row],[2023]]-Table7[[#This Row],[2022]])/Table7[[#This Row],[2022]]),0)</f>
        <v>0</v>
      </c>
      <c r="L165" s="162">
        <f>IFERROR(((Table7[[#This Row],[YTD 2024]]-Table7[[#This Row],[2023]])/Table7[[#This Row],[2023]]),0)</f>
        <v>0</v>
      </c>
      <c r="M165" s="218">
        <f>Table7[[#This Row],[YoY growth]]-Table7[[#This Row],[Volume growth]]</f>
        <v>0</v>
      </c>
      <c r="N165" s="222"/>
    </row>
  </sheetData>
  <mergeCells count="4">
    <mergeCell ref="B2:B3"/>
    <mergeCell ref="C2:E2"/>
    <mergeCell ref="F2:H2"/>
    <mergeCell ref="M2:O2"/>
  </mergeCells>
  <phoneticPr fontId="16" type="noConversion"/>
  <conditionalFormatting sqref="I7:I165">
    <cfRule type="top10" dxfId="12" priority="7" rank="10"/>
    <cfRule type="dataBar" priority="8">
      <dataBar>
        <cfvo type="min"/>
        <cfvo type="max"/>
        <color rgb="FFFFB628"/>
      </dataBar>
      <extLst>
        <ext xmlns:x14="http://schemas.microsoft.com/office/spreadsheetml/2009/9/main" uri="{B025F937-C7B1-47D3-B67F-A62EFF666E3E}">
          <x14:id>{6B3732A6-78A2-43ED-BB72-A1F8E7070A5F}</x14:id>
        </ext>
      </extLst>
    </cfRule>
  </conditionalFormatting>
  <conditionalFormatting sqref="J7:J165">
    <cfRule type="top10" dxfId="11" priority="9" rank="10"/>
    <cfRule type="dataBar" priority="10">
      <dataBar>
        <cfvo type="min"/>
        <cfvo type="max"/>
        <color rgb="FF638EC6"/>
      </dataBar>
      <extLst>
        <ext xmlns:x14="http://schemas.microsoft.com/office/spreadsheetml/2009/9/main" uri="{B025F937-C7B1-47D3-B67F-A62EFF666E3E}">
          <x14:id>{180ADA7B-E2D9-47EE-A7E5-46E06E54D387}</x14:id>
        </ext>
      </extLst>
    </cfRule>
  </conditionalFormatting>
  <conditionalFormatting sqref="K7:K26">
    <cfRule type="top10" dxfId="10" priority="1" percent="1" rank="10"/>
    <cfRule type="top10" dxfId="9" priority="4" percent="1" rank="10"/>
    <cfRule type="dataBar" priority="5">
      <dataBar>
        <cfvo type="min"/>
        <cfvo type="max"/>
        <color rgb="FF638EC6"/>
      </dataBar>
      <extLst>
        <ext xmlns:x14="http://schemas.microsoft.com/office/spreadsheetml/2009/9/main" uri="{B025F937-C7B1-47D3-B67F-A62EFF666E3E}">
          <x14:id>{7DF71778-4189-466D-9259-25845FD219C2}</x14:id>
        </ext>
      </extLst>
    </cfRule>
  </conditionalFormatting>
  <conditionalFormatting sqref="K7:K165">
    <cfRule type="top10" dxfId="8" priority="6" percent="1" rank="10"/>
  </conditionalFormatting>
  <conditionalFormatting sqref="L7:L26">
    <cfRule type="top10" dxfId="7" priority="2" percent="1" rank="10"/>
  </conditionalFormatting>
  <conditionalFormatting sqref="M7:M26">
    <cfRule type="top10" dxfId="6" priority="3" percent="1" rank="10"/>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B3732A6-78A2-43ED-BB72-A1F8E7070A5F}">
            <x14:dataBar minLength="0" maxLength="100" gradient="0">
              <x14:cfvo type="autoMin"/>
              <x14:cfvo type="autoMax"/>
              <x14:negativeFillColor rgb="FFFF0000"/>
              <x14:axisColor rgb="FF000000"/>
            </x14:dataBar>
          </x14:cfRule>
          <xm:sqref>I7:I165</xm:sqref>
        </x14:conditionalFormatting>
        <x14:conditionalFormatting xmlns:xm="http://schemas.microsoft.com/office/excel/2006/main">
          <x14:cfRule type="dataBar" id="{180ADA7B-E2D9-47EE-A7E5-46E06E54D387}">
            <x14:dataBar minLength="0" maxLength="100" gradient="0">
              <x14:cfvo type="autoMin"/>
              <x14:cfvo type="autoMax"/>
              <x14:negativeFillColor rgb="FFFF0000"/>
              <x14:axisColor rgb="FF000000"/>
            </x14:dataBar>
          </x14:cfRule>
          <xm:sqref>J7:J165</xm:sqref>
        </x14:conditionalFormatting>
        <x14:conditionalFormatting xmlns:xm="http://schemas.microsoft.com/office/excel/2006/main">
          <x14:cfRule type="dataBar" id="{7DF71778-4189-466D-9259-25845FD219C2}">
            <x14:dataBar minLength="0" maxLength="100" gradient="0">
              <x14:cfvo type="autoMin"/>
              <x14:cfvo type="autoMax"/>
              <x14:negativeFillColor rgb="FFFF0000"/>
              <x14:axisColor rgb="FF000000"/>
            </x14:dataBar>
          </x14:cfRule>
          <xm:sqref>K7:K26</xm:sqref>
        </x14:conditionalFormatting>
      </x14:conditionalFormattings>
    </ext>
    <ext xmlns:x14="http://schemas.microsoft.com/office/spreadsheetml/2009/9/main" uri="{05C60535-1F16-4fd2-B633-F4F36F0B64E0}">
      <x14:sparklineGroups xmlns:xm="http://schemas.microsoft.com/office/excel/2006/main">
        <x14:sparklineGroup manualMax="0" manualMin="0" displayEmptyCellsAs="gap" xr2:uid="{B71DDFCE-33F4-4402-8302-23F974B46C01}">
          <x14:colorSeries rgb="FF376092"/>
          <x14:colorNegative rgb="FFD00000"/>
          <x14:colorAxis rgb="FF000000"/>
          <x14:colorMarkers rgb="FFD00000"/>
          <x14:colorFirst rgb="FFD00000"/>
          <x14:colorLast rgb="FFD00000"/>
          <x14:colorHigh rgb="FFD00000"/>
          <x14:colorLow rgb="FFD00000"/>
          <x14:sparklines>
            <x14:sparkline>
              <xm:f>Brand!C7:E7</xm:f>
              <xm:sqref>N7</xm:sqref>
            </x14:sparkline>
            <x14:sparkline>
              <xm:f>Brand!C8:E8</xm:f>
              <xm:sqref>N8</xm:sqref>
            </x14:sparkline>
            <x14:sparkline>
              <xm:f>Brand!C9:E9</xm:f>
              <xm:sqref>N9</xm:sqref>
            </x14:sparkline>
            <x14:sparkline>
              <xm:f>Brand!C10:E10</xm:f>
              <xm:sqref>N10</xm:sqref>
            </x14:sparkline>
            <x14:sparkline>
              <xm:f>Brand!C11:E11</xm:f>
              <xm:sqref>N11</xm:sqref>
            </x14:sparkline>
            <x14:sparkline>
              <xm:f>Brand!C12:E12</xm:f>
              <xm:sqref>N12</xm:sqref>
            </x14:sparkline>
            <x14:sparkline>
              <xm:f>Brand!C13:E13</xm:f>
              <xm:sqref>N13</xm:sqref>
            </x14:sparkline>
            <x14:sparkline>
              <xm:f>Brand!C14:E14</xm:f>
              <xm:sqref>N14</xm:sqref>
            </x14:sparkline>
            <x14:sparkline>
              <xm:f>Brand!C15:E15</xm:f>
              <xm:sqref>N15</xm:sqref>
            </x14:sparkline>
            <x14:sparkline>
              <xm:f>Brand!C16:E16</xm:f>
              <xm:sqref>N16</xm:sqref>
            </x14:sparkline>
            <x14:sparkline>
              <xm:f>Brand!C17:E17</xm:f>
              <xm:sqref>N17</xm:sqref>
            </x14:sparkline>
            <x14:sparkline>
              <xm:f>Brand!C18:E18</xm:f>
              <xm:sqref>N18</xm:sqref>
            </x14:sparkline>
            <x14:sparkline>
              <xm:f>Brand!C19:E19</xm:f>
              <xm:sqref>N19</xm:sqref>
            </x14:sparkline>
            <x14:sparkline>
              <xm:f>Brand!C20:E20</xm:f>
              <xm:sqref>N20</xm:sqref>
            </x14:sparkline>
            <x14:sparkline>
              <xm:f>Brand!C21:E21</xm:f>
              <xm:sqref>N21</xm:sqref>
            </x14:sparkline>
            <x14:sparkline>
              <xm:f>Brand!C22:E22</xm:f>
              <xm:sqref>N22</xm:sqref>
            </x14:sparkline>
            <x14:sparkline>
              <xm:f>Brand!C23:E23</xm:f>
              <xm:sqref>N23</xm:sqref>
            </x14:sparkline>
            <x14:sparkline>
              <xm:f>Brand!C24:E24</xm:f>
              <xm:sqref>N24</xm:sqref>
            </x14:sparkline>
            <x14:sparkline>
              <xm:f>Brand!C25:E25</xm:f>
              <xm:sqref>N25</xm:sqref>
            </x14:sparkline>
            <x14:sparkline>
              <xm:f>Brand!C26:E26</xm:f>
              <xm:sqref>N26</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D0AE-0805-4282-A293-A949D207C55C}">
  <sheetPr codeName="Sheet7"/>
  <dimension ref="A1:M164"/>
  <sheetViews>
    <sheetView workbookViewId="0">
      <selection activeCell="E16" sqref="E16"/>
    </sheetView>
  </sheetViews>
  <sheetFormatPr defaultRowHeight="12" x14ac:dyDescent="0.2"/>
  <cols>
    <col min="1" max="1" width="29.42578125" style="126" bestFit="1" customWidth="1"/>
    <col min="2" max="3" width="19.28515625" style="126" bestFit="1" customWidth="1"/>
    <col min="4" max="4" width="23.28515625" style="126" bestFit="1" customWidth="1"/>
    <col min="5" max="5" width="17.85546875" style="126" bestFit="1" customWidth="1"/>
    <col min="6" max="6" width="19.7109375" style="126" bestFit="1" customWidth="1"/>
    <col min="7" max="13" width="17.28515625" style="126" bestFit="1" customWidth="1"/>
    <col min="14" max="16384" width="9.140625" style="126"/>
  </cols>
  <sheetData>
    <row r="1" spans="1:13" ht="15" x14ac:dyDescent="0.25">
      <c r="A1" s="46" t="s">
        <v>2</v>
      </c>
      <c r="B1" s="46" t="s" vm="1">
        <v>1179</v>
      </c>
    </row>
    <row r="2" spans="1:13" ht="15.75" x14ac:dyDescent="0.25">
      <c r="A2" s="46" t="s">
        <v>3</v>
      </c>
      <c r="B2" s="46" t="s" vm="2">
        <v>1179</v>
      </c>
      <c r="D2" s="125" t="s">
        <v>1194</v>
      </c>
    </row>
    <row r="3" spans="1:13" ht="15.75" x14ac:dyDescent="0.25">
      <c r="A3" s="133"/>
    </row>
    <row r="4" spans="1:13" ht="15" x14ac:dyDescent="0.25">
      <c r="A4" s="221" t="s">
        <v>1170</v>
      </c>
      <c r="B4" s="221" t="s">
        <v>1159</v>
      </c>
      <c r="C4" s="221" t="s">
        <v>1160</v>
      </c>
      <c r="D4" s="221" t="s">
        <v>1161</v>
      </c>
      <c r="E4" s="221" t="s">
        <v>1157</v>
      </c>
      <c r="F4" s="46"/>
      <c r="G4" s="46"/>
      <c r="H4" s="46"/>
      <c r="I4" s="46"/>
      <c r="J4" s="46"/>
      <c r="K4" s="46"/>
      <c r="L4" s="46"/>
      <c r="M4" s="46"/>
    </row>
    <row r="5" spans="1:13" ht="15" x14ac:dyDescent="0.25">
      <c r="A5" s="157" t="s">
        <v>830</v>
      </c>
      <c r="B5" s="46">
        <v>3341.5012999999999</v>
      </c>
      <c r="C5" s="46">
        <v>3428.0437000000002</v>
      </c>
      <c r="D5" s="46">
        <v>1852.1968999999999</v>
      </c>
      <c r="E5" s="46">
        <v>8621.7419000000009</v>
      </c>
      <c r="F5" s="46"/>
      <c r="G5" s="46"/>
      <c r="H5" s="46"/>
      <c r="I5" s="46"/>
      <c r="J5" s="46"/>
      <c r="K5" s="46"/>
      <c r="L5" s="46"/>
      <c r="M5" s="46"/>
    </row>
    <row r="6" spans="1:13" ht="15" x14ac:dyDescent="0.25">
      <c r="A6" s="157" t="s">
        <v>465</v>
      </c>
      <c r="B6" s="46">
        <v>1818.1666</v>
      </c>
      <c r="C6" s="46">
        <v>2101.6939000000002</v>
      </c>
      <c r="D6" s="46">
        <v>1233.5607</v>
      </c>
      <c r="E6" s="46">
        <v>5153.4212000000007</v>
      </c>
      <c r="F6" s="46"/>
      <c r="G6" s="46"/>
      <c r="H6" s="46"/>
      <c r="I6" s="46"/>
      <c r="J6" s="46"/>
      <c r="K6" s="46"/>
      <c r="L6" s="46"/>
      <c r="M6" s="46"/>
    </row>
    <row r="7" spans="1:13" ht="15" x14ac:dyDescent="0.25">
      <c r="A7" s="157" t="s">
        <v>831</v>
      </c>
      <c r="B7" s="46">
        <v>511.78089999999997</v>
      </c>
      <c r="C7" s="46">
        <v>507.3048</v>
      </c>
      <c r="D7" s="46">
        <v>295.71379999999999</v>
      </c>
      <c r="E7" s="46">
        <v>1314.7995000000001</v>
      </c>
      <c r="F7" s="46"/>
      <c r="G7" s="46"/>
      <c r="H7" s="46"/>
      <c r="I7" s="46"/>
      <c r="J7" s="46"/>
      <c r="K7" s="46"/>
      <c r="L7" s="46"/>
      <c r="M7" s="46"/>
    </row>
    <row r="8" spans="1:13" ht="15" x14ac:dyDescent="0.25">
      <c r="A8" s="157" t="s">
        <v>844</v>
      </c>
      <c r="B8" s="46">
        <v>471.6447</v>
      </c>
      <c r="C8" s="46">
        <v>448.00150000000002</v>
      </c>
      <c r="D8" s="46">
        <v>276.14030000000002</v>
      </c>
      <c r="E8" s="46">
        <v>1195.7865000000002</v>
      </c>
      <c r="F8" s="46"/>
      <c r="G8" s="46"/>
      <c r="H8" s="46"/>
      <c r="I8" s="46"/>
      <c r="J8" s="46"/>
      <c r="K8" s="46"/>
      <c r="L8" s="46"/>
      <c r="M8" s="46"/>
    </row>
    <row r="9" spans="1:13" ht="15" x14ac:dyDescent="0.25">
      <c r="A9" s="157" t="s">
        <v>327</v>
      </c>
      <c r="B9" s="46">
        <v>394.4622</v>
      </c>
      <c r="C9" s="46">
        <v>406.93380000000002</v>
      </c>
      <c r="D9" s="46">
        <v>320.21539999999999</v>
      </c>
      <c r="E9" s="46">
        <v>1121.6114</v>
      </c>
      <c r="F9" s="46"/>
      <c r="G9" s="46"/>
      <c r="H9" s="46"/>
      <c r="I9" s="46"/>
      <c r="J9" s="46"/>
      <c r="K9" s="46"/>
      <c r="L9" s="46"/>
      <c r="M9" s="46"/>
    </row>
    <row r="10" spans="1:13" ht="15" x14ac:dyDescent="0.25">
      <c r="A10" s="157" t="s">
        <v>1158</v>
      </c>
      <c r="B10" s="221">
        <v>6537.5556999999999</v>
      </c>
      <c r="C10" s="221">
        <v>6891.9777000000004</v>
      </c>
      <c r="D10" s="221">
        <v>3977.8271</v>
      </c>
      <c r="E10" s="221">
        <v>17407.360500000003</v>
      </c>
      <c r="F10" s="46"/>
      <c r="G10" s="46"/>
      <c r="H10" s="46"/>
      <c r="I10" s="46"/>
      <c r="J10" s="46"/>
      <c r="K10" s="46"/>
      <c r="L10" s="46"/>
      <c r="M10" s="46"/>
    </row>
    <row r="11" spans="1:13" ht="15" x14ac:dyDescent="0.25">
      <c r="A11" s="46"/>
      <c r="B11" s="46"/>
      <c r="C11" s="46"/>
      <c r="D11" s="46"/>
      <c r="E11" s="46"/>
      <c r="F11" s="46"/>
      <c r="G11" s="46"/>
      <c r="H11" s="46"/>
      <c r="I11" s="46"/>
      <c r="J11" s="46"/>
      <c r="K11" s="46"/>
      <c r="L11" s="46"/>
      <c r="M11" s="46"/>
    </row>
    <row r="12" spans="1:13" ht="15" x14ac:dyDescent="0.25">
      <c r="A12" s="46"/>
      <c r="B12" s="46"/>
      <c r="C12" s="46"/>
      <c r="D12" s="46"/>
      <c r="E12" s="46"/>
      <c r="F12" s="46"/>
      <c r="G12" s="46"/>
      <c r="H12" s="46"/>
      <c r="I12" s="46"/>
      <c r="J12" s="46"/>
      <c r="K12" s="46"/>
      <c r="L12" s="46"/>
      <c r="M12" s="46"/>
    </row>
    <row r="13" spans="1:13" ht="15" x14ac:dyDescent="0.25">
      <c r="A13" s="46"/>
      <c r="B13" s="46"/>
      <c r="C13" s="46"/>
      <c r="D13" s="46"/>
      <c r="E13" s="46"/>
      <c r="F13" s="46"/>
      <c r="G13" s="46"/>
      <c r="H13" s="46"/>
      <c r="I13" s="46"/>
      <c r="J13" s="46"/>
      <c r="K13" s="46"/>
      <c r="L13" s="46"/>
      <c r="M13" s="46"/>
    </row>
    <row r="14" spans="1:13" ht="15" x14ac:dyDescent="0.25">
      <c r="A14" s="46"/>
      <c r="B14" s="46"/>
      <c r="C14" s="46"/>
      <c r="D14" s="46"/>
      <c r="E14" s="46"/>
      <c r="F14" s="46"/>
      <c r="G14" s="46"/>
      <c r="H14" s="46"/>
      <c r="I14" s="46"/>
      <c r="J14" s="46"/>
      <c r="K14" s="46"/>
      <c r="L14" s="46"/>
      <c r="M14" s="46"/>
    </row>
    <row r="15" spans="1:13" ht="15" x14ac:dyDescent="0.25">
      <c r="A15" s="46"/>
      <c r="B15" s="46"/>
      <c r="C15" s="46"/>
      <c r="D15" s="46"/>
      <c r="E15" s="46"/>
      <c r="F15" s="46"/>
      <c r="G15" s="46"/>
      <c r="H15" s="46"/>
      <c r="I15" s="46"/>
      <c r="J15" s="46"/>
      <c r="K15" s="46"/>
      <c r="L15" s="46"/>
      <c r="M15" s="46"/>
    </row>
    <row r="16" spans="1:13" ht="15" x14ac:dyDescent="0.25">
      <c r="A16" s="46"/>
      <c r="B16" s="46"/>
      <c r="C16" s="46"/>
      <c r="D16" s="46"/>
      <c r="E16" s="46"/>
      <c r="F16" s="46"/>
      <c r="G16" s="46"/>
      <c r="H16" s="46"/>
      <c r="I16" s="46"/>
      <c r="J16" s="46"/>
      <c r="K16" s="46"/>
      <c r="L16" s="46"/>
      <c r="M16" s="46"/>
    </row>
    <row r="17" spans="1:13" ht="15" x14ac:dyDescent="0.25">
      <c r="A17" s="46"/>
      <c r="B17" s="46"/>
      <c r="C17" s="46"/>
      <c r="D17" s="46"/>
      <c r="E17" s="46"/>
      <c r="F17" s="46"/>
      <c r="G17" s="46"/>
      <c r="H17" s="46"/>
      <c r="I17" s="46"/>
      <c r="J17" s="46"/>
      <c r="K17" s="46"/>
      <c r="L17" s="46"/>
      <c r="M17" s="46"/>
    </row>
    <row r="18" spans="1:13" ht="15" x14ac:dyDescent="0.25">
      <c r="A18" s="123" t="s">
        <v>1156</v>
      </c>
      <c r="B18" t="s">
        <v>1162</v>
      </c>
      <c r="C18" t="s">
        <v>1172</v>
      </c>
      <c r="D18" t="s">
        <v>1176</v>
      </c>
      <c r="E18" t="s">
        <v>1157</v>
      </c>
      <c r="F18" t="s">
        <v>1177</v>
      </c>
      <c r="G18" s="46"/>
      <c r="H18" s="46"/>
      <c r="I18" s="46"/>
      <c r="J18" s="46"/>
      <c r="K18" s="46"/>
      <c r="L18" s="46"/>
      <c r="M18" s="46"/>
    </row>
    <row r="19" spans="1:13" ht="15" x14ac:dyDescent="0.25">
      <c r="A19" s="157" t="s">
        <v>830</v>
      </c>
      <c r="B19">
        <v>125970.25199999999</v>
      </c>
      <c r="C19">
        <v>127615.61199999999</v>
      </c>
      <c r="D19">
        <v>64977.618000000002</v>
      </c>
      <c r="E19">
        <v>8621.7419000000009</v>
      </c>
      <c r="F19">
        <v>318563.48200000002</v>
      </c>
      <c r="G19" s="46"/>
      <c r="H19" s="46"/>
      <c r="I19" s="46"/>
      <c r="J19" s="46"/>
      <c r="K19" s="46"/>
      <c r="L19" s="46"/>
      <c r="M19" s="46"/>
    </row>
    <row r="20" spans="1:13" ht="15" x14ac:dyDescent="0.25">
      <c r="A20" s="157" t="s">
        <v>465</v>
      </c>
      <c r="B20">
        <v>45975.839</v>
      </c>
      <c r="C20">
        <v>53803.039499999999</v>
      </c>
      <c r="D20">
        <v>29897.358</v>
      </c>
      <c r="E20">
        <v>5153.4212000000007</v>
      </c>
      <c r="F20">
        <v>129676.2365</v>
      </c>
      <c r="G20" s="46"/>
      <c r="H20" s="46"/>
      <c r="I20" s="46"/>
      <c r="J20" s="46"/>
      <c r="K20" s="46"/>
      <c r="L20" s="46"/>
      <c r="M20" s="46"/>
    </row>
    <row r="21" spans="1:13" ht="15" x14ac:dyDescent="0.25">
      <c r="A21" s="157" t="s">
        <v>831</v>
      </c>
      <c r="B21">
        <v>23199.701799999999</v>
      </c>
      <c r="C21">
        <v>21680.539100000002</v>
      </c>
      <c r="D21">
        <v>11434.4841</v>
      </c>
      <c r="E21">
        <v>1314.7995000000001</v>
      </c>
      <c r="F21">
        <v>56314.725000000006</v>
      </c>
      <c r="G21" s="46"/>
      <c r="H21" s="46"/>
      <c r="I21" s="46"/>
      <c r="J21" s="46"/>
      <c r="K21" s="46"/>
      <c r="L21" s="46"/>
      <c r="M21" s="46"/>
    </row>
    <row r="22" spans="1:13" ht="15" x14ac:dyDescent="0.25">
      <c r="A22" s="157" t="s">
        <v>844</v>
      </c>
      <c r="B22">
        <v>13724.156499999999</v>
      </c>
      <c r="C22">
        <v>13181.351199999999</v>
      </c>
      <c r="D22">
        <v>8823.5241000000005</v>
      </c>
      <c r="E22">
        <v>1195.7865000000002</v>
      </c>
      <c r="F22">
        <v>35729.031799999997</v>
      </c>
      <c r="G22" s="46"/>
      <c r="H22" s="46"/>
      <c r="I22" s="46"/>
      <c r="J22" s="46"/>
      <c r="K22" s="46"/>
      <c r="L22" s="46"/>
      <c r="M22" s="46"/>
    </row>
    <row r="23" spans="1:13" ht="15" x14ac:dyDescent="0.25">
      <c r="A23" s="157" t="s">
        <v>327</v>
      </c>
      <c r="B23">
        <v>18966.535500000002</v>
      </c>
      <c r="C23">
        <v>19594.108899999999</v>
      </c>
      <c r="D23">
        <v>15751.087</v>
      </c>
      <c r="E23">
        <v>1121.6114</v>
      </c>
      <c r="F23">
        <v>54311.731400000004</v>
      </c>
      <c r="G23" s="46"/>
      <c r="H23" s="46"/>
      <c r="I23" s="46"/>
      <c r="J23" s="46"/>
      <c r="K23" s="46"/>
      <c r="L23" s="46"/>
      <c r="M23" s="46"/>
    </row>
    <row r="24" spans="1:13" ht="15" x14ac:dyDescent="0.25">
      <c r="A24" s="124" t="s">
        <v>1158</v>
      </c>
      <c r="B24">
        <v>227836.48480000001</v>
      </c>
      <c r="C24">
        <v>235874.6507</v>
      </c>
      <c r="D24">
        <v>130884.07120000001</v>
      </c>
      <c r="E24">
        <v>17407.360500000003</v>
      </c>
      <c r="F24">
        <v>594595.20669999998</v>
      </c>
      <c r="G24" s="46"/>
      <c r="H24" s="46"/>
      <c r="I24" s="46"/>
      <c r="J24" s="46"/>
      <c r="K24" s="46"/>
      <c r="L24" s="46"/>
      <c r="M24" s="46"/>
    </row>
    <row r="25" spans="1:13" ht="15" x14ac:dyDescent="0.25">
      <c r="A25"/>
      <c r="B25" s="46"/>
      <c r="C25" s="46"/>
      <c r="D25" s="46"/>
      <c r="E25" s="46"/>
      <c r="F25" s="46"/>
      <c r="G25" s="46"/>
      <c r="H25" s="46"/>
      <c r="I25" s="46"/>
      <c r="J25" s="46"/>
      <c r="K25" s="46"/>
      <c r="L25" s="46"/>
      <c r="M25" s="46"/>
    </row>
    <row r="26" spans="1:13" ht="15" x14ac:dyDescent="0.25">
      <c r="A26" s="46"/>
      <c r="B26" s="46"/>
      <c r="C26" s="46"/>
      <c r="D26" s="46"/>
      <c r="E26" s="46"/>
      <c r="F26" s="46"/>
      <c r="G26" s="46"/>
      <c r="H26" s="46"/>
      <c r="I26" s="46"/>
      <c r="J26" s="46"/>
      <c r="K26" s="46"/>
      <c r="L26" s="46"/>
      <c r="M26" s="46"/>
    </row>
    <row r="27" spans="1:13" ht="15" x14ac:dyDescent="0.25">
      <c r="A27" s="46"/>
      <c r="B27" s="46"/>
      <c r="C27" s="46"/>
      <c r="D27" s="46"/>
      <c r="E27" s="46"/>
      <c r="F27" s="46"/>
      <c r="G27" s="46"/>
      <c r="H27" s="46"/>
      <c r="I27" s="46"/>
      <c r="J27" s="46"/>
      <c r="K27" s="46"/>
      <c r="L27" s="46"/>
      <c r="M27" s="46"/>
    </row>
    <row r="28" spans="1:13" ht="15" x14ac:dyDescent="0.25">
      <c r="A28" s="46"/>
      <c r="B28" s="46"/>
      <c r="C28" s="46"/>
      <c r="D28" s="46"/>
      <c r="E28" s="46"/>
      <c r="F28" s="46"/>
      <c r="G28" s="46"/>
      <c r="H28" s="46"/>
      <c r="I28" s="46"/>
      <c r="J28" s="46"/>
      <c r="K28" s="46"/>
      <c r="L28" s="46"/>
      <c r="M28" s="46"/>
    </row>
    <row r="29" spans="1:13" ht="15" x14ac:dyDescent="0.25">
      <c r="A29" s="46"/>
      <c r="B29" s="46"/>
      <c r="C29" s="46"/>
      <c r="D29" s="46"/>
      <c r="E29" s="46"/>
      <c r="F29" s="46"/>
      <c r="G29" s="46"/>
      <c r="H29" s="46"/>
      <c r="I29" s="46"/>
      <c r="J29" s="46"/>
      <c r="K29" s="46"/>
      <c r="L29" s="46"/>
      <c r="M29" s="46"/>
    </row>
    <row r="30" spans="1:13" ht="15" x14ac:dyDescent="0.25">
      <c r="A30" s="46"/>
      <c r="B30" s="46"/>
      <c r="C30" s="46"/>
      <c r="D30" s="46"/>
      <c r="E30" s="46"/>
      <c r="F30" s="46"/>
      <c r="G30" s="46"/>
      <c r="H30" s="46"/>
      <c r="I30" s="46"/>
      <c r="J30" s="46"/>
      <c r="K30" s="46"/>
      <c r="L30" s="46"/>
      <c r="M30" s="46"/>
    </row>
    <row r="31" spans="1:13" ht="15" x14ac:dyDescent="0.25">
      <c r="A31" s="46"/>
      <c r="B31" s="46"/>
      <c r="C31" s="46"/>
      <c r="D31" s="46"/>
      <c r="E31" s="46"/>
      <c r="F31" s="46"/>
      <c r="G31" s="46"/>
      <c r="H31" s="46"/>
      <c r="I31" s="46"/>
      <c r="J31" s="46"/>
      <c r="K31" s="46"/>
      <c r="L31" s="46"/>
      <c r="M31" s="46"/>
    </row>
    <row r="32" spans="1:13" ht="15" x14ac:dyDescent="0.25">
      <c r="A32" s="46"/>
      <c r="B32" s="46"/>
      <c r="C32" s="46"/>
      <c r="D32" s="46"/>
      <c r="E32" s="46"/>
      <c r="F32" s="46"/>
      <c r="G32" s="46"/>
      <c r="H32" s="46"/>
      <c r="I32" s="46"/>
      <c r="J32" s="46"/>
      <c r="K32" s="46"/>
      <c r="L32" s="46"/>
      <c r="M32" s="46"/>
    </row>
    <row r="33" spans="1:13" ht="15" x14ac:dyDescent="0.25">
      <c r="A33" s="46"/>
      <c r="B33" s="46"/>
      <c r="C33" s="46"/>
      <c r="D33" s="46"/>
      <c r="E33" s="46"/>
      <c r="F33" s="46"/>
      <c r="G33" s="46"/>
      <c r="H33" s="46"/>
      <c r="I33" s="46"/>
      <c r="J33" s="46"/>
      <c r="K33" s="46"/>
      <c r="L33" s="46"/>
      <c r="M33" s="46"/>
    </row>
    <row r="34" spans="1:13" ht="15" x14ac:dyDescent="0.25">
      <c r="A34" s="46"/>
      <c r="B34" s="46"/>
      <c r="C34" s="46"/>
      <c r="D34" s="46"/>
      <c r="E34" s="46"/>
      <c r="F34" s="46"/>
      <c r="G34" s="46"/>
      <c r="H34" s="46"/>
      <c r="I34" s="46"/>
      <c r="J34" s="46"/>
      <c r="K34" s="46"/>
      <c r="L34" s="46"/>
      <c r="M34" s="46"/>
    </row>
    <row r="35" spans="1:13" ht="15" x14ac:dyDescent="0.25">
      <c r="A35" s="46"/>
      <c r="B35" s="46"/>
      <c r="C35" s="46"/>
      <c r="D35" s="46"/>
      <c r="E35" s="46"/>
      <c r="F35" s="46"/>
      <c r="G35" s="46"/>
      <c r="H35" s="46"/>
      <c r="I35" s="46"/>
      <c r="J35" s="46"/>
      <c r="K35" s="46"/>
      <c r="L35" s="46"/>
      <c r="M35" s="46"/>
    </row>
    <row r="36" spans="1:13" ht="15" x14ac:dyDescent="0.25">
      <c r="A36" s="46"/>
      <c r="B36" s="46"/>
      <c r="C36" s="46"/>
      <c r="D36" s="46"/>
      <c r="E36" s="46"/>
      <c r="F36" s="46"/>
      <c r="G36" s="46"/>
      <c r="H36" s="46"/>
      <c r="I36" s="46"/>
      <c r="J36" s="46"/>
      <c r="K36" s="46"/>
      <c r="L36" s="46"/>
      <c r="M36" s="46"/>
    </row>
    <row r="37" spans="1:13" ht="15" x14ac:dyDescent="0.25">
      <c r="A37" s="46"/>
      <c r="B37" s="46"/>
      <c r="C37" s="46"/>
      <c r="D37" s="46"/>
      <c r="E37" s="46"/>
      <c r="F37" s="46"/>
      <c r="G37" s="46"/>
      <c r="H37" s="46"/>
      <c r="I37" s="46"/>
      <c r="J37" s="46"/>
      <c r="K37" s="46"/>
      <c r="L37" s="46"/>
      <c r="M37" s="46"/>
    </row>
    <row r="38" spans="1:13" ht="15" x14ac:dyDescent="0.25">
      <c r="A38" s="46"/>
      <c r="B38" s="46"/>
      <c r="C38" s="46"/>
      <c r="D38" s="46"/>
      <c r="E38" s="46"/>
      <c r="F38" s="46"/>
      <c r="G38" s="46"/>
      <c r="H38" s="46"/>
      <c r="I38" s="46"/>
      <c r="J38" s="46"/>
      <c r="K38" s="46"/>
      <c r="L38" s="46"/>
      <c r="M38" s="46"/>
    </row>
    <row r="39" spans="1:13" ht="15" x14ac:dyDescent="0.25">
      <c r="A39" s="46"/>
      <c r="B39" s="46"/>
      <c r="C39" s="46"/>
      <c r="D39" s="46"/>
      <c r="E39" s="46"/>
      <c r="F39" s="46"/>
      <c r="G39" s="46"/>
      <c r="H39" s="46"/>
      <c r="I39" s="46"/>
      <c r="J39" s="46"/>
      <c r="K39" s="46"/>
      <c r="L39" s="46"/>
      <c r="M39" s="46"/>
    </row>
    <row r="40" spans="1:13" ht="15" x14ac:dyDescent="0.25">
      <c r="A40"/>
      <c r="B40"/>
      <c r="C40" s="46"/>
      <c r="D40" s="46"/>
      <c r="E40" s="46"/>
      <c r="F40" s="46"/>
      <c r="G40" s="46"/>
      <c r="H40" s="46"/>
      <c r="I40" s="46"/>
      <c r="J40" s="46"/>
      <c r="K40"/>
      <c r="L40"/>
      <c r="M40"/>
    </row>
    <row r="41" spans="1:13" ht="15" x14ac:dyDescent="0.25">
      <c r="A41"/>
      <c r="B41"/>
      <c r="C41" s="46"/>
      <c r="D41" s="46"/>
      <c r="E41" s="46"/>
      <c r="F41" s="46"/>
      <c r="G41" s="46"/>
      <c r="H41" s="46"/>
      <c r="I41" s="46"/>
      <c r="J41" s="46"/>
      <c r="K41"/>
      <c r="L41"/>
      <c r="M41"/>
    </row>
    <row r="42" spans="1:13" ht="15" x14ac:dyDescent="0.25">
      <c r="A42"/>
      <c r="B42"/>
      <c r="C42" s="46"/>
      <c r="D42" s="46"/>
      <c r="E42" s="46"/>
      <c r="F42" s="46"/>
      <c r="G42" s="46"/>
      <c r="H42" s="46"/>
      <c r="I42" s="46"/>
      <c r="J42" s="46"/>
      <c r="K42"/>
      <c r="L42"/>
      <c r="M42"/>
    </row>
    <row r="43" spans="1:13" ht="15" x14ac:dyDescent="0.25">
      <c r="A43"/>
      <c r="B43"/>
      <c r="C43" s="46"/>
      <c r="D43" s="46"/>
      <c r="E43" s="46"/>
      <c r="F43" s="46"/>
      <c r="G43" s="46"/>
      <c r="H43" s="46"/>
      <c r="I43" s="46"/>
      <c r="J43" s="46"/>
      <c r="K43"/>
      <c r="L43"/>
      <c r="M43"/>
    </row>
    <row r="44" spans="1:13" ht="15" x14ac:dyDescent="0.25">
      <c r="A44"/>
      <c r="B44"/>
      <c r="C44" s="46"/>
      <c r="D44" s="46"/>
      <c r="E44" s="46"/>
      <c r="F44" s="46"/>
      <c r="G44" s="46"/>
      <c r="H44" s="46"/>
      <c r="I44" s="46"/>
      <c r="J44" s="46"/>
      <c r="K44"/>
      <c r="L44"/>
      <c r="M44"/>
    </row>
    <row r="45" spans="1:13" ht="15" x14ac:dyDescent="0.25">
      <c r="A45"/>
      <c r="B45"/>
      <c r="C45" s="46"/>
      <c r="D45" s="46"/>
      <c r="E45" s="46"/>
      <c r="F45" s="46"/>
      <c r="G45" s="46"/>
      <c r="H45" s="46"/>
      <c r="I45" s="46"/>
      <c r="J45" s="46"/>
      <c r="K45"/>
      <c r="L45"/>
      <c r="M45"/>
    </row>
    <row r="46" spans="1:13" ht="15" x14ac:dyDescent="0.25">
      <c r="A46"/>
      <c r="B46"/>
      <c r="C46" s="46"/>
      <c r="D46" s="46"/>
      <c r="E46" s="46"/>
      <c r="F46" s="46"/>
      <c r="G46" s="46"/>
      <c r="H46" s="46"/>
      <c r="I46" s="46"/>
      <c r="J46" s="46"/>
      <c r="K46"/>
      <c r="L46"/>
      <c r="M46"/>
    </row>
    <row r="47" spans="1:13" ht="15" x14ac:dyDescent="0.25">
      <c r="A47"/>
      <c r="B47"/>
      <c r="C47" s="46"/>
      <c r="D47" s="46"/>
      <c r="E47" s="46"/>
      <c r="F47" s="46"/>
      <c r="G47" s="46"/>
      <c r="H47" s="46"/>
      <c r="I47" s="46"/>
      <c r="J47" s="46"/>
      <c r="K47"/>
      <c r="L47"/>
      <c r="M47"/>
    </row>
    <row r="48" spans="1:13" ht="15" x14ac:dyDescent="0.25">
      <c r="A48"/>
      <c r="B48"/>
      <c r="C48" s="46"/>
      <c r="D48" s="46"/>
      <c r="E48" s="46"/>
      <c r="F48" s="46"/>
      <c r="G48" s="46"/>
      <c r="H48" s="46"/>
      <c r="I48" s="46"/>
      <c r="J48" s="46"/>
      <c r="K48"/>
      <c r="L48"/>
      <c r="M48"/>
    </row>
    <row r="49" spans="1:13" ht="15" x14ac:dyDescent="0.25">
      <c r="A49"/>
      <c r="B49"/>
      <c r="C49" s="46"/>
      <c r="D49" s="46"/>
      <c r="E49" s="46"/>
      <c r="F49" s="46"/>
      <c r="G49" s="46"/>
      <c r="H49" s="46"/>
      <c r="I49" s="46"/>
      <c r="J49" s="46"/>
      <c r="K49"/>
      <c r="L49"/>
      <c r="M49"/>
    </row>
    <row r="50" spans="1:13" ht="15" x14ac:dyDescent="0.25">
      <c r="A50"/>
      <c r="B50"/>
      <c r="C50" s="46"/>
      <c r="D50" s="46"/>
      <c r="E50" s="46"/>
      <c r="F50" s="46"/>
      <c r="G50" s="46"/>
      <c r="H50" s="46"/>
      <c r="I50" s="46"/>
      <c r="J50" s="46"/>
      <c r="K50"/>
      <c r="L50"/>
      <c r="M50"/>
    </row>
    <row r="51" spans="1:13" ht="15" x14ac:dyDescent="0.25">
      <c r="A51"/>
      <c r="B51"/>
      <c r="C51" s="46"/>
      <c r="D51" s="46"/>
      <c r="E51" s="46"/>
      <c r="F51" s="46"/>
      <c r="G51" s="46"/>
      <c r="H51" s="46"/>
      <c r="I51" s="46"/>
      <c r="J51" s="46"/>
      <c r="K51"/>
      <c r="L51"/>
      <c r="M51"/>
    </row>
    <row r="52" spans="1:13" ht="15" x14ac:dyDescent="0.25">
      <c r="A52"/>
      <c r="B52"/>
      <c r="C52" s="46"/>
      <c r="D52" s="46"/>
      <c r="E52" s="46"/>
      <c r="F52" s="46"/>
      <c r="G52" s="46"/>
      <c r="H52" s="46"/>
      <c r="I52" s="46"/>
      <c r="J52" s="46"/>
      <c r="K52"/>
      <c r="L52"/>
      <c r="M52"/>
    </row>
    <row r="53" spans="1:13" ht="15" x14ac:dyDescent="0.25">
      <c r="A53"/>
      <c r="B53"/>
      <c r="C53" s="46"/>
      <c r="D53" s="46"/>
      <c r="E53" s="46"/>
      <c r="F53" s="46"/>
      <c r="G53" s="46"/>
      <c r="H53" s="46"/>
      <c r="I53" s="46"/>
      <c r="J53" s="46"/>
      <c r="K53"/>
      <c r="L53"/>
      <c r="M53"/>
    </row>
    <row r="54" spans="1:13" ht="15" x14ac:dyDescent="0.25">
      <c r="A54"/>
      <c r="B54"/>
      <c r="C54" s="46"/>
      <c r="D54" s="46"/>
      <c r="E54" s="46"/>
      <c r="F54" s="46"/>
      <c r="G54" s="46"/>
      <c r="H54" s="46"/>
      <c r="I54" s="46"/>
      <c r="J54" s="46"/>
      <c r="K54"/>
      <c r="L54"/>
      <c r="M54"/>
    </row>
    <row r="55" spans="1:13" ht="15" x14ac:dyDescent="0.25">
      <c r="A55"/>
      <c r="B55"/>
      <c r="C55" s="46"/>
      <c r="D55" s="46"/>
      <c r="E55" s="46"/>
      <c r="F55" s="46"/>
      <c r="G55" s="46"/>
      <c r="H55" s="46"/>
      <c r="I55" s="46"/>
      <c r="J55" s="46"/>
      <c r="K55"/>
      <c r="L55"/>
      <c r="M55"/>
    </row>
    <row r="56" spans="1:13" ht="15" x14ac:dyDescent="0.25">
      <c r="A56"/>
      <c r="B56"/>
      <c r="C56" s="46"/>
      <c r="D56" s="46"/>
      <c r="E56" s="46"/>
      <c r="F56" s="46"/>
      <c r="G56" s="46"/>
      <c r="H56" s="46"/>
      <c r="I56" s="46"/>
      <c r="J56" s="46"/>
      <c r="K56"/>
      <c r="L56"/>
      <c r="M56"/>
    </row>
    <row r="57" spans="1:13" ht="15" x14ac:dyDescent="0.25">
      <c r="A57"/>
      <c r="B57"/>
      <c r="C57" s="46"/>
      <c r="D57" s="46"/>
      <c r="E57" s="46"/>
      <c r="F57" s="46"/>
      <c r="G57" s="46"/>
      <c r="H57" s="46"/>
      <c r="I57" s="46"/>
      <c r="J57" s="46"/>
      <c r="K57"/>
      <c r="L57"/>
      <c r="M57"/>
    </row>
    <row r="58" spans="1:13" ht="15" x14ac:dyDescent="0.25">
      <c r="A58"/>
      <c r="B58"/>
      <c r="C58" s="46"/>
      <c r="D58" s="46"/>
      <c r="E58" s="46"/>
      <c r="F58" s="46"/>
      <c r="G58" s="46"/>
      <c r="H58" s="46"/>
      <c r="I58" s="46"/>
      <c r="J58" s="46"/>
      <c r="K58"/>
      <c r="L58"/>
      <c r="M58"/>
    </row>
    <row r="59" spans="1:13" ht="15" x14ac:dyDescent="0.25">
      <c r="A59"/>
      <c r="B59"/>
      <c r="C59" s="46"/>
      <c r="D59" s="46"/>
      <c r="E59" s="46"/>
      <c r="F59" s="46"/>
      <c r="G59" s="46"/>
      <c r="H59" s="46"/>
      <c r="I59" s="46"/>
      <c r="J59" s="46"/>
      <c r="K59"/>
      <c r="L59"/>
      <c r="M59"/>
    </row>
    <row r="60" spans="1:13" ht="15" x14ac:dyDescent="0.25">
      <c r="A60"/>
      <c r="B60"/>
      <c r="C60" s="46"/>
      <c r="D60" s="46"/>
      <c r="E60" s="46"/>
      <c r="F60" s="46"/>
      <c r="G60" s="46"/>
      <c r="H60" s="46"/>
      <c r="I60" s="46"/>
      <c r="J60" s="46"/>
      <c r="K60"/>
      <c r="L60"/>
      <c r="M60"/>
    </row>
    <row r="61" spans="1:13" ht="15" x14ac:dyDescent="0.25">
      <c r="A61"/>
      <c r="B61"/>
      <c r="C61" s="46"/>
      <c r="D61" s="46"/>
      <c r="E61" s="46"/>
      <c r="F61" s="46"/>
      <c r="G61" s="46"/>
      <c r="H61" s="46"/>
      <c r="I61" s="46"/>
      <c r="J61" s="46"/>
      <c r="K61"/>
      <c r="L61"/>
      <c r="M61"/>
    </row>
    <row r="62" spans="1:13" ht="15" x14ac:dyDescent="0.25">
      <c r="A62"/>
      <c r="B62"/>
      <c r="C62" s="46"/>
      <c r="D62" s="46"/>
      <c r="E62" s="46"/>
      <c r="F62" s="46"/>
      <c r="G62" s="46"/>
      <c r="H62" s="46"/>
      <c r="I62" s="46"/>
      <c r="J62" s="46"/>
      <c r="K62"/>
      <c r="L62"/>
      <c r="M62"/>
    </row>
    <row r="63" spans="1:13" ht="15" x14ac:dyDescent="0.25">
      <c r="A63"/>
      <c r="B63"/>
      <c r="C63" s="46"/>
      <c r="D63" s="46"/>
      <c r="E63" s="46"/>
      <c r="F63" s="46"/>
      <c r="G63" s="46"/>
      <c r="H63" s="46"/>
      <c r="I63" s="46"/>
      <c r="J63" s="46"/>
      <c r="K63"/>
      <c r="L63"/>
      <c r="M63"/>
    </row>
    <row r="64" spans="1:13" ht="15" x14ac:dyDescent="0.25">
      <c r="A64"/>
      <c r="B64"/>
      <c r="C64" s="46"/>
      <c r="D64" s="46"/>
      <c r="E64" s="46"/>
      <c r="F64" s="46"/>
      <c r="G64" s="46"/>
      <c r="H64" s="46"/>
      <c r="I64" s="46"/>
      <c r="J64" s="46"/>
      <c r="K64"/>
      <c r="L64"/>
      <c r="M64"/>
    </row>
    <row r="65" spans="1:13" ht="15" x14ac:dyDescent="0.25">
      <c r="A65"/>
      <c r="B65"/>
      <c r="C65" s="46"/>
      <c r="D65" s="46"/>
      <c r="E65" s="46"/>
      <c r="F65" s="46"/>
      <c r="G65" s="46"/>
      <c r="H65" s="46"/>
      <c r="I65" s="46"/>
      <c r="J65" s="46"/>
      <c r="K65"/>
      <c r="L65"/>
      <c r="M65"/>
    </row>
    <row r="66" spans="1:13" ht="15" x14ac:dyDescent="0.25">
      <c r="A66"/>
      <c r="B66"/>
      <c r="C66" s="46"/>
      <c r="D66" s="46"/>
      <c r="E66" s="46"/>
      <c r="F66" s="46"/>
      <c r="G66" s="46"/>
      <c r="H66" s="46"/>
      <c r="I66" s="46"/>
      <c r="J66" s="46"/>
      <c r="K66"/>
      <c r="L66"/>
      <c r="M66"/>
    </row>
    <row r="67" spans="1:13" ht="15" x14ac:dyDescent="0.25">
      <c r="A67"/>
      <c r="B67"/>
      <c r="C67" s="46"/>
      <c r="D67" s="46"/>
      <c r="E67" s="46"/>
      <c r="F67" s="46"/>
      <c r="G67" s="46"/>
      <c r="H67" s="46"/>
      <c r="I67" s="46"/>
      <c r="J67" s="46"/>
      <c r="K67"/>
      <c r="L67"/>
      <c r="M67"/>
    </row>
    <row r="68" spans="1:13" ht="15" x14ac:dyDescent="0.25">
      <c r="A68"/>
      <c r="B68"/>
      <c r="C68" s="46"/>
      <c r="D68" s="46"/>
      <c r="E68" s="46"/>
      <c r="F68" s="46"/>
      <c r="G68" s="46"/>
      <c r="H68" s="46"/>
      <c r="I68" s="46"/>
      <c r="J68" s="46"/>
      <c r="K68"/>
      <c r="L68"/>
      <c r="M68"/>
    </row>
    <row r="69" spans="1:13" ht="15" x14ac:dyDescent="0.25">
      <c r="A69"/>
      <c r="B69"/>
      <c r="C69" s="46"/>
      <c r="D69" s="46"/>
      <c r="E69" s="46"/>
      <c r="F69" s="46"/>
      <c r="G69" s="46"/>
      <c r="H69" s="46"/>
      <c r="I69" s="46"/>
      <c r="J69" s="46"/>
      <c r="K69"/>
      <c r="L69"/>
      <c r="M69"/>
    </row>
    <row r="70" spans="1:13" ht="15" x14ac:dyDescent="0.25">
      <c r="A70"/>
      <c r="B70"/>
      <c r="C70" s="46"/>
      <c r="D70" s="46"/>
      <c r="E70" s="46"/>
      <c r="F70" s="46"/>
      <c r="G70" s="46"/>
      <c r="H70" s="46"/>
      <c r="I70" s="46"/>
      <c r="J70" s="46"/>
      <c r="K70"/>
      <c r="L70"/>
      <c r="M70"/>
    </row>
    <row r="71" spans="1:13" ht="15" x14ac:dyDescent="0.25">
      <c r="A71"/>
      <c r="B71"/>
      <c r="C71" s="46"/>
      <c r="D71" s="46"/>
      <c r="E71" s="46"/>
      <c r="F71" s="46"/>
      <c r="G71" s="46"/>
      <c r="H71" s="46"/>
      <c r="I71" s="46"/>
      <c r="J71" s="46"/>
      <c r="K71"/>
      <c r="L71"/>
      <c r="M71"/>
    </row>
    <row r="72" spans="1:13" ht="15" x14ac:dyDescent="0.25">
      <c r="A72"/>
      <c r="B72"/>
      <c r="C72" s="46"/>
      <c r="D72" s="46"/>
      <c r="E72" s="46"/>
      <c r="F72" s="46"/>
      <c r="G72" s="46"/>
      <c r="H72" s="46"/>
      <c r="I72" s="46"/>
      <c r="J72" s="46"/>
      <c r="K72"/>
      <c r="L72"/>
      <c r="M72"/>
    </row>
    <row r="73" spans="1:13" ht="15" x14ac:dyDescent="0.25">
      <c r="A73"/>
      <c r="B73"/>
      <c r="C73" s="46"/>
      <c r="D73" s="46"/>
      <c r="E73" s="46"/>
      <c r="F73" s="46"/>
      <c r="G73" s="46"/>
      <c r="H73" s="46"/>
      <c r="I73" s="46"/>
      <c r="J73" s="46"/>
      <c r="K73"/>
      <c r="L73"/>
      <c r="M73"/>
    </row>
    <row r="74" spans="1:13" ht="15" x14ac:dyDescent="0.25">
      <c r="A74"/>
      <c r="B74"/>
      <c r="C74" s="46"/>
      <c r="D74" s="46"/>
      <c r="E74" s="46"/>
      <c r="F74" s="46"/>
      <c r="G74" s="46"/>
      <c r="H74" s="46"/>
      <c r="I74" s="46"/>
      <c r="J74" s="46"/>
      <c r="K74"/>
      <c r="L74"/>
      <c r="M74"/>
    </row>
    <row r="75" spans="1:13" ht="15" x14ac:dyDescent="0.25">
      <c r="A75"/>
      <c r="B75"/>
      <c r="C75" s="46"/>
      <c r="D75" s="46"/>
      <c r="E75" s="46"/>
      <c r="F75" s="46"/>
      <c r="G75" s="46"/>
      <c r="H75" s="46"/>
      <c r="I75" s="46"/>
      <c r="J75" s="46"/>
      <c r="K75"/>
      <c r="L75"/>
      <c r="M75"/>
    </row>
    <row r="76" spans="1:13" ht="15" x14ac:dyDescent="0.25">
      <c r="A76"/>
      <c r="B76"/>
      <c r="C76" s="46"/>
      <c r="D76" s="46"/>
      <c r="E76" s="46"/>
      <c r="F76" s="46"/>
      <c r="G76" s="46"/>
      <c r="H76" s="46"/>
      <c r="I76" s="46"/>
      <c r="J76" s="46"/>
      <c r="K76"/>
      <c r="L76"/>
      <c r="M76"/>
    </row>
    <row r="77" spans="1:13" ht="15" x14ac:dyDescent="0.25">
      <c r="A77"/>
      <c r="B77"/>
      <c r="C77" s="46"/>
      <c r="D77" s="46"/>
      <c r="E77" s="46"/>
      <c r="F77" s="46"/>
      <c r="G77" s="46"/>
      <c r="H77" s="46"/>
      <c r="I77" s="46"/>
      <c r="J77" s="46"/>
      <c r="K77"/>
      <c r="L77"/>
      <c r="M77"/>
    </row>
    <row r="78" spans="1:13" ht="15" x14ac:dyDescent="0.25">
      <c r="A78"/>
      <c r="B78"/>
      <c r="C78" s="46"/>
      <c r="D78" s="46"/>
      <c r="E78" s="46"/>
      <c r="F78" s="46"/>
      <c r="G78" s="46"/>
      <c r="H78" s="46"/>
      <c r="I78" s="46"/>
      <c r="J78" s="46"/>
      <c r="K78"/>
      <c r="L78"/>
      <c r="M78"/>
    </row>
    <row r="79" spans="1:13" ht="15" x14ac:dyDescent="0.25">
      <c r="A79"/>
      <c r="B79"/>
      <c r="C79" s="46"/>
      <c r="D79" s="46"/>
      <c r="E79" s="46"/>
      <c r="F79" s="46"/>
      <c r="G79" s="46"/>
      <c r="H79" s="46"/>
      <c r="I79" s="46"/>
      <c r="J79" s="46"/>
      <c r="K79"/>
      <c r="L79"/>
      <c r="M79"/>
    </row>
    <row r="80" spans="1:13" ht="15" x14ac:dyDescent="0.25">
      <c r="A80"/>
      <c r="B80"/>
      <c r="C80" s="46"/>
      <c r="D80" s="46"/>
      <c r="E80" s="46"/>
      <c r="F80" s="46"/>
      <c r="G80" s="46"/>
      <c r="H80" s="46"/>
      <c r="I80" s="46"/>
      <c r="J80" s="46"/>
      <c r="K80"/>
      <c r="L80"/>
      <c r="M80"/>
    </row>
    <row r="81" spans="1:13" ht="15" x14ac:dyDescent="0.25">
      <c r="A81"/>
      <c r="B81"/>
      <c r="C81" s="46"/>
      <c r="D81" s="46"/>
      <c r="E81" s="46"/>
      <c r="F81" s="46"/>
      <c r="G81" s="46"/>
      <c r="H81" s="46"/>
      <c r="I81" s="46"/>
      <c r="J81" s="46"/>
      <c r="K81"/>
      <c r="L81"/>
      <c r="M81"/>
    </row>
    <row r="82" spans="1:13" ht="15" x14ac:dyDescent="0.25">
      <c r="A82"/>
      <c r="B82"/>
      <c r="C82" s="46"/>
      <c r="D82" s="46"/>
      <c r="E82" s="46"/>
      <c r="F82" s="46"/>
      <c r="G82" s="46"/>
      <c r="H82" s="46"/>
      <c r="I82" s="46"/>
      <c r="J82" s="46"/>
      <c r="K82"/>
      <c r="L82"/>
      <c r="M82"/>
    </row>
    <row r="83" spans="1:13" ht="15" x14ac:dyDescent="0.25">
      <c r="A83"/>
      <c r="B83"/>
      <c r="C83" s="46"/>
      <c r="D83" s="46"/>
      <c r="E83" s="46"/>
      <c r="F83" s="46"/>
      <c r="G83" s="46"/>
      <c r="H83" s="46"/>
      <c r="I83" s="46"/>
      <c r="J83" s="46"/>
      <c r="K83"/>
      <c r="L83"/>
      <c r="M83"/>
    </row>
    <row r="84" spans="1:13" ht="15" x14ac:dyDescent="0.25">
      <c r="A84"/>
      <c r="B84"/>
      <c r="C84" s="46"/>
      <c r="D84" s="46"/>
      <c r="E84" s="46"/>
      <c r="F84" s="46"/>
      <c r="G84" s="46"/>
      <c r="H84" s="46"/>
      <c r="I84" s="46"/>
      <c r="J84" s="46"/>
      <c r="K84"/>
      <c r="L84"/>
      <c r="M84"/>
    </row>
    <row r="85" spans="1:13" ht="15" x14ac:dyDescent="0.25">
      <c r="A85"/>
      <c r="B85"/>
      <c r="C85" s="46"/>
      <c r="D85" s="46"/>
      <c r="E85" s="46"/>
      <c r="F85" s="46"/>
      <c r="G85" s="46"/>
      <c r="H85" s="46"/>
      <c r="I85" s="46"/>
      <c r="J85" s="46"/>
      <c r="K85"/>
      <c r="L85"/>
      <c r="M85"/>
    </row>
    <row r="86" spans="1:13" ht="15" x14ac:dyDescent="0.25">
      <c r="A86"/>
      <c r="B86"/>
      <c r="C86" s="46"/>
      <c r="D86" s="46"/>
      <c r="E86" s="46"/>
      <c r="F86" s="46"/>
      <c r="G86" s="46"/>
      <c r="H86" s="46"/>
      <c r="I86" s="46"/>
      <c r="J86" s="46"/>
      <c r="K86"/>
      <c r="L86"/>
      <c r="M86"/>
    </row>
    <row r="87" spans="1:13" ht="15" x14ac:dyDescent="0.25">
      <c r="A87"/>
      <c r="B87"/>
      <c r="C87" s="46"/>
      <c r="D87" s="46"/>
      <c r="E87" s="46"/>
      <c r="F87" s="46"/>
      <c r="G87" s="46"/>
      <c r="H87" s="46"/>
      <c r="I87" s="46"/>
      <c r="J87" s="46"/>
      <c r="K87"/>
      <c r="L87"/>
      <c r="M87"/>
    </row>
    <row r="88" spans="1:13" ht="15" x14ac:dyDescent="0.25">
      <c r="A88"/>
      <c r="B88"/>
      <c r="C88" s="46"/>
      <c r="D88" s="46"/>
      <c r="E88" s="46"/>
      <c r="F88" s="46"/>
      <c r="G88" s="46"/>
      <c r="H88" s="46"/>
      <c r="I88" s="46"/>
      <c r="J88" s="46"/>
      <c r="K88"/>
      <c r="L88"/>
      <c r="M88"/>
    </row>
    <row r="89" spans="1:13" ht="15" x14ac:dyDescent="0.25">
      <c r="A89"/>
      <c r="B89"/>
      <c r="C89" s="46"/>
      <c r="D89" s="46"/>
      <c r="E89" s="46"/>
      <c r="F89" s="46"/>
      <c r="G89" s="46"/>
      <c r="H89" s="46"/>
      <c r="I89" s="46"/>
      <c r="J89" s="46"/>
      <c r="K89"/>
      <c r="L89"/>
      <c r="M89"/>
    </row>
    <row r="90" spans="1:13" ht="15" x14ac:dyDescent="0.25">
      <c r="A90"/>
      <c r="B90"/>
      <c r="C90" s="46"/>
      <c r="D90" s="46"/>
      <c r="E90" s="46"/>
      <c r="F90" s="46"/>
      <c r="G90" s="46"/>
      <c r="H90" s="46"/>
      <c r="I90" s="46"/>
      <c r="J90" s="46"/>
      <c r="K90"/>
      <c r="L90"/>
      <c r="M90"/>
    </row>
    <row r="91" spans="1:13" ht="15" x14ac:dyDescent="0.25">
      <c r="A91"/>
      <c r="B91"/>
      <c r="C91" s="46"/>
      <c r="D91" s="46"/>
      <c r="E91" s="46"/>
      <c r="F91" s="46"/>
      <c r="G91" s="46"/>
      <c r="H91" s="46"/>
      <c r="I91" s="46"/>
      <c r="J91" s="46"/>
      <c r="K91"/>
      <c r="L91"/>
      <c r="M91"/>
    </row>
    <row r="92" spans="1:13" ht="15" x14ac:dyDescent="0.25">
      <c r="A92"/>
      <c r="B92"/>
      <c r="C92" s="46"/>
      <c r="D92" s="46"/>
      <c r="E92" s="46"/>
      <c r="F92" s="46"/>
      <c r="G92" s="46"/>
      <c r="H92" s="46"/>
      <c r="I92" s="46"/>
      <c r="J92" s="46"/>
      <c r="K92"/>
      <c r="L92"/>
      <c r="M92"/>
    </row>
    <row r="93" spans="1:13" ht="15" x14ac:dyDescent="0.25">
      <c r="A93"/>
      <c r="B93"/>
      <c r="C93" s="46"/>
      <c r="D93" s="46"/>
      <c r="E93" s="46"/>
      <c r="F93" s="46"/>
      <c r="G93" s="46"/>
      <c r="H93" s="46"/>
      <c r="I93" s="46"/>
      <c r="J93" s="46"/>
      <c r="K93"/>
      <c r="L93"/>
      <c r="M93"/>
    </row>
    <row r="94" spans="1:13" ht="15" x14ac:dyDescent="0.25">
      <c r="A94"/>
      <c r="B94"/>
      <c r="C94" s="46"/>
      <c r="D94" s="46"/>
      <c r="E94" s="46"/>
      <c r="F94" s="46"/>
      <c r="G94" s="46"/>
      <c r="H94" s="46"/>
      <c r="I94" s="46"/>
      <c r="J94" s="46"/>
      <c r="K94"/>
      <c r="L94"/>
      <c r="M94"/>
    </row>
    <row r="95" spans="1:13" ht="15" x14ac:dyDescent="0.25">
      <c r="A95"/>
      <c r="B95"/>
      <c r="C95" s="46"/>
      <c r="D95" s="46"/>
      <c r="E95" s="46"/>
      <c r="F95" s="46"/>
      <c r="G95" s="46"/>
      <c r="H95" s="46"/>
      <c r="I95" s="46"/>
      <c r="J95" s="46"/>
      <c r="K95"/>
      <c r="L95"/>
      <c r="M95"/>
    </row>
    <row r="96" spans="1:13" ht="15" x14ac:dyDescent="0.25">
      <c r="A96"/>
      <c r="B96"/>
      <c r="C96" s="46"/>
      <c r="D96" s="46"/>
      <c r="E96" s="46"/>
      <c r="F96" s="46"/>
      <c r="G96" s="46"/>
      <c r="H96" s="46"/>
      <c r="I96" s="46"/>
      <c r="J96" s="46"/>
      <c r="K96"/>
      <c r="L96"/>
      <c r="M96"/>
    </row>
    <row r="97" spans="1:13" ht="15" x14ac:dyDescent="0.25">
      <c r="A97"/>
      <c r="B97"/>
      <c r="C97" s="46"/>
      <c r="D97" s="46"/>
      <c r="E97" s="46"/>
      <c r="F97" s="46"/>
      <c r="G97" s="46"/>
      <c r="H97" s="46"/>
      <c r="I97" s="46"/>
      <c r="J97" s="46"/>
      <c r="K97"/>
      <c r="L97"/>
      <c r="M97"/>
    </row>
    <row r="98" spans="1:13" ht="15" x14ac:dyDescent="0.25">
      <c r="A98"/>
      <c r="B98"/>
      <c r="C98" s="46"/>
      <c r="D98" s="46"/>
      <c r="E98" s="46"/>
      <c r="F98" s="46"/>
      <c r="G98" s="46"/>
      <c r="H98" s="46"/>
      <c r="I98" s="46"/>
      <c r="J98" s="46"/>
      <c r="K98"/>
      <c r="L98"/>
      <c r="M98"/>
    </row>
    <row r="99" spans="1:13" ht="15" x14ac:dyDescent="0.25">
      <c r="A99"/>
      <c r="B99"/>
      <c r="C99" s="46"/>
      <c r="D99" s="46"/>
      <c r="E99" s="46"/>
      <c r="F99" s="46"/>
      <c r="G99" s="46"/>
      <c r="H99" s="46"/>
      <c r="I99" s="46"/>
      <c r="J99" s="46"/>
      <c r="K99"/>
      <c r="L99"/>
      <c r="M99"/>
    </row>
    <row r="100" spans="1:13" ht="15" x14ac:dyDescent="0.25">
      <c r="A100"/>
      <c r="B100"/>
      <c r="C100" s="46"/>
      <c r="D100" s="46"/>
      <c r="E100" s="46"/>
      <c r="F100" s="46"/>
      <c r="G100" s="46"/>
      <c r="H100" s="46"/>
      <c r="I100" s="46"/>
      <c r="J100" s="46"/>
      <c r="K100"/>
      <c r="L100"/>
      <c r="M100"/>
    </row>
    <row r="101" spans="1:13" ht="15" x14ac:dyDescent="0.25">
      <c r="A101"/>
      <c r="B101"/>
      <c r="C101" s="46"/>
      <c r="D101" s="46"/>
      <c r="E101" s="46"/>
      <c r="F101" s="46"/>
      <c r="G101" s="46"/>
      <c r="H101" s="46"/>
      <c r="I101" s="46"/>
      <c r="J101" s="46"/>
      <c r="K101"/>
      <c r="L101"/>
      <c r="M101"/>
    </row>
    <row r="102" spans="1:13" ht="15" x14ac:dyDescent="0.25">
      <c r="A102"/>
      <c r="B102"/>
      <c r="C102" s="46"/>
      <c r="D102" s="46"/>
      <c r="E102" s="46"/>
      <c r="F102" s="46"/>
      <c r="G102" s="46"/>
      <c r="H102" s="46"/>
      <c r="I102" s="46"/>
      <c r="J102" s="46"/>
      <c r="K102"/>
      <c r="L102"/>
      <c r="M102"/>
    </row>
    <row r="103" spans="1:13" ht="15" x14ac:dyDescent="0.25">
      <c r="A103"/>
      <c r="B103"/>
      <c r="C103" s="46"/>
      <c r="D103" s="46"/>
      <c r="E103" s="46"/>
      <c r="F103" s="46"/>
      <c r="G103" s="46"/>
      <c r="H103" s="46"/>
      <c r="I103" s="46"/>
      <c r="J103" s="46"/>
      <c r="K103"/>
      <c r="L103"/>
      <c r="M103"/>
    </row>
    <row r="104" spans="1:13" ht="15" x14ac:dyDescent="0.25">
      <c r="A104"/>
      <c r="B104"/>
      <c r="C104" s="46"/>
      <c r="D104" s="46"/>
      <c r="E104" s="46"/>
      <c r="F104" s="46"/>
      <c r="G104" s="46"/>
      <c r="H104" s="46"/>
      <c r="I104" s="46"/>
      <c r="J104" s="46"/>
      <c r="K104"/>
      <c r="L104"/>
      <c r="M104"/>
    </row>
    <row r="105" spans="1:13" ht="15" x14ac:dyDescent="0.25">
      <c r="A105"/>
      <c r="B105"/>
      <c r="C105" s="46"/>
      <c r="D105" s="46"/>
      <c r="E105" s="46"/>
      <c r="F105" s="46"/>
      <c r="G105" s="46"/>
      <c r="H105" s="46"/>
      <c r="I105" s="46"/>
      <c r="J105" s="46"/>
      <c r="K105"/>
      <c r="L105"/>
      <c r="M105"/>
    </row>
    <row r="106" spans="1:13" ht="15" x14ac:dyDescent="0.25">
      <c r="A106"/>
      <c r="B106"/>
      <c r="C106" s="46"/>
      <c r="D106" s="46"/>
      <c r="E106" s="46"/>
      <c r="F106" s="46"/>
      <c r="G106" s="46"/>
      <c r="H106" s="46"/>
      <c r="I106" s="46"/>
      <c r="J106" s="46"/>
      <c r="K106"/>
      <c r="L106"/>
      <c r="M106"/>
    </row>
    <row r="107" spans="1:13" ht="15" x14ac:dyDescent="0.25">
      <c r="A107"/>
      <c r="B107"/>
      <c r="C107" s="46"/>
      <c r="D107" s="46"/>
      <c r="E107" s="46"/>
      <c r="F107" s="46"/>
      <c r="G107" s="46"/>
      <c r="H107" s="46"/>
      <c r="I107" s="46"/>
      <c r="J107" s="46"/>
      <c r="K107"/>
      <c r="L107"/>
      <c r="M107"/>
    </row>
    <row r="108" spans="1:13" ht="15" x14ac:dyDescent="0.25">
      <c r="A108"/>
      <c r="B108"/>
      <c r="C108" s="46"/>
      <c r="D108" s="46"/>
      <c r="E108" s="46"/>
      <c r="F108" s="46"/>
      <c r="G108" s="46"/>
      <c r="H108" s="46"/>
      <c r="I108" s="46"/>
      <c r="J108" s="46"/>
      <c r="K108"/>
      <c r="L108"/>
      <c r="M108"/>
    </row>
    <row r="109" spans="1:13" ht="15" x14ac:dyDescent="0.25">
      <c r="A109"/>
      <c r="B109"/>
      <c r="C109" s="46"/>
      <c r="D109" s="46"/>
      <c r="E109" s="46"/>
      <c r="F109" s="46"/>
      <c r="G109" s="46"/>
      <c r="H109" s="46"/>
      <c r="I109" s="46"/>
      <c r="J109" s="46"/>
      <c r="K109"/>
      <c r="L109"/>
      <c r="M109"/>
    </row>
    <row r="110" spans="1:13" ht="15" x14ac:dyDescent="0.25">
      <c r="A110"/>
      <c r="B110"/>
      <c r="C110" s="46"/>
      <c r="D110" s="46"/>
      <c r="E110" s="46"/>
      <c r="F110" s="46"/>
      <c r="G110" s="46"/>
      <c r="H110" s="46"/>
      <c r="I110" s="46"/>
      <c r="J110" s="46"/>
      <c r="K110"/>
      <c r="L110"/>
      <c r="M110"/>
    </row>
    <row r="111" spans="1:13" ht="15" x14ac:dyDescent="0.25">
      <c r="A111"/>
      <c r="B111"/>
      <c r="C111" s="46"/>
      <c r="D111" s="46"/>
      <c r="E111" s="46"/>
      <c r="F111" s="46"/>
      <c r="G111" s="46"/>
      <c r="H111" s="46"/>
      <c r="I111" s="46"/>
      <c r="J111" s="46"/>
      <c r="K111"/>
      <c r="L111"/>
      <c r="M111"/>
    </row>
    <row r="112" spans="1:13" ht="15" x14ac:dyDescent="0.25">
      <c r="A112"/>
      <c r="B112"/>
      <c r="C112" s="46"/>
      <c r="D112" s="46"/>
      <c r="E112" s="46"/>
      <c r="F112" s="46"/>
      <c r="G112" s="46"/>
      <c r="H112" s="46"/>
      <c r="I112" s="46"/>
      <c r="J112" s="46"/>
      <c r="K112"/>
      <c r="L112"/>
      <c r="M112"/>
    </row>
    <row r="113" spans="1:13" ht="15" x14ac:dyDescent="0.25">
      <c r="A113"/>
      <c r="B113"/>
      <c r="C113" s="46"/>
      <c r="D113" s="46"/>
      <c r="E113" s="46"/>
      <c r="F113" s="46"/>
      <c r="G113" s="46"/>
      <c r="H113" s="46"/>
      <c r="I113" s="46"/>
      <c r="J113" s="46"/>
      <c r="K113"/>
      <c r="L113"/>
      <c r="M113"/>
    </row>
    <row r="114" spans="1:13" ht="15" x14ac:dyDescent="0.25">
      <c r="A114"/>
      <c r="B114"/>
      <c r="C114" s="46"/>
      <c r="D114" s="46"/>
      <c r="E114" s="46"/>
      <c r="F114" s="46"/>
      <c r="G114" s="46"/>
      <c r="H114" s="46"/>
      <c r="I114" s="46"/>
      <c r="J114" s="46"/>
      <c r="K114"/>
      <c r="L114"/>
      <c r="M114"/>
    </row>
    <row r="115" spans="1:13" ht="15" x14ac:dyDescent="0.25">
      <c r="A115"/>
      <c r="B115"/>
      <c r="C115" s="46"/>
      <c r="D115" s="46"/>
      <c r="E115" s="46"/>
      <c r="F115" s="46"/>
      <c r="G115" s="46"/>
      <c r="H115" s="46"/>
      <c r="I115" s="46"/>
      <c r="J115" s="46"/>
      <c r="K115"/>
      <c r="L115"/>
      <c r="M115"/>
    </row>
    <row r="116" spans="1:13" ht="15" x14ac:dyDescent="0.25">
      <c r="A116"/>
      <c r="B116"/>
      <c r="C116" s="46"/>
      <c r="D116" s="46"/>
      <c r="E116" s="46"/>
      <c r="F116" s="46"/>
      <c r="G116" s="46"/>
      <c r="H116" s="46"/>
      <c r="I116" s="46"/>
      <c r="J116" s="46"/>
      <c r="K116"/>
      <c r="L116"/>
      <c r="M116"/>
    </row>
    <row r="117" spans="1:13" ht="15" x14ac:dyDescent="0.25">
      <c r="A117"/>
      <c r="B117"/>
      <c r="C117" s="46"/>
      <c r="D117" s="46"/>
      <c r="E117" s="46"/>
      <c r="F117" s="46"/>
      <c r="G117" s="46"/>
      <c r="H117" s="46"/>
      <c r="I117" s="46"/>
      <c r="J117" s="46"/>
      <c r="K117"/>
      <c r="L117"/>
      <c r="M117"/>
    </row>
    <row r="118" spans="1:13" ht="15" x14ac:dyDescent="0.25">
      <c r="A118"/>
      <c r="B118"/>
      <c r="C118" s="46"/>
      <c r="D118" s="46"/>
      <c r="E118" s="46"/>
      <c r="F118" s="46"/>
      <c r="G118" s="46"/>
      <c r="H118" s="46"/>
      <c r="I118" s="46"/>
      <c r="J118" s="46"/>
      <c r="K118"/>
      <c r="L118"/>
      <c r="M118"/>
    </row>
    <row r="119" spans="1:13" ht="15" x14ac:dyDescent="0.25">
      <c r="A119"/>
      <c r="B119"/>
      <c r="C119" s="46"/>
      <c r="D119" s="46"/>
      <c r="E119" s="46"/>
      <c r="F119" s="46"/>
      <c r="G119" s="46"/>
      <c r="H119" s="46"/>
      <c r="I119" s="46"/>
      <c r="J119" s="46"/>
      <c r="K119"/>
      <c r="L119"/>
      <c r="M119"/>
    </row>
    <row r="120" spans="1:13" ht="15" x14ac:dyDescent="0.25">
      <c r="A120"/>
      <c r="B120"/>
      <c r="C120" s="46"/>
      <c r="D120" s="46"/>
      <c r="E120" s="46"/>
      <c r="F120" s="46"/>
      <c r="G120" s="46"/>
      <c r="H120" s="46"/>
      <c r="I120" s="46"/>
      <c r="J120" s="46"/>
      <c r="K120"/>
      <c r="L120"/>
      <c r="M120"/>
    </row>
    <row r="121" spans="1:13" ht="15" x14ac:dyDescent="0.25">
      <c r="A121"/>
      <c r="B121"/>
      <c r="C121" s="46"/>
      <c r="D121" s="46"/>
      <c r="E121" s="46"/>
      <c r="F121" s="46"/>
      <c r="G121" s="46"/>
      <c r="H121" s="46"/>
      <c r="I121" s="46"/>
      <c r="J121" s="46"/>
      <c r="K121"/>
      <c r="L121"/>
      <c r="M121"/>
    </row>
    <row r="122" spans="1:13" ht="15" x14ac:dyDescent="0.25">
      <c r="A122"/>
      <c r="B122"/>
      <c r="C122" s="46"/>
      <c r="D122" s="46"/>
      <c r="E122" s="46"/>
      <c r="F122" s="46"/>
      <c r="G122" s="46"/>
      <c r="H122" s="46"/>
      <c r="I122" s="46"/>
      <c r="J122" s="46"/>
      <c r="K122"/>
      <c r="L122"/>
      <c r="M122"/>
    </row>
    <row r="123" spans="1:13" ht="15" x14ac:dyDescent="0.25">
      <c r="A123"/>
      <c r="B123"/>
      <c r="C123" s="46"/>
      <c r="D123" s="46"/>
      <c r="E123" s="46"/>
      <c r="F123" s="46"/>
      <c r="G123" s="46"/>
      <c r="H123" s="46"/>
      <c r="I123" s="46"/>
      <c r="J123" s="46"/>
      <c r="K123"/>
      <c r="L123"/>
      <c r="M123"/>
    </row>
    <row r="124" spans="1:13" ht="15" x14ac:dyDescent="0.25">
      <c r="A124"/>
      <c r="B124"/>
      <c r="C124" s="46"/>
      <c r="D124" s="46"/>
      <c r="E124" s="46"/>
      <c r="F124" s="46"/>
      <c r="G124" s="46"/>
      <c r="H124" s="46"/>
      <c r="I124" s="46"/>
      <c r="J124" s="46"/>
      <c r="K124"/>
      <c r="L124"/>
      <c r="M124"/>
    </row>
    <row r="125" spans="1:13" ht="15" x14ac:dyDescent="0.25">
      <c r="A125"/>
      <c r="B125"/>
      <c r="C125" s="46"/>
      <c r="D125" s="46"/>
      <c r="E125" s="46"/>
      <c r="F125" s="46"/>
      <c r="G125" s="46"/>
      <c r="H125" s="46"/>
      <c r="I125" s="46"/>
      <c r="J125" s="46"/>
      <c r="K125"/>
      <c r="L125"/>
      <c r="M125"/>
    </row>
    <row r="126" spans="1:13" ht="15" x14ac:dyDescent="0.25">
      <c r="A126"/>
      <c r="B126"/>
      <c r="C126" s="46"/>
      <c r="D126" s="46"/>
      <c r="E126" s="46"/>
      <c r="F126" s="46"/>
      <c r="G126" s="46"/>
      <c r="H126" s="46"/>
      <c r="I126" s="46"/>
      <c r="J126" s="46"/>
      <c r="K126"/>
      <c r="L126"/>
      <c r="M126"/>
    </row>
    <row r="127" spans="1:13" ht="15" x14ac:dyDescent="0.25">
      <c r="A127"/>
      <c r="B127"/>
      <c r="C127" s="46"/>
      <c r="D127" s="46"/>
      <c r="E127" s="46"/>
      <c r="F127" s="46"/>
      <c r="G127" s="46"/>
      <c r="H127" s="46"/>
      <c r="I127" s="46"/>
      <c r="J127" s="46"/>
      <c r="K127"/>
      <c r="L127"/>
      <c r="M127"/>
    </row>
    <row r="128" spans="1:13" ht="15" x14ac:dyDescent="0.25">
      <c r="A128"/>
      <c r="B128"/>
      <c r="C128" s="46"/>
      <c r="D128" s="46"/>
      <c r="E128" s="46"/>
      <c r="F128" s="46"/>
      <c r="G128" s="46"/>
      <c r="H128" s="46"/>
      <c r="I128" s="46"/>
      <c r="J128" s="46"/>
      <c r="K128"/>
      <c r="L128"/>
      <c r="M128"/>
    </row>
    <row r="129" spans="1:13" ht="15" x14ac:dyDescent="0.25">
      <c r="A129"/>
      <c r="B129"/>
      <c r="C129" s="46"/>
      <c r="D129" s="46"/>
      <c r="E129" s="46"/>
      <c r="F129" s="46"/>
      <c r="G129" s="46"/>
      <c r="H129" s="46"/>
      <c r="I129" s="46"/>
      <c r="J129" s="46"/>
      <c r="K129"/>
      <c r="L129"/>
      <c r="M129"/>
    </row>
    <row r="130" spans="1:13" ht="15" x14ac:dyDescent="0.25">
      <c r="A130"/>
      <c r="B130"/>
      <c r="C130" s="46"/>
      <c r="D130" s="46"/>
      <c r="E130" s="46"/>
      <c r="F130" s="46"/>
      <c r="G130" s="46"/>
      <c r="H130" s="46"/>
      <c r="I130" s="46"/>
      <c r="J130" s="46"/>
      <c r="K130"/>
      <c r="L130"/>
      <c r="M130"/>
    </row>
    <row r="131" spans="1:13" ht="15" x14ac:dyDescent="0.25">
      <c r="A131"/>
      <c r="B131"/>
      <c r="C131" s="46"/>
      <c r="D131" s="46"/>
      <c r="E131" s="46"/>
      <c r="F131" s="46"/>
      <c r="G131" s="46"/>
      <c r="H131" s="46"/>
      <c r="I131" s="46"/>
      <c r="J131" s="46"/>
      <c r="K131"/>
      <c r="L131"/>
      <c r="M131"/>
    </row>
    <row r="132" spans="1:13" ht="15" x14ac:dyDescent="0.25">
      <c r="A132"/>
      <c r="B132"/>
      <c r="C132" s="46"/>
      <c r="D132" s="46"/>
      <c r="E132" s="46"/>
      <c r="F132" s="46"/>
      <c r="G132" s="46"/>
      <c r="H132" s="46"/>
      <c r="I132" s="46"/>
      <c r="J132" s="46"/>
      <c r="K132"/>
      <c r="L132"/>
      <c r="M132"/>
    </row>
    <row r="133" spans="1:13" ht="15" x14ac:dyDescent="0.25">
      <c r="A133"/>
      <c r="B133"/>
      <c r="C133" s="46"/>
      <c r="D133" s="46"/>
      <c r="E133" s="46"/>
      <c r="F133" s="46"/>
      <c r="G133" s="46"/>
      <c r="H133" s="46"/>
      <c r="I133" s="46"/>
      <c r="J133" s="46"/>
      <c r="K133"/>
      <c r="L133"/>
      <c r="M133"/>
    </row>
    <row r="134" spans="1:13" ht="15" x14ac:dyDescent="0.25">
      <c r="A134"/>
      <c r="B134"/>
      <c r="C134" s="46"/>
      <c r="D134" s="46"/>
      <c r="E134" s="46"/>
      <c r="F134" s="46"/>
      <c r="G134" s="46"/>
      <c r="H134" s="46"/>
      <c r="I134" s="46"/>
      <c r="J134" s="46"/>
      <c r="K134"/>
      <c r="L134"/>
      <c r="M134"/>
    </row>
    <row r="135" spans="1:13" ht="15" x14ac:dyDescent="0.25">
      <c r="A135"/>
      <c r="B135"/>
      <c r="C135" s="46"/>
      <c r="D135" s="46"/>
      <c r="E135" s="46"/>
      <c r="F135" s="46"/>
      <c r="G135" s="46"/>
      <c r="H135" s="46"/>
      <c r="I135" s="46"/>
      <c r="J135" s="46"/>
      <c r="K135"/>
      <c r="L135"/>
      <c r="M135"/>
    </row>
    <row r="136" spans="1:13" ht="15" x14ac:dyDescent="0.25">
      <c r="A136"/>
      <c r="B136"/>
      <c r="C136" s="46"/>
      <c r="D136" s="46"/>
      <c r="E136" s="46"/>
      <c r="F136" s="46"/>
      <c r="G136" s="46"/>
      <c r="H136" s="46"/>
      <c r="I136" s="46"/>
      <c r="J136" s="46"/>
      <c r="K136"/>
      <c r="L136"/>
      <c r="M136"/>
    </row>
    <row r="137" spans="1:13" ht="15" x14ac:dyDescent="0.25">
      <c r="A137"/>
      <c r="B137"/>
      <c r="C137" s="46"/>
      <c r="D137" s="46"/>
      <c r="E137" s="46"/>
      <c r="F137" s="46"/>
      <c r="G137" s="46"/>
      <c r="H137" s="46"/>
      <c r="I137" s="46"/>
      <c r="J137" s="46"/>
      <c r="K137"/>
      <c r="L137"/>
      <c r="M137"/>
    </row>
    <row r="138" spans="1:13" ht="15" x14ac:dyDescent="0.25">
      <c r="A138"/>
      <c r="B138"/>
      <c r="C138" s="46"/>
      <c r="D138" s="46"/>
      <c r="E138" s="46"/>
      <c r="F138" s="46"/>
      <c r="G138" s="46"/>
      <c r="H138" s="46"/>
      <c r="I138" s="46"/>
      <c r="J138" s="46"/>
      <c r="K138"/>
      <c r="L138"/>
      <c r="M138"/>
    </row>
    <row r="139" spans="1:13" ht="15" x14ac:dyDescent="0.25">
      <c r="A139"/>
      <c r="B139"/>
      <c r="C139" s="46"/>
      <c r="D139" s="46"/>
      <c r="E139" s="46"/>
      <c r="F139" s="46"/>
      <c r="G139" s="46"/>
      <c r="H139" s="46"/>
      <c r="I139" s="46"/>
      <c r="J139" s="46"/>
      <c r="K139"/>
      <c r="L139"/>
      <c r="M139"/>
    </row>
    <row r="140" spans="1:13" ht="15" x14ac:dyDescent="0.25">
      <c r="A140"/>
      <c r="B140"/>
      <c r="C140" s="46"/>
      <c r="D140" s="46"/>
      <c r="E140" s="46"/>
      <c r="F140" s="46"/>
      <c r="G140" s="46"/>
      <c r="H140" s="46"/>
      <c r="I140" s="46"/>
      <c r="J140" s="46"/>
      <c r="K140"/>
      <c r="L140"/>
      <c r="M140"/>
    </row>
    <row r="141" spans="1:13" ht="15" x14ac:dyDescent="0.25">
      <c r="A141"/>
      <c r="B141"/>
      <c r="C141" s="46"/>
      <c r="D141" s="46"/>
      <c r="E141" s="46"/>
      <c r="F141" s="46"/>
      <c r="G141" s="46"/>
      <c r="H141" s="46"/>
      <c r="I141" s="46"/>
      <c r="J141" s="46"/>
      <c r="K141"/>
      <c r="L141"/>
      <c r="M141"/>
    </row>
    <row r="142" spans="1:13" ht="15" x14ac:dyDescent="0.25">
      <c r="A142"/>
      <c r="B142"/>
      <c r="C142" s="46"/>
      <c r="D142" s="46"/>
      <c r="E142" s="46"/>
      <c r="F142" s="46"/>
      <c r="G142" s="46"/>
      <c r="H142" s="46"/>
      <c r="I142" s="46"/>
      <c r="J142" s="46"/>
      <c r="K142"/>
      <c r="L142"/>
      <c r="M142"/>
    </row>
    <row r="143" spans="1:13" ht="15" x14ac:dyDescent="0.25">
      <c r="A143"/>
      <c r="B143"/>
      <c r="C143" s="46"/>
      <c r="D143" s="46"/>
      <c r="E143" s="46"/>
      <c r="F143" s="46"/>
      <c r="G143" s="46"/>
      <c r="H143" s="46"/>
      <c r="I143" s="46"/>
      <c r="J143" s="46"/>
      <c r="K143"/>
      <c r="L143"/>
      <c r="M143"/>
    </row>
    <row r="144" spans="1:13" ht="15" x14ac:dyDescent="0.25">
      <c r="A144"/>
      <c r="B144"/>
      <c r="C144" s="46"/>
      <c r="D144" s="46"/>
      <c r="E144" s="46"/>
      <c r="F144" s="46"/>
      <c r="G144" s="46"/>
      <c r="H144" s="46"/>
      <c r="I144" s="46"/>
      <c r="J144" s="46"/>
      <c r="K144"/>
      <c r="L144"/>
      <c r="M144"/>
    </row>
    <row r="145" spans="1:13" ht="15" x14ac:dyDescent="0.25">
      <c r="A145"/>
      <c r="B145"/>
      <c r="C145" s="46"/>
      <c r="D145" s="46"/>
      <c r="E145" s="46"/>
      <c r="F145" s="46"/>
      <c r="G145" s="46"/>
      <c r="H145" s="46"/>
      <c r="I145" s="46"/>
      <c r="J145" s="46"/>
      <c r="K145"/>
      <c r="L145"/>
      <c r="M145"/>
    </row>
    <row r="146" spans="1:13" ht="15" x14ac:dyDescent="0.25">
      <c r="A146"/>
      <c r="B146"/>
      <c r="C146" s="46"/>
      <c r="D146" s="46"/>
      <c r="E146" s="46"/>
      <c r="F146" s="46"/>
      <c r="G146" s="46"/>
      <c r="H146" s="46"/>
      <c r="I146" s="46"/>
      <c r="J146" s="46"/>
      <c r="K146"/>
      <c r="L146"/>
      <c r="M146"/>
    </row>
    <row r="147" spans="1:13" ht="15" x14ac:dyDescent="0.25">
      <c r="A147"/>
      <c r="B147"/>
      <c r="C147" s="46"/>
      <c r="D147" s="46"/>
      <c r="E147" s="46"/>
      <c r="F147" s="46"/>
      <c r="G147" s="46"/>
      <c r="H147" s="46"/>
      <c r="I147" s="46"/>
      <c r="J147" s="46"/>
      <c r="K147"/>
      <c r="L147"/>
      <c r="M147"/>
    </row>
    <row r="148" spans="1:13" ht="15" x14ac:dyDescent="0.25">
      <c r="A148"/>
      <c r="B148"/>
      <c r="C148" s="46"/>
      <c r="D148" s="46"/>
      <c r="E148" s="46"/>
      <c r="F148" s="46"/>
      <c r="G148" s="46"/>
      <c r="H148" s="46"/>
      <c r="I148" s="46"/>
      <c r="J148" s="46"/>
      <c r="K148"/>
      <c r="L148"/>
      <c r="M148"/>
    </row>
    <row r="149" spans="1:13" ht="15" x14ac:dyDescent="0.25">
      <c r="A149"/>
      <c r="B149"/>
      <c r="C149" s="46"/>
      <c r="D149" s="46"/>
      <c r="E149" s="46"/>
      <c r="F149" s="46"/>
      <c r="G149" s="46"/>
      <c r="H149" s="46"/>
      <c r="I149" s="46"/>
      <c r="J149" s="46"/>
      <c r="K149"/>
      <c r="L149"/>
      <c r="M149"/>
    </row>
    <row r="150" spans="1:13" ht="15" x14ac:dyDescent="0.25">
      <c r="A150"/>
      <c r="B150"/>
      <c r="C150" s="46"/>
      <c r="D150" s="46"/>
      <c r="E150" s="46"/>
      <c r="F150" s="46"/>
      <c r="G150" s="46"/>
      <c r="H150" s="46"/>
      <c r="I150" s="46"/>
      <c r="J150" s="46"/>
      <c r="K150"/>
      <c r="L150"/>
      <c r="M150"/>
    </row>
    <row r="151" spans="1:13" ht="15" x14ac:dyDescent="0.25">
      <c r="A151"/>
      <c r="B151"/>
      <c r="C151" s="46"/>
      <c r="D151" s="46"/>
      <c r="E151" s="46"/>
      <c r="F151" s="46"/>
      <c r="G151" s="46"/>
      <c r="H151" s="46"/>
      <c r="I151" s="46"/>
      <c r="J151" s="46"/>
      <c r="K151"/>
      <c r="L151"/>
      <c r="M151"/>
    </row>
    <row r="152" spans="1:13" ht="15" x14ac:dyDescent="0.25">
      <c r="A152"/>
      <c r="B152"/>
      <c r="C152" s="46"/>
      <c r="D152" s="46"/>
      <c r="E152" s="46"/>
      <c r="F152" s="46"/>
      <c r="G152" s="46"/>
      <c r="H152" s="46"/>
      <c r="I152" s="46"/>
      <c r="J152" s="46"/>
      <c r="K152"/>
      <c r="L152"/>
      <c r="M152"/>
    </row>
    <row r="153" spans="1:13" ht="15" x14ac:dyDescent="0.25">
      <c r="A153"/>
      <c r="B153"/>
      <c r="C153" s="46"/>
      <c r="D153" s="46"/>
      <c r="E153" s="46"/>
      <c r="F153" s="46"/>
      <c r="G153" s="46"/>
      <c r="H153" s="46"/>
      <c r="I153" s="46"/>
      <c r="J153" s="46"/>
      <c r="K153"/>
      <c r="L153"/>
      <c r="M153"/>
    </row>
    <row r="154" spans="1:13" ht="15" x14ac:dyDescent="0.25">
      <c r="A154"/>
      <c r="B154"/>
      <c r="C154" s="46"/>
      <c r="D154" s="46"/>
      <c r="E154" s="46"/>
      <c r="F154" s="46"/>
      <c r="G154" s="46"/>
      <c r="H154" s="46"/>
      <c r="I154" s="46"/>
      <c r="J154" s="46"/>
      <c r="K154"/>
      <c r="L154"/>
      <c r="M154"/>
    </row>
    <row r="155" spans="1:13" ht="15" x14ac:dyDescent="0.25">
      <c r="A155"/>
      <c r="B155"/>
      <c r="C155" s="46"/>
      <c r="D155" s="46"/>
      <c r="E155" s="46"/>
      <c r="F155" s="46"/>
      <c r="G155" s="46"/>
      <c r="H155" s="46"/>
      <c r="I155" s="46"/>
      <c r="J155" s="46"/>
      <c r="K155"/>
      <c r="L155"/>
      <c r="M155"/>
    </row>
    <row r="156" spans="1:13" ht="15" x14ac:dyDescent="0.25">
      <c r="A156"/>
      <c r="B156"/>
      <c r="C156" s="46"/>
      <c r="D156" s="46"/>
      <c r="E156" s="46"/>
      <c r="F156" s="46"/>
      <c r="G156" s="46"/>
      <c r="H156" s="46"/>
      <c r="I156" s="46"/>
      <c r="J156" s="46"/>
      <c r="K156"/>
      <c r="L156"/>
      <c r="M156"/>
    </row>
    <row r="157" spans="1:13" ht="15" x14ac:dyDescent="0.25">
      <c r="A157"/>
      <c r="B157"/>
      <c r="C157" s="46"/>
      <c r="D157" s="46"/>
      <c r="E157" s="46"/>
      <c r="F157" s="46"/>
      <c r="G157" s="46"/>
      <c r="H157" s="46"/>
      <c r="I157" s="46"/>
      <c r="J157" s="46"/>
      <c r="K157"/>
      <c r="L157"/>
      <c r="M157"/>
    </row>
    <row r="158" spans="1:13" ht="15" x14ac:dyDescent="0.25">
      <c r="A158"/>
      <c r="B158"/>
      <c r="C158" s="46"/>
      <c r="D158" s="46"/>
      <c r="E158" s="46"/>
      <c r="F158" s="46"/>
      <c r="G158" s="46"/>
      <c r="H158" s="46"/>
      <c r="I158" s="46"/>
      <c r="J158" s="46"/>
      <c r="K158"/>
      <c r="L158"/>
      <c r="M158"/>
    </row>
    <row r="159" spans="1:13" ht="15" x14ac:dyDescent="0.25">
      <c r="A159"/>
      <c r="B159"/>
      <c r="C159" s="46"/>
      <c r="D159" s="46"/>
      <c r="E159" s="46"/>
      <c r="F159" s="46"/>
      <c r="G159" s="46"/>
      <c r="H159" s="46"/>
      <c r="I159" s="46"/>
      <c r="J159" s="46"/>
      <c r="K159"/>
      <c r="L159"/>
      <c r="M159"/>
    </row>
    <row r="160" spans="1:13" ht="15" x14ac:dyDescent="0.25">
      <c r="A160"/>
      <c r="B160"/>
      <c r="C160" s="46"/>
      <c r="D160" s="46"/>
      <c r="E160" s="46"/>
      <c r="F160" s="46"/>
      <c r="G160" s="46"/>
      <c r="H160" s="46"/>
      <c r="I160" s="46"/>
      <c r="J160" s="46"/>
      <c r="K160"/>
      <c r="L160"/>
      <c r="M160"/>
    </row>
    <row r="161" spans="1:13" ht="15" x14ac:dyDescent="0.25">
      <c r="A161"/>
      <c r="B161"/>
      <c r="C161" s="46"/>
      <c r="D161" s="46"/>
      <c r="E161" s="46"/>
      <c r="F161" s="46"/>
      <c r="G161" s="46"/>
      <c r="H161" s="46"/>
      <c r="I161" s="46"/>
      <c r="J161" s="46"/>
      <c r="K161"/>
      <c r="L161"/>
      <c r="M161"/>
    </row>
    <row r="162" spans="1:13" ht="15" x14ac:dyDescent="0.25">
      <c r="A162"/>
      <c r="B162"/>
      <c r="C162" s="46"/>
      <c r="D162" s="46"/>
      <c r="E162" s="46"/>
      <c r="F162" s="46"/>
      <c r="G162" s="46"/>
      <c r="H162" s="46"/>
      <c r="I162" s="46"/>
      <c r="J162" s="46"/>
      <c r="K162"/>
      <c r="L162"/>
      <c r="M162"/>
    </row>
    <row r="163" spans="1:13" ht="15" x14ac:dyDescent="0.25">
      <c r="A163"/>
      <c r="B163"/>
      <c r="C163" s="46"/>
      <c r="D163" s="46"/>
      <c r="E163" s="46"/>
      <c r="F163" s="46"/>
      <c r="G163" s="46"/>
      <c r="H163" s="46"/>
      <c r="I163" s="46"/>
      <c r="J163" s="46"/>
      <c r="K163"/>
      <c r="L163"/>
      <c r="M163"/>
    </row>
    <row r="164" spans="1:13" ht="15" x14ac:dyDescent="0.25">
      <c r="A164"/>
      <c r="B164"/>
      <c r="C164" s="46"/>
      <c r="D164" s="46"/>
      <c r="E164" s="46"/>
      <c r="F164" s="46"/>
      <c r="G164" s="46"/>
      <c r="H164" s="46"/>
      <c r="I164" s="46"/>
      <c r="J164" s="46"/>
      <c r="K164"/>
      <c r="L164"/>
      <c r="M164"/>
    </row>
  </sheetData>
  <conditionalFormatting pivot="1" sqref="F19:F23">
    <cfRule type="dataBar" priority="3">
      <dataBar>
        <cfvo type="min"/>
        <cfvo type="max"/>
        <color rgb="FF63C384"/>
      </dataBar>
      <extLst>
        <ext xmlns:x14="http://schemas.microsoft.com/office/spreadsheetml/2009/9/main" uri="{B025F937-C7B1-47D3-B67F-A62EFF666E3E}">
          <x14:id>{71FF601C-E897-4947-9616-3EF92FEBAF50}</x14:id>
        </ext>
      </extLst>
    </cfRule>
  </conditionalFormatting>
  <conditionalFormatting pivot="1" sqref="E5:E9">
    <cfRule type="dataBar" priority="1">
      <dataBar>
        <cfvo type="min"/>
        <cfvo type="max"/>
        <color rgb="FF638EC6"/>
      </dataBar>
      <extLst>
        <ext xmlns:x14="http://schemas.microsoft.com/office/spreadsheetml/2009/9/main" uri="{B025F937-C7B1-47D3-B67F-A62EFF666E3E}">
          <x14:id>{92C863F8-C353-435E-BAF6-522A36F2FDA0}</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1FF601C-E897-4947-9616-3EF92FEBAF50}">
            <x14:dataBar minLength="0" maxLength="100" gradient="0">
              <x14:cfvo type="autoMin"/>
              <x14:cfvo type="autoMax"/>
              <x14:negativeFillColor rgb="FFFF0000"/>
              <x14:axisColor rgb="FF000000"/>
            </x14:dataBar>
          </x14:cfRule>
          <xm:sqref>F19:F23</xm:sqref>
        </x14:conditionalFormatting>
        <x14:conditionalFormatting xmlns:xm="http://schemas.microsoft.com/office/excel/2006/main" pivot="1">
          <x14:cfRule type="dataBar" id="{92C863F8-C353-435E-BAF6-522A36F2FDA0}">
            <x14:dataBar minLength="0" maxLength="100" gradient="0">
              <x14:cfvo type="autoMin"/>
              <x14:cfvo type="autoMax"/>
              <x14:negativeFillColor rgb="FFFF0000"/>
              <x14:axisColor rgb="FF000000"/>
            </x14:dataBar>
          </x14:cfRule>
          <xm:sqref>E5:E9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AC8F-276C-4BF6-876A-2C438E6A35F1}">
  <sheetPr codeName="Sheet11"/>
  <dimension ref="A1:S559"/>
  <sheetViews>
    <sheetView workbookViewId="0">
      <selection activeCell="C4" sqref="C4"/>
    </sheetView>
  </sheetViews>
  <sheetFormatPr defaultRowHeight="15" outlineLevelRow="1" x14ac:dyDescent="0.25"/>
  <cols>
    <col min="1" max="1" width="2" style="46" customWidth="1"/>
    <col min="2" max="2" width="27.42578125" style="26" customWidth="1"/>
    <col min="3" max="3" width="14.85546875" style="26" customWidth="1"/>
    <col min="4" max="4" width="29.85546875" style="26" customWidth="1"/>
    <col min="5" max="5" width="43" bestFit="1" customWidth="1"/>
    <col min="6" max="6" width="13" bestFit="1" customWidth="1"/>
    <col min="7" max="7" width="34.140625" bestFit="1" customWidth="1"/>
    <col min="8" max="8" width="12.42578125" bestFit="1" customWidth="1"/>
    <col min="9" max="10" width="11.7109375" bestFit="1" customWidth="1"/>
    <col min="11" max="11" width="10.140625" bestFit="1" customWidth="1"/>
    <col min="12" max="12" width="11.85546875" bestFit="1" customWidth="1"/>
    <col min="13" max="14" width="9.5703125" bestFit="1" customWidth="1"/>
    <col min="16" max="17" width="9.5703125" bestFit="1" customWidth="1"/>
    <col min="18" max="18" width="9.28515625" bestFit="1" customWidth="1"/>
  </cols>
  <sheetData>
    <row r="1" spans="1:19" ht="15.75" outlineLevel="1" x14ac:dyDescent="0.25">
      <c r="B1" s="125" t="s">
        <v>1213</v>
      </c>
      <c r="C1" s="126"/>
      <c r="D1" s="126"/>
      <c r="E1" s="266" t="s">
        <v>1208</v>
      </c>
      <c r="F1" s="264" t="s">
        <v>1207</v>
      </c>
      <c r="G1" s="264"/>
      <c r="H1" s="264"/>
      <c r="I1" s="264" t="s">
        <v>1</v>
      </c>
      <c r="J1" s="264"/>
      <c r="K1" s="264"/>
      <c r="L1" s="191" t="s">
        <v>1204</v>
      </c>
      <c r="M1" s="192" t="s">
        <v>1203</v>
      </c>
      <c r="N1" s="192"/>
      <c r="O1" s="193"/>
      <c r="P1" s="264" t="s">
        <v>1206</v>
      </c>
      <c r="Q1" s="264"/>
      <c r="R1" s="265"/>
    </row>
    <row r="2" spans="1:19" outlineLevel="1" x14ac:dyDescent="0.25">
      <c r="B2" s="126"/>
      <c r="C2" s="126"/>
      <c r="D2" s="126"/>
      <c r="E2" s="267"/>
      <c r="F2" s="174" t="s">
        <v>1200</v>
      </c>
      <c r="G2" s="184">
        <f>((G3-F3)/F3)</f>
        <v>3.2341622320586405E-2</v>
      </c>
      <c r="H2" s="185">
        <f>((H3-G3)/G3)</f>
        <v>-0.46405413093330117</v>
      </c>
      <c r="I2" s="174" t="s">
        <v>1201</v>
      </c>
      <c r="J2" s="185">
        <f>((J3-I3)/I3)</f>
        <v>-5.5203387177456317E-3</v>
      </c>
      <c r="K2" s="185">
        <f>((K3-J3)/J3)</f>
        <v>-0.49415463741777094</v>
      </c>
      <c r="L2" s="189" t="s">
        <v>1202</v>
      </c>
      <c r="M2" s="176">
        <f>G2-J2</f>
        <v>3.7861961038332038E-2</v>
      </c>
      <c r="N2" s="176">
        <f>H2-K2</f>
        <v>3.0100506484469769E-2</v>
      </c>
      <c r="O2" s="175"/>
      <c r="P2" s="174" t="s">
        <v>1202</v>
      </c>
      <c r="Q2" s="184">
        <f>((Q3-P3)/P3)</f>
        <v>3.8072132103248772E-2</v>
      </c>
      <c r="R2" s="186">
        <f>((R3-Q3)/Q3)</f>
        <v>5.9505352249970757E-2</v>
      </c>
    </row>
    <row r="3" spans="1:19" ht="15.75" outlineLevel="1" thickBot="1" x14ac:dyDescent="0.3">
      <c r="B3" s="126"/>
      <c r="C3" s="126"/>
      <c r="D3" s="126"/>
      <c r="E3" s="177" t="s">
        <v>1199</v>
      </c>
      <c r="F3" s="183">
        <v>31416.343000000001</v>
      </c>
      <c r="G3" s="183">
        <v>32432.398499999999</v>
      </c>
      <c r="H3" s="183">
        <v>17382.009999999998</v>
      </c>
      <c r="I3" s="183">
        <v>1194607.8559999999</v>
      </c>
      <c r="J3" s="183">
        <v>1188013.216</v>
      </c>
      <c r="K3" s="183">
        <v>600950.97600000002</v>
      </c>
      <c r="L3" s="190" t="s">
        <v>1205</v>
      </c>
      <c r="M3" s="178"/>
      <c r="N3" s="178"/>
      <c r="O3" s="179"/>
      <c r="P3" s="187">
        <f>F3/I3</f>
        <v>2.6298456721349405E-2</v>
      </c>
      <c r="Q3" s="187">
        <f>G3/J3</f>
        <v>2.729969503975619E-2</v>
      </c>
      <c r="R3" s="188">
        <f>H3/K3</f>
        <v>2.8924173009413662E-2</v>
      </c>
    </row>
    <row r="4" spans="1:19" s="46" customFormat="1" x14ac:dyDescent="0.25">
      <c r="B4" s="126"/>
      <c r="C4" s="126"/>
      <c r="D4" s="126"/>
      <c r="E4" s="180"/>
      <c r="F4" s="181"/>
      <c r="G4" s="181"/>
      <c r="H4" s="181"/>
      <c r="I4" s="181"/>
      <c r="J4" s="181"/>
      <c r="K4" s="181"/>
      <c r="M4" s="156"/>
      <c r="N4" s="156"/>
      <c r="O4" s="156"/>
      <c r="P4" s="220"/>
      <c r="Q4" s="220"/>
      <c r="R4" s="220"/>
    </row>
    <row r="5" spans="1:19" x14ac:dyDescent="0.25">
      <c r="A5" s="45"/>
      <c r="B5" s="40" t="s">
        <v>878</v>
      </c>
      <c r="C5" s="40" t="s">
        <v>6</v>
      </c>
      <c r="D5" s="40" t="s">
        <v>1032</v>
      </c>
      <c r="E5" s="40" t="s">
        <v>1155</v>
      </c>
      <c r="F5" s="40" t="s">
        <v>875</v>
      </c>
      <c r="G5" s="40" t="s">
        <v>876</v>
      </c>
      <c r="H5" s="40" t="s">
        <v>877</v>
      </c>
      <c r="I5" s="40" t="s">
        <v>1142</v>
      </c>
      <c r="J5" s="40" t="s">
        <v>1143</v>
      </c>
      <c r="K5" s="40" t="s">
        <v>1151</v>
      </c>
      <c r="L5" s="40" t="s">
        <v>1144</v>
      </c>
      <c r="M5" s="40" t="s">
        <v>1145</v>
      </c>
      <c r="N5" s="40" t="s">
        <v>1152</v>
      </c>
      <c r="O5" s="40" t="s">
        <v>1153</v>
      </c>
      <c r="P5" s="40" t="s">
        <v>1210</v>
      </c>
      <c r="Q5" s="40" t="s">
        <v>1211</v>
      </c>
      <c r="R5" s="40" t="s">
        <v>1214</v>
      </c>
      <c r="S5" s="40" t="s">
        <v>1215</v>
      </c>
    </row>
    <row r="6" spans="1:19" hidden="1" x14ac:dyDescent="0.25">
      <c r="A6" s="45"/>
      <c r="B6" s="41" t="s">
        <v>873</v>
      </c>
      <c r="C6" s="39" t="s">
        <v>879</v>
      </c>
      <c r="D6" s="39" t="s">
        <v>873</v>
      </c>
      <c r="E6" s="42" t="s">
        <v>7</v>
      </c>
      <c r="F6" s="43" t="s">
        <v>9</v>
      </c>
      <c r="G6" s="38" t="s">
        <v>10</v>
      </c>
      <c r="H6" s="79" t="s">
        <v>11</v>
      </c>
      <c r="I6" s="83">
        <v>1.9350000000000001</v>
      </c>
      <c r="J6" s="84">
        <v>0.624</v>
      </c>
      <c r="K6" s="85">
        <v>0</v>
      </c>
      <c r="L6" s="86">
        <v>24.822900000000001</v>
      </c>
      <c r="M6" s="85">
        <v>9.4085999999999999</v>
      </c>
      <c r="N6" s="85">
        <v>0</v>
      </c>
      <c r="O6" s="109">
        <f>SUM(Table1[[#This Row],[2022]:[YTD 2024]])</f>
        <v>2.5590000000000002</v>
      </c>
      <c r="P6" s="219">
        <f>IFERROR(((Table1[[#This Row],[2023]]-Table1[[#This Row],[2022]])/Table1[[#This Row],[2022]]),0)</f>
        <v>-0.67751937984496124</v>
      </c>
      <c r="Q6" s="219">
        <f>IFERROR(((Table1[[#This Row],[Volume 2023]]-Table1[[#This Row],[Volume 2022]])/Table1[[#This Row],[Volume 2022]]),0)</f>
        <v>-0.62097095826837312</v>
      </c>
      <c r="R6" s="219">
        <f>Table1[[#This Row],[YoY growth]]-Table1[[#This Row],[Volume growth]]</f>
        <v>-5.6548421576588126E-2</v>
      </c>
      <c r="S6" s="46"/>
    </row>
    <row r="7" spans="1:19" hidden="1" x14ac:dyDescent="0.25">
      <c r="A7" s="45"/>
      <c r="B7" s="41" t="s">
        <v>713</v>
      </c>
      <c r="C7" s="39" t="s">
        <v>880</v>
      </c>
      <c r="D7" s="39" t="s">
        <v>1033</v>
      </c>
      <c r="E7" s="42" t="s">
        <v>12</v>
      </c>
      <c r="F7" s="43" t="s">
        <v>9</v>
      </c>
      <c r="G7" s="38" t="s">
        <v>10</v>
      </c>
      <c r="H7" s="79" t="s">
        <v>13</v>
      </c>
      <c r="I7" s="87">
        <v>0</v>
      </c>
      <c r="J7" s="88">
        <v>0</v>
      </c>
      <c r="K7" s="89">
        <v>0</v>
      </c>
      <c r="L7" s="90">
        <v>0</v>
      </c>
      <c r="M7" s="89">
        <v>0</v>
      </c>
      <c r="N7" s="89">
        <v>0</v>
      </c>
      <c r="O7" s="109">
        <f>SUM(Table1[[#This Row],[2022]:[YTD 2024]])</f>
        <v>0</v>
      </c>
      <c r="P7" s="219">
        <f>IFERROR(((Table1[[#This Row],[2023]]-Table1[[#This Row],[2022]])/Table1[[#This Row],[2022]]),0)</f>
        <v>0</v>
      </c>
      <c r="Q7" s="219">
        <f>IFERROR(((Table1[[#This Row],[Volume 2023]]-Table1[[#This Row],[Volume 2022]])/Table1[[#This Row],[Volume 2022]]),0)</f>
        <v>0</v>
      </c>
      <c r="R7" s="219">
        <f>Table1[[#This Row],[YoY growth]]-Table1[[#This Row],[Volume growth]]</f>
        <v>0</v>
      </c>
      <c r="S7" s="46"/>
    </row>
    <row r="8" spans="1:19" hidden="1" x14ac:dyDescent="0.25">
      <c r="A8" s="45"/>
      <c r="B8" s="41" t="s">
        <v>713</v>
      </c>
      <c r="C8" s="39" t="s">
        <v>880</v>
      </c>
      <c r="D8" s="39" t="s">
        <v>1033</v>
      </c>
      <c r="E8" s="42" t="s">
        <v>14</v>
      </c>
      <c r="F8" s="43" t="s">
        <v>9</v>
      </c>
      <c r="G8" s="38" t="s">
        <v>10</v>
      </c>
      <c r="H8" s="79" t="s">
        <v>15</v>
      </c>
      <c r="I8" s="87">
        <v>0</v>
      </c>
      <c r="J8" s="88">
        <v>0</v>
      </c>
      <c r="K8" s="89">
        <v>0</v>
      </c>
      <c r="L8" s="90">
        <v>0</v>
      </c>
      <c r="M8" s="89">
        <v>0</v>
      </c>
      <c r="N8" s="89">
        <v>0</v>
      </c>
      <c r="O8" s="109">
        <f>SUM(Table1[[#This Row],[2022]:[YTD 2024]])</f>
        <v>0</v>
      </c>
      <c r="P8" s="219">
        <f>IFERROR(((Table1[[#This Row],[2023]]-Table1[[#This Row],[2022]])/Table1[[#This Row],[2022]]),0)</f>
        <v>0</v>
      </c>
      <c r="Q8" s="219">
        <f>IFERROR(((Table1[[#This Row],[Volume 2023]]-Table1[[#This Row],[Volume 2022]])/Table1[[#This Row],[Volume 2022]]),0)</f>
        <v>0</v>
      </c>
      <c r="R8" s="219">
        <f>Table1[[#This Row],[YoY growth]]-Table1[[#This Row],[Volume growth]]</f>
        <v>0</v>
      </c>
      <c r="S8" s="46"/>
    </row>
    <row r="9" spans="1:19" hidden="1" x14ac:dyDescent="0.25">
      <c r="A9" s="45"/>
      <c r="B9" s="41" t="s">
        <v>713</v>
      </c>
      <c r="C9" s="39" t="s">
        <v>880</v>
      </c>
      <c r="D9" s="39" t="s">
        <v>1033</v>
      </c>
      <c r="E9" s="42" t="s">
        <v>16</v>
      </c>
      <c r="F9" s="43" t="s">
        <v>9</v>
      </c>
      <c r="G9" s="38" t="s">
        <v>10</v>
      </c>
      <c r="H9" s="79" t="s">
        <v>17</v>
      </c>
      <c r="I9" s="87">
        <v>0</v>
      </c>
      <c r="J9" s="88">
        <v>0</v>
      </c>
      <c r="K9" s="89">
        <v>0</v>
      </c>
      <c r="L9" s="90">
        <v>0</v>
      </c>
      <c r="M9" s="89">
        <v>0</v>
      </c>
      <c r="N9" s="89">
        <v>0</v>
      </c>
      <c r="O9" s="109">
        <f>SUM(Table1[[#This Row],[2022]:[YTD 2024]])</f>
        <v>0</v>
      </c>
      <c r="P9" s="219">
        <f>IFERROR(((Table1[[#This Row],[2023]]-Table1[[#This Row],[2022]])/Table1[[#This Row],[2022]]),0)</f>
        <v>0</v>
      </c>
      <c r="Q9" s="219">
        <f>IFERROR(((Table1[[#This Row],[Volume 2023]]-Table1[[#This Row],[Volume 2022]])/Table1[[#This Row],[Volume 2022]]),0)</f>
        <v>0</v>
      </c>
      <c r="R9" s="219">
        <f>Table1[[#This Row],[YoY growth]]-Table1[[#This Row],[Volume growth]]</f>
        <v>0</v>
      </c>
      <c r="S9" s="46"/>
    </row>
    <row r="10" spans="1:19" hidden="1" x14ac:dyDescent="0.25">
      <c r="A10" s="45"/>
      <c r="B10" s="41" t="s">
        <v>713</v>
      </c>
      <c r="C10" s="39" t="s">
        <v>880</v>
      </c>
      <c r="D10" s="39" t="s">
        <v>1033</v>
      </c>
      <c r="E10" s="42" t="s">
        <v>18</v>
      </c>
      <c r="F10" s="43" t="s">
        <v>9</v>
      </c>
      <c r="G10" s="38" t="s">
        <v>10</v>
      </c>
      <c r="H10" s="79" t="s">
        <v>17</v>
      </c>
      <c r="I10" s="87">
        <v>1.09E-2</v>
      </c>
      <c r="J10" s="88">
        <v>0</v>
      </c>
      <c r="K10" s="89">
        <v>0</v>
      </c>
      <c r="L10" s="90">
        <v>0.16</v>
      </c>
      <c r="M10" s="89">
        <v>0</v>
      </c>
      <c r="N10" s="89">
        <v>0</v>
      </c>
      <c r="O10" s="109">
        <f>SUM(Table1[[#This Row],[2022]:[YTD 2024]])</f>
        <v>1.09E-2</v>
      </c>
      <c r="P10" s="219">
        <f>IFERROR(((Table1[[#This Row],[2023]]-Table1[[#This Row],[2022]])/Table1[[#This Row],[2022]]),0)</f>
        <v>-1</v>
      </c>
      <c r="Q10" s="219">
        <f>IFERROR(((Table1[[#This Row],[Volume 2023]]-Table1[[#This Row],[Volume 2022]])/Table1[[#This Row],[Volume 2022]]),0)</f>
        <v>-1</v>
      </c>
      <c r="R10" s="219">
        <f>Table1[[#This Row],[YoY growth]]-Table1[[#This Row],[Volume growth]]</f>
        <v>0</v>
      </c>
      <c r="S10" s="46"/>
    </row>
    <row r="11" spans="1:19" hidden="1" x14ac:dyDescent="0.25">
      <c r="A11" s="45"/>
      <c r="B11" s="41" t="s">
        <v>714</v>
      </c>
      <c r="C11" s="39" t="s">
        <v>881</v>
      </c>
      <c r="D11" s="39" t="s">
        <v>1034</v>
      </c>
      <c r="E11" s="42" t="s">
        <v>19</v>
      </c>
      <c r="F11" s="43" t="s">
        <v>9</v>
      </c>
      <c r="G11" s="38" t="s">
        <v>20</v>
      </c>
      <c r="H11" s="79" t="s">
        <v>21</v>
      </c>
      <c r="I11" s="87">
        <v>81.467399999999998</v>
      </c>
      <c r="J11" s="88">
        <v>92.903000000000006</v>
      </c>
      <c r="K11" s="89">
        <v>52.511899999999997</v>
      </c>
      <c r="L11" s="90">
        <v>2980.7042999999999</v>
      </c>
      <c r="M11" s="89">
        <v>3415.3553999999999</v>
      </c>
      <c r="N11" s="89">
        <v>1823.0734</v>
      </c>
      <c r="O11" s="109">
        <f>SUM(Table1[[#This Row],[2022]:[YTD 2024]])</f>
        <v>226.88230000000001</v>
      </c>
      <c r="P11" s="219">
        <f>IFERROR(((Table1[[#This Row],[2023]]-Table1[[#This Row],[2022]])/Table1[[#This Row],[2022]]),0)</f>
        <v>0.14037025853286109</v>
      </c>
      <c r="Q11" s="219">
        <f>IFERROR(((Table1[[#This Row],[Volume 2023]]-Table1[[#This Row],[Volume 2022]])/Table1[[#This Row],[Volume 2022]]),0)</f>
        <v>0.14582161001344551</v>
      </c>
      <c r="R11" s="219">
        <f>Table1[[#This Row],[YoY growth]]-Table1[[#This Row],[Volume growth]]</f>
        <v>-5.4513514805844265E-3</v>
      </c>
      <c r="S11" s="46"/>
    </row>
    <row r="12" spans="1:19" x14ac:dyDescent="0.25">
      <c r="A12" s="45"/>
      <c r="B12" s="226" t="s">
        <v>714</v>
      </c>
      <c r="C12" s="227" t="s">
        <v>881</v>
      </c>
      <c r="D12" s="227" t="s">
        <v>1034</v>
      </c>
      <c r="E12" s="228" t="s">
        <v>51</v>
      </c>
      <c r="F12" s="43" t="s">
        <v>9</v>
      </c>
      <c r="G12" s="229" t="s">
        <v>20</v>
      </c>
      <c r="H12" s="79" t="s">
        <v>42</v>
      </c>
      <c r="I12" s="87">
        <v>1663.8369</v>
      </c>
      <c r="J12" s="88">
        <v>1815.6596999999999</v>
      </c>
      <c r="K12" s="89">
        <v>1049.2485999999999</v>
      </c>
      <c r="L12" s="90">
        <v>62012.672500000001</v>
      </c>
      <c r="M12" s="89">
        <v>68679.966</v>
      </c>
      <c r="N12" s="89">
        <v>37856.881999999998</v>
      </c>
      <c r="O12" s="109">
        <f>SUM(Table1[[#This Row],[2022]:[YTD 2024]])</f>
        <v>4528.7451999999994</v>
      </c>
      <c r="P12" s="219">
        <f>IFERROR(((Table1[[#This Row],[2023]]-Table1[[#This Row],[2022]])/Table1[[#This Row],[2022]]),0)</f>
        <v>9.1248607360493034E-2</v>
      </c>
      <c r="Q12" s="219">
        <f>IFERROR(((Table1[[#This Row],[Volume 2023]]-Table1[[#This Row],[Volume 2022]])/Table1[[#This Row],[Volume 2022]]),0)</f>
        <v>0.10751501638636844</v>
      </c>
      <c r="R12" s="219">
        <f>Table1[[#This Row],[YoY growth]]-Table1[[#This Row],[Volume growth]]</f>
        <v>-1.6266409025875408E-2</v>
      </c>
      <c r="S12" s="46"/>
    </row>
    <row r="13" spans="1:19" x14ac:dyDescent="0.25">
      <c r="A13" s="45"/>
      <c r="B13" s="226" t="s">
        <v>714</v>
      </c>
      <c r="C13" s="227" t="s">
        <v>881</v>
      </c>
      <c r="D13" s="227" t="s">
        <v>1034</v>
      </c>
      <c r="E13" s="228" t="s">
        <v>23</v>
      </c>
      <c r="F13" s="43" t="s">
        <v>9</v>
      </c>
      <c r="G13" s="229" t="s">
        <v>20</v>
      </c>
      <c r="H13" s="79" t="s">
        <v>24</v>
      </c>
      <c r="I13" s="87">
        <v>842.87239999999997</v>
      </c>
      <c r="J13" s="88">
        <v>745.33579999999995</v>
      </c>
      <c r="K13" s="89">
        <v>366.95890000000003</v>
      </c>
      <c r="L13" s="90">
        <v>38888.539799999999</v>
      </c>
      <c r="M13" s="89">
        <v>31985.000499999998</v>
      </c>
      <c r="N13" s="89">
        <v>14135.173000000001</v>
      </c>
      <c r="O13" s="109">
        <f>SUM(Table1[[#This Row],[2022]:[YTD 2024]])</f>
        <v>1955.1671000000001</v>
      </c>
      <c r="P13" s="219">
        <f>IFERROR(((Table1[[#This Row],[2023]]-Table1[[#This Row],[2022]])/Table1[[#This Row],[2022]]),0)</f>
        <v>-0.11571929511513253</v>
      </c>
      <c r="Q13" s="219">
        <f>IFERROR(((Table1[[#This Row],[Volume 2023]]-Table1[[#This Row],[Volume 2022]])/Table1[[#This Row],[Volume 2022]]),0)</f>
        <v>-0.17752117553151225</v>
      </c>
      <c r="R13" s="219">
        <f>Table1[[#This Row],[YoY growth]]-Table1[[#This Row],[Volume growth]]</f>
        <v>6.1801880416379726E-2</v>
      </c>
      <c r="S13" s="46"/>
    </row>
    <row r="14" spans="1:19" hidden="1" x14ac:dyDescent="0.25">
      <c r="A14" s="45"/>
      <c r="B14" s="41" t="s">
        <v>714</v>
      </c>
      <c r="C14" s="39" t="s">
        <v>881</v>
      </c>
      <c r="D14" s="39" t="s">
        <v>1034</v>
      </c>
      <c r="E14" s="42" t="s">
        <v>25</v>
      </c>
      <c r="F14" s="43" t="s">
        <v>9</v>
      </c>
      <c r="G14" s="38" t="s">
        <v>10</v>
      </c>
      <c r="H14" s="79" t="s">
        <v>26</v>
      </c>
      <c r="I14" s="87">
        <v>12.774800000000001</v>
      </c>
      <c r="J14" s="88">
        <v>10.866</v>
      </c>
      <c r="K14" s="89">
        <v>6.7743000000000002</v>
      </c>
      <c r="L14" s="90">
        <v>151.26679999999999</v>
      </c>
      <c r="M14" s="89">
        <v>127.18680000000001</v>
      </c>
      <c r="N14" s="89">
        <v>77.459400000000002</v>
      </c>
      <c r="O14" s="109">
        <f>SUM(Table1[[#This Row],[2022]:[YTD 2024]])</f>
        <v>30.415099999999999</v>
      </c>
      <c r="P14" s="219">
        <f>IFERROR(((Table1[[#This Row],[2023]]-Table1[[#This Row],[2022]])/Table1[[#This Row],[2022]]),0)</f>
        <v>-0.14941916898894708</v>
      </c>
      <c r="Q14" s="219">
        <f>IFERROR(((Table1[[#This Row],[Volume 2023]]-Table1[[#This Row],[Volume 2022]])/Table1[[#This Row],[Volume 2022]]),0)</f>
        <v>-0.15918892975854573</v>
      </c>
      <c r="R14" s="219">
        <f>Table1[[#This Row],[YoY growth]]-Table1[[#This Row],[Volume growth]]</f>
        <v>9.769760769598651E-3</v>
      </c>
      <c r="S14" s="46"/>
    </row>
    <row r="15" spans="1:19" hidden="1" x14ac:dyDescent="0.25">
      <c r="A15" s="45"/>
      <c r="B15" s="41" t="s">
        <v>714</v>
      </c>
      <c r="C15" s="39" t="s">
        <v>881</v>
      </c>
      <c r="D15" s="39" t="s">
        <v>1034</v>
      </c>
      <c r="E15" s="42" t="s">
        <v>27</v>
      </c>
      <c r="F15" s="43" t="s">
        <v>9</v>
      </c>
      <c r="G15" s="38" t="s">
        <v>10</v>
      </c>
      <c r="H15" s="79" t="s">
        <v>26</v>
      </c>
      <c r="I15" s="87">
        <v>20.055299999999999</v>
      </c>
      <c r="J15" s="88">
        <v>17.836099999999998</v>
      </c>
      <c r="K15" s="89">
        <v>11.187099999999999</v>
      </c>
      <c r="L15" s="90">
        <v>231.08779999999999</v>
      </c>
      <c r="M15" s="89">
        <v>217.71180000000001</v>
      </c>
      <c r="N15" s="89">
        <v>141.00800000000001</v>
      </c>
      <c r="O15" s="109">
        <f>SUM(Table1[[#This Row],[2022]:[YTD 2024]])</f>
        <v>49.078499999999998</v>
      </c>
      <c r="P15" s="219">
        <f>IFERROR(((Table1[[#This Row],[2023]]-Table1[[#This Row],[2022]])/Table1[[#This Row],[2022]]),0)</f>
        <v>-0.11065404157504505</v>
      </c>
      <c r="Q15" s="219">
        <f>IFERROR(((Table1[[#This Row],[Volume 2023]]-Table1[[#This Row],[Volume 2022]])/Table1[[#This Row],[Volume 2022]]),0)</f>
        <v>-5.7882761443918622E-2</v>
      </c>
      <c r="R15" s="219">
        <f>Table1[[#This Row],[YoY growth]]-Table1[[#This Row],[Volume growth]]</f>
        <v>-5.2771280131126426E-2</v>
      </c>
      <c r="S15" s="46"/>
    </row>
    <row r="16" spans="1:19" hidden="1" x14ac:dyDescent="0.25">
      <c r="A16" s="45"/>
      <c r="B16" s="41" t="s">
        <v>714</v>
      </c>
      <c r="C16" s="39" t="s">
        <v>881</v>
      </c>
      <c r="D16" s="39" t="s">
        <v>1034</v>
      </c>
      <c r="E16" s="42" t="s">
        <v>28</v>
      </c>
      <c r="F16" s="43" t="s">
        <v>9</v>
      </c>
      <c r="G16" s="38" t="s">
        <v>20</v>
      </c>
      <c r="H16" s="79" t="s">
        <v>26</v>
      </c>
      <c r="I16" s="87">
        <v>1.2461</v>
      </c>
      <c r="J16" s="88">
        <v>7.7651000000000003</v>
      </c>
      <c r="K16" s="89">
        <v>2.2378</v>
      </c>
      <c r="L16" s="90">
        <v>20.960899999999999</v>
      </c>
      <c r="M16" s="89">
        <v>127.6666</v>
      </c>
      <c r="N16" s="89">
        <v>33.570999999999998</v>
      </c>
      <c r="O16" s="109">
        <f>SUM(Table1[[#This Row],[2022]:[YTD 2024]])</f>
        <v>11.249000000000001</v>
      </c>
      <c r="P16" s="219">
        <f>IFERROR(((Table1[[#This Row],[2023]]-Table1[[#This Row],[2022]])/Table1[[#This Row],[2022]]),0)</f>
        <v>5.2315223497311614</v>
      </c>
      <c r="Q16" s="219">
        <f>IFERROR(((Table1[[#This Row],[Volume 2023]]-Table1[[#This Row],[Volume 2022]])/Table1[[#This Row],[Volume 2022]]),0)</f>
        <v>5.090702212214171</v>
      </c>
      <c r="R16" s="219">
        <f>Table1[[#This Row],[YoY growth]]-Table1[[#This Row],[Volume growth]]</f>
        <v>0.14082013751699041</v>
      </c>
      <c r="S16" s="46"/>
    </row>
    <row r="17" spans="1:19" hidden="1" x14ac:dyDescent="0.25">
      <c r="A17" s="45"/>
      <c r="B17" s="41" t="s">
        <v>714</v>
      </c>
      <c r="C17" s="39" t="s">
        <v>881</v>
      </c>
      <c r="D17" s="39" t="s">
        <v>1034</v>
      </c>
      <c r="E17" s="42" t="s">
        <v>29</v>
      </c>
      <c r="F17" s="43" t="s">
        <v>9</v>
      </c>
      <c r="G17" s="38" t="s">
        <v>30</v>
      </c>
      <c r="H17" s="79" t="s">
        <v>26</v>
      </c>
      <c r="I17" s="87">
        <v>9.6471999999999998</v>
      </c>
      <c r="J17" s="88">
        <v>10.7577</v>
      </c>
      <c r="K17" s="89">
        <v>7.0723000000000003</v>
      </c>
      <c r="L17" s="90">
        <v>112.20610000000001</v>
      </c>
      <c r="M17" s="89">
        <v>131.05279999999999</v>
      </c>
      <c r="N17" s="89">
        <v>85.719800000000006</v>
      </c>
      <c r="O17" s="109">
        <f>SUM(Table1[[#This Row],[2022]:[YTD 2024]])</f>
        <v>27.477199999999996</v>
      </c>
      <c r="P17" s="219">
        <f>IFERROR(((Table1[[#This Row],[2023]]-Table1[[#This Row],[2022]])/Table1[[#This Row],[2022]]),0)</f>
        <v>0.11511112032506841</v>
      </c>
      <c r="Q17" s="219">
        <f>IFERROR(((Table1[[#This Row],[Volume 2023]]-Table1[[#This Row],[Volume 2022]])/Table1[[#This Row],[Volume 2022]]),0)</f>
        <v>0.16796502150952564</v>
      </c>
      <c r="R17" s="219">
        <f>Table1[[#This Row],[YoY growth]]-Table1[[#This Row],[Volume growth]]</f>
        <v>-5.2853901184457222E-2</v>
      </c>
      <c r="S17" s="46"/>
    </row>
    <row r="18" spans="1:19" hidden="1" x14ac:dyDescent="0.25">
      <c r="A18" s="45"/>
      <c r="B18" s="41" t="s">
        <v>714</v>
      </c>
      <c r="C18" s="39" t="s">
        <v>881</v>
      </c>
      <c r="D18" s="39" t="s">
        <v>1034</v>
      </c>
      <c r="E18" s="42" t="s">
        <v>31</v>
      </c>
      <c r="F18" s="43" t="s">
        <v>9</v>
      </c>
      <c r="G18" s="38" t="s">
        <v>10</v>
      </c>
      <c r="H18" s="79" t="s">
        <v>32</v>
      </c>
      <c r="I18" s="87">
        <v>0.1235</v>
      </c>
      <c r="J18" s="88">
        <v>0</v>
      </c>
      <c r="K18" s="89">
        <v>0</v>
      </c>
      <c r="L18" s="90">
        <v>2.2799999999999998</v>
      </c>
      <c r="M18" s="89">
        <v>0</v>
      </c>
      <c r="N18" s="89">
        <v>0</v>
      </c>
      <c r="O18" s="109">
        <f>SUM(Table1[[#This Row],[2022]:[YTD 2024]])</f>
        <v>0.1235</v>
      </c>
      <c r="P18" s="219">
        <f>IFERROR(((Table1[[#This Row],[2023]]-Table1[[#This Row],[2022]])/Table1[[#This Row],[2022]]),0)</f>
        <v>-1</v>
      </c>
      <c r="Q18" s="219">
        <f>IFERROR(((Table1[[#This Row],[Volume 2023]]-Table1[[#This Row],[Volume 2022]])/Table1[[#This Row],[Volume 2022]]),0)</f>
        <v>-1</v>
      </c>
      <c r="R18" s="219">
        <f>Table1[[#This Row],[YoY growth]]-Table1[[#This Row],[Volume growth]]</f>
        <v>0</v>
      </c>
      <c r="S18" s="46"/>
    </row>
    <row r="19" spans="1:19" hidden="1" x14ac:dyDescent="0.25">
      <c r="A19" s="45"/>
      <c r="B19" s="41" t="s">
        <v>714</v>
      </c>
      <c r="C19" s="39" t="s">
        <v>881</v>
      </c>
      <c r="D19" s="39" t="s">
        <v>1034</v>
      </c>
      <c r="E19" s="42" t="s">
        <v>33</v>
      </c>
      <c r="F19" s="43" t="s">
        <v>9</v>
      </c>
      <c r="G19" s="38" t="s">
        <v>20</v>
      </c>
      <c r="H19" s="79" t="s">
        <v>34</v>
      </c>
      <c r="I19" s="87">
        <v>0</v>
      </c>
      <c r="J19" s="88">
        <v>0</v>
      </c>
      <c r="K19" s="89">
        <v>7.1128</v>
      </c>
      <c r="L19" s="90">
        <v>0</v>
      </c>
      <c r="M19" s="89">
        <v>0</v>
      </c>
      <c r="N19" s="89">
        <v>247.09899999999999</v>
      </c>
      <c r="O19" s="109">
        <f>SUM(Table1[[#This Row],[2022]:[YTD 2024]])</f>
        <v>7.1128</v>
      </c>
      <c r="P19" s="219">
        <f>IFERROR(((Table1[[#This Row],[2023]]-Table1[[#This Row],[2022]])/Table1[[#This Row],[2022]]),0)</f>
        <v>0</v>
      </c>
      <c r="Q19" s="219">
        <f>IFERROR(((Table1[[#This Row],[Volume 2023]]-Table1[[#This Row],[Volume 2022]])/Table1[[#This Row],[Volume 2022]]),0)</f>
        <v>0</v>
      </c>
      <c r="R19" s="219">
        <f>Table1[[#This Row],[YoY growth]]-Table1[[#This Row],[Volume growth]]</f>
        <v>0</v>
      </c>
      <c r="S19" s="46"/>
    </row>
    <row r="20" spans="1:19" hidden="1" x14ac:dyDescent="0.25">
      <c r="A20" s="45"/>
      <c r="B20" s="41" t="s">
        <v>714</v>
      </c>
      <c r="C20" s="39" t="s">
        <v>881</v>
      </c>
      <c r="D20" s="39" t="s">
        <v>1034</v>
      </c>
      <c r="E20" s="42" t="s">
        <v>35</v>
      </c>
      <c r="F20" s="43" t="s">
        <v>9</v>
      </c>
      <c r="G20" s="38" t="s">
        <v>20</v>
      </c>
      <c r="H20" s="79" t="s">
        <v>34</v>
      </c>
      <c r="I20" s="87">
        <v>0.18310000000000001</v>
      </c>
      <c r="J20" s="88">
        <v>0.1116</v>
      </c>
      <c r="K20" s="89">
        <v>0.38700000000000001</v>
      </c>
      <c r="L20" s="90">
        <v>5.8884999999999996</v>
      </c>
      <c r="M20" s="89">
        <v>3.7909999999999999</v>
      </c>
      <c r="N20" s="89">
        <v>14.3827</v>
      </c>
      <c r="O20" s="109">
        <f>SUM(Table1[[#This Row],[2022]:[YTD 2024]])</f>
        <v>0.68169999999999997</v>
      </c>
      <c r="P20" s="219">
        <f>IFERROR(((Table1[[#This Row],[2023]]-Table1[[#This Row],[2022]])/Table1[[#This Row],[2022]]),0)</f>
        <v>-0.39049699617695249</v>
      </c>
      <c r="Q20" s="219">
        <f>IFERROR(((Table1[[#This Row],[Volume 2023]]-Table1[[#This Row],[Volume 2022]])/Table1[[#This Row],[Volume 2022]]),0)</f>
        <v>-0.35620276810732782</v>
      </c>
      <c r="R20" s="219">
        <f>Table1[[#This Row],[YoY growth]]-Table1[[#This Row],[Volume growth]]</f>
        <v>-3.4294228069624677E-2</v>
      </c>
      <c r="S20" s="46"/>
    </row>
    <row r="21" spans="1:19" hidden="1" x14ac:dyDescent="0.25">
      <c r="A21" s="45"/>
      <c r="B21" s="41" t="s">
        <v>714</v>
      </c>
      <c r="C21" s="39" t="s">
        <v>881</v>
      </c>
      <c r="D21" s="39" t="s">
        <v>1034</v>
      </c>
      <c r="E21" s="42" t="s">
        <v>36</v>
      </c>
      <c r="F21" s="43" t="s">
        <v>9</v>
      </c>
      <c r="G21" s="38" t="s">
        <v>10</v>
      </c>
      <c r="H21" s="79" t="s">
        <v>37</v>
      </c>
      <c r="I21" s="87">
        <v>1.8938999999999999</v>
      </c>
      <c r="J21" s="88">
        <v>0</v>
      </c>
      <c r="K21" s="89">
        <v>0.22520000000000001</v>
      </c>
      <c r="L21" s="90">
        <v>49.9726</v>
      </c>
      <c r="M21" s="89">
        <v>0</v>
      </c>
      <c r="N21" s="89">
        <v>6.9500999999999999</v>
      </c>
      <c r="O21" s="109">
        <f>SUM(Table1[[#This Row],[2022]:[YTD 2024]])</f>
        <v>2.1191</v>
      </c>
      <c r="P21" s="219">
        <f>IFERROR(((Table1[[#This Row],[2023]]-Table1[[#This Row],[2022]])/Table1[[#This Row],[2022]]),0)</f>
        <v>-1</v>
      </c>
      <c r="Q21" s="219">
        <f>IFERROR(((Table1[[#This Row],[Volume 2023]]-Table1[[#This Row],[Volume 2022]])/Table1[[#This Row],[Volume 2022]]),0)</f>
        <v>-1</v>
      </c>
      <c r="R21" s="219">
        <f>Table1[[#This Row],[YoY growth]]-Table1[[#This Row],[Volume growth]]</f>
        <v>0</v>
      </c>
      <c r="S21" s="46"/>
    </row>
    <row r="22" spans="1:19" hidden="1" x14ac:dyDescent="0.25">
      <c r="A22" s="45"/>
      <c r="B22" s="41" t="s">
        <v>714</v>
      </c>
      <c r="C22" s="39" t="s">
        <v>881</v>
      </c>
      <c r="D22" s="39" t="s">
        <v>1034</v>
      </c>
      <c r="E22" s="42" t="s">
        <v>38</v>
      </c>
      <c r="F22" s="43" t="s">
        <v>9</v>
      </c>
      <c r="G22" s="38" t="s">
        <v>10</v>
      </c>
      <c r="H22" s="79" t="s">
        <v>37</v>
      </c>
      <c r="I22" s="87">
        <v>1.3514999999999999</v>
      </c>
      <c r="J22" s="88">
        <v>1.6999999999999999E-3</v>
      </c>
      <c r="K22" s="89">
        <v>0</v>
      </c>
      <c r="L22" s="90">
        <v>37.322600000000001</v>
      </c>
      <c r="M22" s="89">
        <v>6.4000000000000001E-2</v>
      </c>
      <c r="N22" s="89">
        <v>0</v>
      </c>
      <c r="O22" s="109">
        <f>SUM(Table1[[#This Row],[2022]:[YTD 2024]])</f>
        <v>1.3532</v>
      </c>
      <c r="P22" s="219">
        <f>IFERROR(((Table1[[#This Row],[2023]]-Table1[[#This Row],[2022]])/Table1[[#This Row],[2022]]),0)</f>
        <v>-0.99874213836477987</v>
      </c>
      <c r="Q22" s="219">
        <f>IFERROR(((Table1[[#This Row],[Volume 2023]]-Table1[[#This Row],[Volume 2022]])/Table1[[#This Row],[Volume 2022]]),0)</f>
        <v>-0.99828522128683428</v>
      </c>
      <c r="R22" s="219">
        <f>Table1[[#This Row],[YoY growth]]-Table1[[#This Row],[Volume growth]]</f>
        <v>-4.5691707794559555E-4</v>
      </c>
      <c r="S22" s="46"/>
    </row>
    <row r="23" spans="1:19" hidden="1" x14ac:dyDescent="0.25">
      <c r="A23" s="45"/>
      <c r="B23" s="41" t="s">
        <v>714</v>
      </c>
      <c r="C23" s="39" t="s">
        <v>881</v>
      </c>
      <c r="D23" s="39" t="s">
        <v>1034</v>
      </c>
      <c r="E23" s="42" t="s">
        <v>39</v>
      </c>
      <c r="F23" s="43" t="s">
        <v>9</v>
      </c>
      <c r="G23" s="38" t="s">
        <v>20</v>
      </c>
      <c r="H23" s="79" t="s">
        <v>37</v>
      </c>
      <c r="I23" s="87">
        <v>5.8978000000000002</v>
      </c>
      <c r="J23" s="88">
        <v>0.1087</v>
      </c>
      <c r="K23" s="89">
        <v>0</v>
      </c>
      <c r="L23" s="90">
        <v>169.58080000000001</v>
      </c>
      <c r="M23" s="89">
        <v>3.3822999999999999</v>
      </c>
      <c r="N23" s="89">
        <v>0</v>
      </c>
      <c r="O23" s="109">
        <f>SUM(Table1[[#This Row],[2022]:[YTD 2024]])</f>
        <v>6.0065</v>
      </c>
      <c r="P23" s="219">
        <f>IFERROR(((Table1[[#This Row],[2023]]-Table1[[#This Row],[2022]])/Table1[[#This Row],[2022]]),0)</f>
        <v>-0.98156939875885929</v>
      </c>
      <c r="Q23" s="219">
        <f>IFERROR(((Table1[[#This Row],[Volume 2023]]-Table1[[#This Row],[Volume 2022]])/Table1[[#This Row],[Volume 2022]]),0)</f>
        <v>-0.98005493546439226</v>
      </c>
      <c r="R23" s="219">
        <f>Table1[[#This Row],[YoY growth]]-Table1[[#This Row],[Volume growth]]</f>
        <v>-1.5144632944670278E-3</v>
      </c>
      <c r="S23" s="46"/>
    </row>
    <row r="24" spans="1:19" hidden="1" x14ac:dyDescent="0.25">
      <c r="A24" s="45"/>
      <c r="B24" s="41" t="s">
        <v>714</v>
      </c>
      <c r="C24" s="39" t="s">
        <v>881</v>
      </c>
      <c r="D24" s="39" t="s">
        <v>1034</v>
      </c>
      <c r="E24" s="42" t="s">
        <v>40</v>
      </c>
      <c r="F24" s="43" t="s">
        <v>9</v>
      </c>
      <c r="G24" s="38" t="s">
        <v>30</v>
      </c>
      <c r="H24" s="79" t="s">
        <v>37</v>
      </c>
      <c r="I24" s="87">
        <v>0.69669999999999999</v>
      </c>
      <c r="J24" s="88">
        <v>28.392900000000001</v>
      </c>
      <c r="K24" s="89">
        <v>2.1978</v>
      </c>
      <c r="L24" s="90">
        <v>25.606300000000001</v>
      </c>
      <c r="M24" s="89">
        <v>1226.3661999999999</v>
      </c>
      <c r="N24" s="89">
        <v>96.438800000000001</v>
      </c>
      <c r="O24" s="109">
        <f>SUM(Table1[[#This Row],[2022]:[YTD 2024]])</f>
        <v>31.287400000000002</v>
      </c>
      <c r="P24" s="219">
        <f>IFERROR(((Table1[[#This Row],[2023]]-Table1[[#This Row],[2022]])/Table1[[#This Row],[2022]]),0)</f>
        <v>39.753408927802496</v>
      </c>
      <c r="Q24" s="219">
        <f>IFERROR(((Table1[[#This Row],[Volume 2023]]-Table1[[#This Row],[Volume 2022]])/Table1[[#This Row],[Volume 2022]]),0)</f>
        <v>46.89314348422068</v>
      </c>
      <c r="R24" s="219">
        <f>Table1[[#This Row],[YoY growth]]-Table1[[#This Row],[Volume growth]]</f>
        <v>-7.1397345564181833</v>
      </c>
      <c r="S24" s="46"/>
    </row>
    <row r="25" spans="1:19" hidden="1" x14ac:dyDescent="0.25">
      <c r="A25" s="45"/>
      <c r="B25" s="41" t="s">
        <v>714</v>
      </c>
      <c r="C25" s="39" t="s">
        <v>881</v>
      </c>
      <c r="D25" s="39" t="s">
        <v>1034</v>
      </c>
      <c r="E25" s="42" t="s">
        <v>41</v>
      </c>
      <c r="F25" s="43" t="s">
        <v>9</v>
      </c>
      <c r="G25" s="38" t="s">
        <v>10</v>
      </c>
      <c r="H25" s="79" t="s">
        <v>42</v>
      </c>
      <c r="I25" s="87">
        <v>117.6534</v>
      </c>
      <c r="J25" s="88">
        <v>68.117699999999999</v>
      </c>
      <c r="K25" s="89">
        <v>28.349900000000002</v>
      </c>
      <c r="L25" s="90">
        <v>3055.9405999999999</v>
      </c>
      <c r="M25" s="89">
        <v>1781.8513</v>
      </c>
      <c r="N25" s="89">
        <v>711.07719999999995</v>
      </c>
      <c r="O25" s="109">
        <f>SUM(Table1[[#This Row],[2022]:[YTD 2024]])</f>
        <v>214.12099999999998</v>
      </c>
      <c r="P25" s="219">
        <f>IFERROR(((Table1[[#This Row],[2023]]-Table1[[#This Row],[2022]])/Table1[[#This Row],[2022]]),0)</f>
        <v>-0.42103075644222782</v>
      </c>
      <c r="Q25" s="219">
        <f>IFERROR(((Table1[[#This Row],[Volume 2023]]-Table1[[#This Row],[Volume 2022]])/Table1[[#This Row],[Volume 2022]]),0)</f>
        <v>-0.41692214174581793</v>
      </c>
      <c r="R25" s="219">
        <f>Table1[[#This Row],[YoY growth]]-Table1[[#This Row],[Volume growth]]</f>
        <v>-4.1086146964098846E-3</v>
      </c>
      <c r="S25" s="46"/>
    </row>
    <row r="26" spans="1:19" hidden="1" x14ac:dyDescent="0.25">
      <c r="A26" s="45"/>
      <c r="B26" s="41" t="s">
        <v>714</v>
      </c>
      <c r="C26" s="39" t="s">
        <v>881</v>
      </c>
      <c r="D26" s="39" t="s">
        <v>1034</v>
      </c>
      <c r="E26" s="42" t="s">
        <v>43</v>
      </c>
      <c r="F26" s="43" t="s">
        <v>9</v>
      </c>
      <c r="G26" s="38" t="s">
        <v>10</v>
      </c>
      <c r="H26" s="79" t="s">
        <v>42</v>
      </c>
      <c r="I26" s="87">
        <v>38.677799999999998</v>
      </c>
      <c r="J26" s="88">
        <v>31.4983</v>
      </c>
      <c r="K26" s="89">
        <v>9.7551000000000005</v>
      </c>
      <c r="L26" s="90">
        <v>954.11220000000003</v>
      </c>
      <c r="M26" s="89">
        <v>803.28520000000003</v>
      </c>
      <c r="N26" s="89">
        <v>236.19829999999999</v>
      </c>
      <c r="O26" s="109">
        <f>SUM(Table1[[#This Row],[2022]:[YTD 2024]])</f>
        <v>79.93119999999999</v>
      </c>
      <c r="P26" s="219">
        <f>IFERROR(((Table1[[#This Row],[2023]]-Table1[[#This Row],[2022]])/Table1[[#This Row],[2022]]),0)</f>
        <v>-0.18562327743563486</v>
      </c>
      <c r="Q26" s="219">
        <f>IFERROR(((Table1[[#This Row],[Volume 2023]]-Table1[[#This Row],[Volume 2022]])/Table1[[#This Row],[Volume 2022]]),0)</f>
        <v>-0.15808098879775354</v>
      </c>
      <c r="R26" s="219">
        <f>Table1[[#This Row],[YoY growth]]-Table1[[#This Row],[Volume growth]]</f>
        <v>-2.7542288637881329E-2</v>
      </c>
      <c r="S26" s="46"/>
    </row>
    <row r="27" spans="1:19" hidden="1" x14ac:dyDescent="0.25">
      <c r="A27" s="45"/>
      <c r="B27" s="41" t="s">
        <v>714</v>
      </c>
      <c r="C27" s="39" t="s">
        <v>881</v>
      </c>
      <c r="D27" s="39" t="s">
        <v>1034</v>
      </c>
      <c r="E27" s="42" t="s">
        <v>44</v>
      </c>
      <c r="F27" s="43" t="s">
        <v>9</v>
      </c>
      <c r="G27" s="38" t="s">
        <v>20</v>
      </c>
      <c r="H27" s="79" t="s">
        <v>42</v>
      </c>
      <c r="I27" s="87">
        <v>6.1199999999999997E-2</v>
      </c>
      <c r="J27" s="88">
        <v>0</v>
      </c>
      <c r="K27" s="89">
        <v>0</v>
      </c>
      <c r="L27" s="90">
        <v>1.6046</v>
      </c>
      <c r="M27" s="89">
        <v>0</v>
      </c>
      <c r="N27" s="89">
        <v>0</v>
      </c>
      <c r="O27" s="109">
        <f>SUM(Table1[[#This Row],[2022]:[YTD 2024]])</f>
        <v>6.1199999999999997E-2</v>
      </c>
      <c r="P27" s="219">
        <f>IFERROR(((Table1[[#This Row],[2023]]-Table1[[#This Row],[2022]])/Table1[[#This Row],[2022]]),0)</f>
        <v>-1</v>
      </c>
      <c r="Q27" s="219">
        <f>IFERROR(((Table1[[#This Row],[Volume 2023]]-Table1[[#This Row],[Volume 2022]])/Table1[[#This Row],[Volume 2022]]),0)</f>
        <v>-1</v>
      </c>
      <c r="R27" s="219">
        <f>Table1[[#This Row],[YoY growth]]-Table1[[#This Row],[Volume growth]]</f>
        <v>0</v>
      </c>
      <c r="S27" s="46"/>
    </row>
    <row r="28" spans="1:19" hidden="1" x14ac:dyDescent="0.25">
      <c r="A28" s="45"/>
      <c r="B28" s="41" t="s">
        <v>714</v>
      </c>
      <c r="C28" s="39" t="s">
        <v>881</v>
      </c>
      <c r="D28" s="39" t="s">
        <v>1034</v>
      </c>
      <c r="E28" s="42" t="s">
        <v>45</v>
      </c>
      <c r="F28" s="43" t="s">
        <v>9</v>
      </c>
      <c r="G28" s="38" t="s">
        <v>20</v>
      </c>
      <c r="H28" s="79" t="s">
        <v>42</v>
      </c>
      <c r="I28" s="87">
        <v>36.521799999999999</v>
      </c>
      <c r="J28" s="88">
        <v>5.1192000000000002</v>
      </c>
      <c r="K28" s="89">
        <v>1.1213</v>
      </c>
      <c r="L28" s="90">
        <v>1199.5277000000001</v>
      </c>
      <c r="M28" s="89">
        <v>135.36869999999999</v>
      </c>
      <c r="N28" s="89">
        <v>30.554400000000001</v>
      </c>
      <c r="O28" s="109">
        <f>SUM(Table1[[#This Row],[2022]:[YTD 2024]])</f>
        <v>42.762299999999996</v>
      </c>
      <c r="P28" s="219">
        <f>IFERROR(((Table1[[#This Row],[2023]]-Table1[[#This Row],[2022]])/Table1[[#This Row],[2022]]),0)</f>
        <v>-0.85983166218532492</v>
      </c>
      <c r="Q28" s="219">
        <f>IFERROR(((Table1[[#This Row],[Volume 2023]]-Table1[[#This Row],[Volume 2022]])/Table1[[#This Row],[Volume 2022]]),0)</f>
        <v>-0.88714833346491295</v>
      </c>
      <c r="R28" s="219">
        <f>Table1[[#This Row],[YoY growth]]-Table1[[#This Row],[Volume growth]]</f>
        <v>2.7316671279588034E-2</v>
      </c>
      <c r="S28" s="46"/>
    </row>
    <row r="29" spans="1:19" hidden="1" x14ac:dyDescent="0.25">
      <c r="A29" s="45"/>
      <c r="B29" s="41" t="s">
        <v>714</v>
      </c>
      <c r="C29" s="39" t="s">
        <v>881</v>
      </c>
      <c r="D29" s="39" t="s">
        <v>1034</v>
      </c>
      <c r="E29" s="42" t="s">
        <v>46</v>
      </c>
      <c r="F29" s="43" t="s">
        <v>9</v>
      </c>
      <c r="G29" s="38" t="s">
        <v>20</v>
      </c>
      <c r="H29" s="79" t="s">
        <v>42</v>
      </c>
      <c r="I29" s="87">
        <v>21.958300000000001</v>
      </c>
      <c r="J29" s="88">
        <v>39.467100000000002</v>
      </c>
      <c r="K29" s="89">
        <v>10.7844</v>
      </c>
      <c r="L29" s="90">
        <v>726.31399999999996</v>
      </c>
      <c r="M29" s="89">
        <v>1508.4713999999999</v>
      </c>
      <c r="N29" s="89">
        <v>314.52640000000002</v>
      </c>
      <c r="O29" s="109">
        <f>SUM(Table1[[#This Row],[2022]:[YTD 2024]])</f>
        <v>72.209800000000001</v>
      </c>
      <c r="P29" s="219">
        <f>IFERROR(((Table1[[#This Row],[2023]]-Table1[[#This Row],[2022]])/Table1[[#This Row],[2022]]),0)</f>
        <v>0.79736591630499631</v>
      </c>
      <c r="Q29" s="219">
        <f>IFERROR(((Table1[[#This Row],[Volume 2023]]-Table1[[#This Row],[Volume 2022]])/Table1[[#This Row],[Volume 2022]]),0)</f>
        <v>1.0768860300090595</v>
      </c>
      <c r="R29" s="219">
        <f>Table1[[#This Row],[YoY growth]]-Table1[[#This Row],[Volume growth]]</f>
        <v>-0.27952011370406316</v>
      </c>
      <c r="S29" s="46"/>
    </row>
    <row r="30" spans="1:19" hidden="1" x14ac:dyDescent="0.25">
      <c r="A30" s="45"/>
      <c r="B30" s="41" t="s">
        <v>714</v>
      </c>
      <c r="C30" s="39" t="s">
        <v>881</v>
      </c>
      <c r="D30" s="39" t="s">
        <v>1034</v>
      </c>
      <c r="E30" s="42" t="s">
        <v>47</v>
      </c>
      <c r="F30" s="43" t="s">
        <v>9</v>
      </c>
      <c r="G30" s="38" t="s">
        <v>20</v>
      </c>
      <c r="H30" s="79" t="s">
        <v>42</v>
      </c>
      <c r="I30" s="87">
        <v>27.983599999999999</v>
      </c>
      <c r="J30" s="88">
        <v>162.41050000000001</v>
      </c>
      <c r="K30" s="89">
        <v>103.16800000000001</v>
      </c>
      <c r="L30" s="90">
        <v>928.81529999999998</v>
      </c>
      <c r="M30" s="89">
        <v>5484.9444999999996</v>
      </c>
      <c r="N30" s="89">
        <v>3446.0194999999999</v>
      </c>
      <c r="O30" s="109">
        <f>SUM(Table1[[#This Row],[2022]:[YTD 2024]])</f>
        <v>293.56209999999999</v>
      </c>
      <c r="P30" s="219">
        <f>IFERROR(((Table1[[#This Row],[2023]]-Table1[[#This Row],[2022]])/Table1[[#This Row],[2022]]),0)</f>
        <v>4.8037743535499375</v>
      </c>
      <c r="Q30" s="219">
        <f>IFERROR(((Table1[[#This Row],[Volume 2023]]-Table1[[#This Row],[Volume 2022]])/Table1[[#This Row],[Volume 2022]]),0)</f>
        <v>4.9053123909565226</v>
      </c>
      <c r="R30" s="219">
        <f>Table1[[#This Row],[YoY growth]]-Table1[[#This Row],[Volume growth]]</f>
        <v>-0.10153803740658507</v>
      </c>
      <c r="S30" s="46"/>
    </row>
    <row r="31" spans="1:19" x14ac:dyDescent="0.25">
      <c r="A31" s="45"/>
      <c r="B31" s="226" t="s">
        <v>744</v>
      </c>
      <c r="C31" s="227" t="s">
        <v>922</v>
      </c>
      <c r="D31" s="227" t="s">
        <v>1061</v>
      </c>
      <c r="E31" s="228" t="s">
        <v>191</v>
      </c>
      <c r="F31" s="43" t="s">
        <v>9</v>
      </c>
      <c r="G31" s="229" t="s">
        <v>20</v>
      </c>
      <c r="H31" s="79" t="s">
        <v>24</v>
      </c>
      <c r="I31" s="87">
        <v>393.93759999999997</v>
      </c>
      <c r="J31" s="88">
        <v>316.5532</v>
      </c>
      <c r="K31" s="89">
        <v>120.4361</v>
      </c>
      <c r="L31" s="90">
        <v>20334.628400000001</v>
      </c>
      <c r="M31" s="89">
        <v>15456.115599999999</v>
      </c>
      <c r="N31" s="89">
        <v>5660.8364000000001</v>
      </c>
      <c r="O31" s="109">
        <f>SUM(Table1[[#This Row],[2022]:[YTD 2024]])</f>
        <v>830.92690000000005</v>
      </c>
      <c r="P31" s="219">
        <f>IFERROR(((Table1[[#This Row],[2023]]-Table1[[#This Row],[2022]])/Table1[[#This Row],[2022]]),0)</f>
        <v>-0.19643821762634484</v>
      </c>
      <c r="Q31" s="219">
        <f>IFERROR(((Table1[[#This Row],[Volume 2023]]-Table1[[#This Row],[Volume 2022]])/Table1[[#This Row],[Volume 2022]]),0)</f>
        <v>-0.23991157861532408</v>
      </c>
      <c r="R31" s="219">
        <f>Table1[[#This Row],[YoY growth]]-Table1[[#This Row],[Volume growth]]</f>
        <v>4.3473360988979248E-2</v>
      </c>
      <c r="S31" s="46"/>
    </row>
    <row r="32" spans="1:19" hidden="1" x14ac:dyDescent="0.25">
      <c r="A32" s="45"/>
      <c r="B32" s="41" t="s">
        <v>714</v>
      </c>
      <c r="C32" s="39" t="s">
        <v>881</v>
      </c>
      <c r="D32" s="39" t="s">
        <v>1034</v>
      </c>
      <c r="E32" s="42" t="s">
        <v>49</v>
      </c>
      <c r="F32" s="43" t="s">
        <v>9</v>
      </c>
      <c r="G32" s="38" t="s">
        <v>20</v>
      </c>
      <c r="H32" s="79" t="s">
        <v>42</v>
      </c>
      <c r="I32" s="87">
        <v>6.4486999999999997</v>
      </c>
      <c r="J32" s="88">
        <v>1.6863999999999999</v>
      </c>
      <c r="K32" s="89">
        <v>0</v>
      </c>
      <c r="L32" s="90">
        <v>194.65190000000001</v>
      </c>
      <c r="M32" s="89">
        <v>50.700299999999999</v>
      </c>
      <c r="N32" s="89">
        <v>0</v>
      </c>
      <c r="O32" s="109">
        <f>SUM(Table1[[#This Row],[2022]:[YTD 2024]])</f>
        <v>8.1350999999999996</v>
      </c>
      <c r="P32" s="219">
        <f>IFERROR(((Table1[[#This Row],[2023]]-Table1[[#This Row],[2022]])/Table1[[#This Row],[2022]]),0)</f>
        <v>-0.73848992820258352</v>
      </c>
      <c r="Q32" s="219">
        <f>IFERROR(((Table1[[#This Row],[Volume 2023]]-Table1[[#This Row],[Volume 2022]])/Table1[[#This Row],[Volume 2022]]),0)</f>
        <v>-0.73953349543467084</v>
      </c>
      <c r="R32" s="219">
        <f>Table1[[#This Row],[YoY growth]]-Table1[[#This Row],[Volume growth]]</f>
        <v>1.0435672320873168E-3</v>
      </c>
      <c r="S32" s="46"/>
    </row>
    <row r="33" spans="1:19" hidden="1" x14ac:dyDescent="0.25">
      <c r="A33" s="45"/>
      <c r="B33" s="41" t="s">
        <v>714</v>
      </c>
      <c r="C33" s="39" t="s">
        <v>881</v>
      </c>
      <c r="D33" s="39" t="s">
        <v>1034</v>
      </c>
      <c r="E33" s="42" t="s">
        <v>50</v>
      </c>
      <c r="F33" s="43" t="s">
        <v>9</v>
      </c>
      <c r="G33" s="38" t="s">
        <v>20</v>
      </c>
      <c r="H33" s="79" t="s">
        <v>42</v>
      </c>
      <c r="I33" s="87">
        <v>0</v>
      </c>
      <c r="J33" s="88">
        <v>0</v>
      </c>
      <c r="K33" s="89">
        <v>0</v>
      </c>
      <c r="L33" s="90">
        <v>0</v>
      </c>
      <c r="M33" s="89">
        <v>0</v>
      </c>
      <c r="N33" s="89">
        <v>0</v>
      </c>
      <c r="O33" s="109">
        <f>SUM(Table1[[#This Row],[2022]:[YTD 2024]])</f>
        <v>0</v>
      </c>
      <c r="P33" s="219">
        <f>IFERROR(((Table1[[#This Row],[2023]]-Table1[[#This Row],[2022]])/Table1[[#This Row],[2022]]),0)</f>
        <v>0</v>
      </c>
      <c r="Q33" s="219">
        <f>IFERROR(((Table1[[#This Row],[Volume 2023]]-Table1[[#This Row],[Volume 2022]])/Table1[[#This Row],[Volume 2022]]),0)</f>
        <v>0</v>
      </c>
      <c r="R33" s="219">
        <f>Table1[[#This Row],[YoY growth]]-Table1[[#This Row],[Volume growth]]</f>
        <v>0</v>
      </c>
      <c r="S33" s="46"/>
    </row>
    <row r="34" spans="1:19" x14ac:dyDescent="0.25">
      <c r="A34" s="45"/>
      <c r="B34" s="226" t="s">
        <v>791</v>
      </c>
      <c r="C34" s="227" t="s">
        <v>985</v>
      </c>
      <c r="D34" s="227" t="s">
        <v>1112</v>
      </c>
      <c r="E34" s="228" t="s">
        <v>479</v>
      </c>
      <c r="F34" s="43" t="s">
        <v>9</v>
      </c>
      <c r="G34" s="229" t="s">
        <v>30</v>
      </c>
      <c r="H34" s="79" t="s">
        <v>476</v>
      </c>
      <c r="I34" s="87">
        <v>264.06810000000002</v>
      </c>
      <c r="J34" s="88">
        <v>329.44319999999999</v>
      </c>
      <c r="K34" s="89">
        <v>205.9486</v>
      </c>
      <c r="L34" s="90">
        <v>3958.0279</v>
      </c>
      <c r="M34" s="89">
        <v>5113.9928</v>
      </c>
      <c r="N34" s="89">
        <v>2876.5592000000001</v>
      </c>
      <c r="O34" s="109">
        <f>SUM(Table1[[#This Row],[2022]:[YTD 2024]])</f>
        <v>799.45990000000006</v>
      </c>
      <c r="P34" s="219">
        <f>IFERROR(((Table1[[#This Row],[2023]]-Table1[[#This Row],[2022]])/Table1[[#This Row],[2022]]),0)</f>
        <v>0.2475690929726081</v>
      </c>
      <c r="Q34" s="219">
        <f>IFERROR(((Table1[[#This Row],[Volume 2023]]-Table1[[#This Row],[Volume 2022]])/Table1[[#This Row],[Volume 2022]]),0)</f>
        <v>0.29205577353307688</v>
      </c>
      <c r="R34" s="219">
        <f>Table1[[#This Row],[YoY growth]]-Table1[[#This Row],[Volume growth]]</f>
        <v>-4.4486680560468783E-2</v>
      </c>
      <c r="S34" s="46"/>
    </row>
    <row r="35" spans="1:19" hidden="1" x14ac:dyDescent="0.25">
      <c r="A35" s="45"/>
      <c r="B35" s="41" t="s">
        <v>714</v>
      </c>
      <c r="C35" s="39" t="s">
        <v>881</v>
      </c>
      <c r="D35" s="39" t="s">
        <v>1034</v>
      </c>
      <c r="E35" s="42" t="s">
        <v>52</v>
      </c>
      <c r="F35" s="43" t="s">
        <v>9</v>
      </c>
      <c r="G35" s="38" t="s">
        <v>10</v>
      </c>
      <c r="H35" s="79" t="s">
        <v>17</v>
      </c>
      <c r="I35" s="87">
        <v>1.7698</v>
      </c>
      <c r="J35" s="88">
        <v>0.36170000000000002</v>
      </c>
      <c r="K35" s="89">
        <v>0.20810000000000001</v>
      </c>
      <c r="L35" s="90">
        <v>50.220500000000001</v>
      </c>
      <c r="M35" s="89">
        <v>12.068099999999999</v>
      </c>
      <c r="N35" s="89">
        <v>5.4642999999999997</v>
      </c>
      <c r="O35" s="109">
        <f>SUM(Table1[[#This Row],[2022]:[YTD 2024]])</f>
        <v>2.3395999999999999</v>
      </c>
      <c r="P35" s="219">
        <f>IFERROR(((Table1[[#This Row],[2023]]-Table1[[#This Row],[2022]])/Table1[[#This Row],[2022]]),0)</f>
        <v>-0.79562662447734211</v>
      </c>
      <c r="Q35" s="219">
        <f>IFERROR(((Table1[[#This Row],[Volume 2023]]-Table1[[#This Row],[Volume 2022]])/Table1[[#This Row],[Volume 2022]]),0)</f>
        <v>-0.75969773299748111</v>
      </c>
      <c r="R35" s="219">
        <f>Table1[[#This Row],[YoY growth]]-Table1[[#This Row],[Volume growth]]</f>
        <v>-3.5928891479861003E-2</v>
      </c>
      <c r="S35" s="46"/>
    </row>
    <row r="36" spans="1:19" hidden="1" x14ac:dyDescent="0.25">
      <c r="A36" s="45"/>
      <c r="B36" s="41" t="s">
        <v>714</v>
      </c>
      <c r="C36" s="39" t="s">
        <v>881</v>
      </c>
      <c r="D36" s="39" t="s">
        <v>1034</v>
      </c>
      <c r="E36" s="42" t="s">
        <v>53</v>
      </c>
      <c r="F36" s="43" t="s">
        <v>9</v>
      </c>
      <c r="G36" s="38" t="s">
        <v>10</v>
      </c>
      <c r="H36" s="79" t="s">
        <v>17</v>
      </c>
      <c r="I36" s="87">
        <v>61.981900000000003</v>
      </c>
      <c r="J36" s="88">
        <v>56.970199999999998</v>
      </c>
      <c r="K36" s="89">
        <v>23.8948</v>
      </c>
      <c r="L36" s="90">
        <v>1524.2099000000001</v>
      </c>
      <c r="M36" s="89">
        <v>1404.4858999999999</v>
      </c>
      <c r="N36" s="89">
        <v>554.68420000000003</v>
      </c>
      <c r="O36" s="109">
        <f>SUM(Table1[[#This Row],[2022]:[YTD 2024]])</f>
        <v>142.84690000000001</v>
      </c>
      <c r="P36" s="219">
        <f>IFERROR(((Table1[[#This Row],[2023]]-Table1[[#This Row],[2022]])/Table1[[#This Row],[2022]]),0)</f>
        <v>-8.0857476134161818E-2</v>
      </c>
      <c r="Q36" s="219">
        <f>IFERROR(((Table1[[#This Row],[Volume 2023]]-Table1[[#This Row],[Volume 2022]])/Table1[[#This Row],[Volume 2022]]),0)</f>
        <v>-7.8548236696271395E-2</v>
      </c>
      <c r="R36" s="219">
        <f>Table1[[#This Row],[YoY growth]]-Table1[[#This Row],[Volume growth]]</f>
        <v>-2.309239437890423E-3</v>
      </c>
      <c r="S36" s="46"/>
    </row>
    <row r="37" spans="1:19" hidden="1" x14ac:dyDescent="0.25">
      <c r="A37" s="45"/>
      <c r="B37" s="41" t="s">
        <v>715</v>
      </c>
      <c r="C37" s="39" t="s">
        <v>882</v>
      </c>
      <c r="D37" s="39" t="s">
        <v>1035</v>
      </c>
      <c r="E37" s="42" t="s">
        <v>54</v>
      </c>
      <c r="F37" s="43" t="s">
        <v>9</v>
      </c>
      <c r="G37" s="38" t="s">
        <v>20</v>
      </c>
      <c r="H37" s="79" t="s">
        <v>24</v>
      </c>
      <c r="I37" s="87">
        <v>78.227999999999994</v>
      </c>
      <c r="J37" s="88">
        <v>99.030500000000004</v>
      </c>
      <c r="K37" s="89">
        <v>56.674100000000003</v>
      </c>
      <c r="L37" s="90">
        <v>4816.5708000000004</v>
      </c>
      <c r="M37" s="89">
        <v>5822.6243999999997</v>
      </c>
      <c r="N37" s="89">
        <v>2923.4182999999998</v>
      </c>
      <c r="O37" s="109">
        <f>SUM(Table1[[#This Row],[2022]:[YTD 2024]])</f>
        <v>233.93260000000001</v>
      </c>
      <c r="P37" s="219">
        <f>IFERROR(((Table1[[#This Row],[2023]]-Table1[[#This Row],[2022]])/Table1[[#This Row],[2022]]),0)</f>
        <v>0.2659214092140923</v>
      </c>
      <c r="Q37" s="219">
        <f>IFERROR(((Table1[[#This Row],[Volume 2023]]-Table1[[#This Row],[Volume 2022]])/Table1[[#This Row],[Volume 2022]]),0)</f>
        <v>0.20887341674703488</v>
      </c>
      <c r="R37" s="219">
        <f>Table1[[#This Row],[YoY growth]]-Table1[[#This Row],[Volume growth]]</f>
        <v>5.7047992467057412E-2</v>
      </c>
      <c r="S37" s="46"/>
    </row>
    <row r="38" spans="1:19" hidden="1" x14ac:dyDescent="0.25">
      <c r="A38" s="45"/>
      <c r="B38" s="41" t="s">
        <v>715</v>
      </c>
      <c r="C38" s="39" t="s">
        <v>882</v>
      </c>
      <c r="D38" s="39" t="s">
        <v>1035</v>
      </c>
      <c r="E38" s="42" t="s">
        <v>55</v>
      </c>
      <c r="F38" s="43" t="s">
        <v>9</v>
      </c>
      <c r="G38" s="38" t="s">
        <v>10</v>
      </c>
      <c r="H38" s="79" t="s">
        <v>37</v>
      </c>
      <c r="I38" s="87">
        <v>11.11</v>
      </c>
      <c r="J38" s="88">
        <v>8.9543999999999997</v>
      </c>
      <c r="K38" s="89">
        <v>2.2328999999999999</v>
      </c>
      <c r="L38" s="90">
        <v>523.16819999999996</v>
      </c>
      <c r="M38" s="89">
        <v>387.32229999999998</v>
      </c>
      <c r="N38" s="89">
        <v>84.428399999999996</v>
      </c>
      <c r="O38" s="109">
        <f>SUM(Table1[[#This Row],[2022]:[YTD 2024]])</f>
        <v>22.2973</v>
      </c>
      <c r="P38" s="219">
        <f>IFERROR(((Table1[[#This Row],[2023]]-Table1[[#This Row],[2022]])/Table1[[#This Row],[2022]]),0)</f>
        <v>-0.19402340234023402</v>
      </c>
      <c r="Q38" s="219">
        <f>IFERROR(((Table1[[#This Row],[Volume 2023]]-Table1[[#This Row],[Volume 2022]])/Table1[[#This Row],[Volume 2022]]),0)</f>
        <v>-0.25966008637375126</v>
      </c>
      <c r="R38" s="219">
        <f>Table1[[#This Row],[YoY growth]]-Table1[[#This Row],[Volume growth]]</f>
        <v>6.5636684033517245E-2</v>
      </c>
      <c r="S38" s="46"/>
    </row>
    <row r="39" spans="1:19" hidden="1" x14ac:dyDescent="0.25">
      <c r="A39" s="45"/>
      <c r="B39" s="41" t="s">
        <v>715</v>
      </c>
      <c r="C39" s="39" t="s">
        <v>882</v>
      </c>
      <c r="D39" s="39" t="s">
        <v>1035</v>
      </c>
      <c r="E39" s="42" t="s">
        <v>56</v>
      </c>
      <c r="F39" s="43" t="s">
        <v>9</v>
      </c>
      <c r="G39" s="38" t="s">
        <v>10</v>
      </c>
      <c r="H39" s="79" t="s">
        <v>37</v>
      </c>
      <c r="I39" s="87">
        <v>79.953000000000003</v>
      </c>
      <c r="J39" s="88">
        <v>73.757099999999994</v>
      </c>
      <c r="K39" s="89">
        <v>40.362299999999998</v>
      </c>
      <c r="L39" s="90">
        <v>3388.3481999999999</v>
      </c>
      <c r="M39" s="89">
        <v>2840.8843000000002</v>
      </c>
      <c r="N39" s="89">
        <v>1387.0689</v>
      </c>
      <c r="O39" s="109">
        <f>SUM(Table1[[#This Row],[2022]:[YTD 2024]])</f>
        <v>194.07240000000002</v>
      </c>
      <c r="P39" s="219">
        <f>IFERROR(((Table1[[#This Row],[2023]]-Table1[[#This Row],[2022]])/Table1[[#This Row],[2022]]),0)</f>
        <v>-7.7494277888259466E-2</v>
      </c>
      <c r="Q39" s="219">
        <f>IFERROR(((Table1[[#This Row],[Volume 2023]]-Table1[[#This Row],[Volume 2022]])/Table1[[#This Row],[Volume 2022]]),0)</f>
        <v>-0.16157250308572174</v>
      </c>
      <c r="R39" s="219">
        <f>Table1[[#This Row],[YoY growth]]-Table1[[#This Row],[Volume growth]]</f>
        <v>8.4078225197462275E-2</v>
      </c>
      <c r="S39" s="46"/>
    </row>
    <row r="40" spans="1:19" hidden="1" x14ac:dyDescent="0.25">
      <c r="A40" s="45"/>
      <c r="B40" s="41" t="s">
        <v>715</v>
      </c>
      <c r="C40" s="39" t="s">
        <v>882</v>
      </c>
      <c r="D40" s="39" t="s">
        <v>1035</v>
      </c>
      <c r="E40" s="42" t="s">
        <v>57</v>
      </c>
      <c r="F40" s="43" t="s">
        <v>9</v>
      </c>
      <c r="G40" s="38" t="s">
        <v>10</v>
      </c>
      <c r="H40" s="79" t="s">
        <v>37</v>
      </c>
      <c r="I40" s="87">
        <v>12.195</v>
      </c>
      <c r="J40" s="88">
        <v>8.5597999999999992</v>
      </c>
      <c r="K40" s="89">
        <v>1.6516999999999999</v>
      </c>
      <c r="L40" s="90">
        <v>553.03880000000004</v>
      </c>
      <c r="M40" s="89">
        <v>369.83049999999997</v>
      </c>
      <c r="N40" s="89">
        <v>64.100099999999998</v>
      </c>
      <c r="O40" s="109">
        <f>SUM(Table1[[#This Row],[2022]:[YTD 2024]])</f>
        <v>22.406500000000001</v>
      </c>
      <c r="P40" s="219">
        <f>IFERROR(((Table1[[#This Row],[2023]]-Table1[[#This Row],[2022]])/Table1[[#This Row],[2022]]),0)</f>
        <v>-0.29808938089380904</v>
      </c>
      <c r="Q40" s="219">
        <f>IFERROR(((Table1[[#This Row],[Volume 2023]]-Table1[[#This Row],[Volume 2022]])/Table1[[#This Row],[Volume 2022]]),0)</f>
        <v>-0.33127567179734957</v>
      </c>
      <c r="R40" s="219">
        <f>Table1[[#This Row],[YoY growth]]-Table1[[#This Row],[Volume growth]]</f>
        <v>3.3186290903540527E-2</v>
      </c>
      <c r="S40" s="46"/>
    </row>
    <row r="41" spans="1:19" hidden="1" x14ac:dyDescent="0.25">
      <c r="A41" s="45"/>
      <c r="B41" s="41" t="s">
        <v>715</v>
      </c>
      <c r="C41" s="39" t="s">
        <v>882</v>
      </c>
      <c r="D41" s="39" t="s">
        <v>1035</v>
      </c>
      <c r="E41" s="42" t="s">
        <v>58</v>
      </c>
      <c r="F41" s="43" t="s">
        <v>9</v>
      </c>
      <c r="G41" s="38" t="s">
        <v>10</v>
      </c>
      <c r="H41" s="79" t="s">
        <v>37</v>
      </c>
      <c r="I41" s="87">
        <v>60.510800000000003</v>
      </c>
      <c r="J41" s="88">
        <v>52.405999999999999</v>
      </c>
      <c r="K41" s="89">
        <v>30.122800000000002</v>
      </c>
      <c r="L41" s="90">
        <v>2540.1291999999999</v>
      </c>
      <c r="M41" s="89">
        <v>2011.4869000000001</v>
      </c>
      <c r="N41" s="89">
        <v>1066.0352</v>
      </c>
      <c r="O41" s="109">
        <f>SUM(Table1[[#This Row],[2022]:[YTD 2024]])</f>
        <v>143.03960000000001</v>
      </c>
      <c r="P41" s="219">
        <f>IFERROR(((Table1[[#This Row],[2023]]-Table1[[#This Row],[2022]])/Table1[[#This Row],[2022]]),0)</f>
        <v>-0.13393972646205313</v>
      </c>
      <c r="Q41" s="219">
        <f>IFERROR(((Table1[[#This Row],[Volume 2023]]-Table1[[#This Row],[Volume 2022]])/Table1[[#This Row],[Volume 2022]]),0)</f>
        <v>-0.20811630369037912</v>
      </c>
      <c r="R41" s="219">
        <f>Table1[[#This Row],[YoY growth]]-Table1[[#This Row],[Volume growth]]</f>
        <v>7.4176577228325991E-2</v>
      </c>
      <c r="S41" s="46"/>
    </row>
    <row r="42" spans="1:19" hidden="1" x14ac:dyDescent="0.25">
      <c r="A42" s="45"/>
      <c r="B42" s="41" t="s">
        <v>715</v>
      </c>
      <c r="C42" s="39" t="s">
        <v>882</v>
      </c>
      <c r="D42" s="39" t="s">
        <v>1035</v>
      </c>
      <c r="E42" s="42" t="s">
        <v>59</v>
      </c>
      <c r="F42" s="43" t="s">
        <v>9</v>
      </c>
      <c r="G42" s="38" t="s">
        <v>10</v>
      </c>
      <c r="H42" s="79" t="s">
        <v>37</v>
      </c>
      <c r="I42" s="87">
        <v>47.8005</v>
      </c>
      <c r="J42" s="88">
        <v>51.199100000000001</v>
      </c>
      <c r="K42" s="89">
        <v>29.6906</v>
      </c>
      <c r="L42" s="90">
        <v>1970.2177999999999</v>
      </c>
      <c r="M42" s="89">
        <v>1924.2328</v>
      </c>
      <c r="N42" s="89">
        <v>1027.8571999999999</v>
      </c>
      <c r="O42" s="109">
        <f>SUM(Table1[[#This Row],[2022]:[YTD 2024]])</f>
        <v>128.6902</v>
      </c>
      <c r="P42" s="219">
        <f>IFERROR(((Table1[[#This Row],[2023]]-Table1[[#This Row],[2022]])/Table1[[#This Row],[2022]]),0)</f>
        <v>7.1099674689595341E-2</v>
      </c>
      <c r="Q42" s="219">
        <f>IFERROR(((Table1[[#This Row],[Volume 2023]]-Table1[[#This Row],[Volume 2022]])/Table1[[#This Row],[Volume 2022]]),0)</f>
        <v>-2.3340059154881201E-2</v>
      </c>
      <c r="R42" s="219">
        <f>Table1[[#This Row],[YoY growth]]-Table1[[#This Row],[Volume growth]]</f>
        <v>9.4439733844476542E-2</v>
      </c>
      <c r="S42" s="46"/>
    </row>
    <row r="43" spans="1:19" hidden="1" x14ac:dyDescent="0.25">
      <c r="A43" s="45"/>
      <c r="B43" s="41" t="s">
        <v>715</v>
      </c>
      <c r="C43" s="39" t="s">
        <v>882</v>
      </c>
      <c r="D43" s="39" t="s">
        <v>1035</v>
      </c>
      <c r="E43" s="42" t="s">
        <v>60</v>
      </c>
      <c r="F43" s="43" t="s">
        <v>9</v>
      </c>
      <c r="G43" s="38" t="s">
        <v>20</v>
      </c>
      <c r="H43" s="79" t="s">
        <v>37</v>
      </c>
      <c r="I43" s="87">
        <v>0</v>
      </c>
      <c r="J43" s="88">
        <v>3.2536</v>
      </c>
      <c r="K43" s="89">
        <v>4.3144</v>
      </c>
      <c r="L43" s="90">
        <v>0</v>
      </c>
      <c r="M43" s="89">
        <v>139.34979999999999</v>
      </c>
      <c r="N43" s="89">
        <v>169.84690000000001</v>
      </c>
      <c r="O43" s="109">
        <f>SUM(Table1[[#This Row],[2022]:[YTD 2024]])</f>
        <v>7.5679999999999996</v>
      </c>
      <c r="P43" s="219">
        <f>IFERROR(((Table1[[#This Row],[2023]]-Table1[[#This Row],[2022]])/Table1[[#This Row],[2022]]),0)</f>
        <v>0</v>
      </c>
      <c r="Q43" s="219">
        <f>IFERROR(((Table1[[#This Row],[Volume 2023]]-Table1[[#This Row],[Volume 2022]])/Table1[[#This Row],[Volume 2022]]),0)</f>
        <v>0</v>
      </c>
      <c r="R43" s="219">
        <f>Table1[[#This Row],[YoY growth]]-Table1[[#This Row],[Volume growth]]</f>
        <v>0</v>
      </c>
      <c r="S43" s="46"/>
    </row>
    <row r="44" spans="1:19" hidden="1" x14ac:dyDescent="0.25">
      <c r="A44" s="45"/>
      <c r="B44" s="41" t="s">
        <v>715</v>
      </c>
      <c r="C44" s="39" t="s">
        <v>882</v>
      </c>
      <c r="D44" s="39" t="s">
        <v>1035</v>
      </c>
      <c r="E44" s="42" t="s">
        <v>61</v>
      </c>
      <c r="F44" s="43" t="s">
        <v>9</v>
      </c>
      <c r="G44" s="38" t="s">
        <v>20</v>
      </c>
      <c r="H44" s="79" t="s">
        <v>37</v>
      </c>
      <c r="I44" s="87">
        <v>5.5922000000000001</v>
      </c>
      <c r="J44" s="88">
        <v>5.3672000000000004</v>
      </c>
      <c r="K44" s="89">
        <v>2.5727000000000002</v>
      </c>
      <c r="L44" s="90">
        <v>261.04790000000003</v>
      </c>
      <c r="M44" s="89">
        <v>232.43600000000001</v>
      </c>
      <c r="N44" s="89">
        <v>93.995500000000007</v>
      </c>
      <c r="O44" s="109">
        <f>SUM(Table1[[#This Row],[2022]:[YTD 2024]])</f>
        <v>13.5321</v>
      </c>
      <c r="P44" s="219">
        <f>IFERROR(((Table1[[#This Row],[2023]]-Table1[[#This Row],[2022]])/Table1[[#This Row],[2022]]),0)</f>
        <v>-4.0234612495976478E-2</v>
      </c>
      <c r="Q44" s="219">
        <f>IFERROR(((Table1[[#This Row],[Volume 2023]]-Table1[[#This Row],[Volume 2022]])/Table1[[#This Row],[Volume 2022]]),0)</f>
        <v>-0.10960402286323705</v>
      </c>
      <c r="R44" s="219">
        <f>Table1[[#This Row],[YoY growth]]-Table1[[#This Row],[Volume growth]]</f>
        <v>6.9369410367260576E-2</v>
      </c>
      <c r="S44" s="46"/>
    </row>
    <row r="45" spans="1:19" hidden="1" x14ac:dyDescent="0.25">
      <c r="A45" s="45"/>
      <c r="B45" s="41" t="s">
        <v>715</v>
      </c>
      <c r="C45" s="39" t="s">
        <v>882</v>
      </c>
      <c r="D45" s="39" t="s">
        <v>1035</v>
      </c>
      <c r="E45" s="42" t="s">
        <v>62</v>
      </c>
      <c r="F45" s="43" t="s">
        <v>9</v>
      </c>
      <c r="G45" s="38" t="s">
        <v>20</v>
      </c>
      <c r="H45" s="79" t="s">
        <v>37</v>
      </c>
      <c r="I45" s="87">
        <v>53.490699999999997</v>
      </c>
      <c r="J45" s="88">
        <v>44.783700000000003</v>
      </c>
      <c r="K45" s="89">
        <v>26.440899999999999</v>
      </c>
      <c r="L45" s="90">
        <v>2262.5698000000002</v>
      </c>
      <c r="M45" s="89">
        <v>1667.4681</v>
      </c>
      <c r="N45" s="89">
        <v>920.88139999999999</v>
      </c>
      <c r="O45" s="109">
        <f>SUM(Table1[[#This Row],[2022]:[YTD 2024]])</f>
        <v>124.7153</v>
      </c>
      <c r="P45" s="219">
        <f>IFERROR(((Table1[[#This Row],[2023]]-Table1[[#This Row],[2022]])/Table1[[#This Row],[2022]]),0)</f>
        <v>-0.16277595918542839</v>
      </c>
      <c r="Q45" s="219">
        <f>IFERROR(((Table1[[#This Row],[Volume 2023]]-Table1[[#This Row],[Volume 2022]])/Table1[[#This Row],[Volume 2022]]),0)</f>
        <v>-0.26302026129757416</v>
      </c>
      <c r="R45" s="219">
        <f>Table1[[#This Row],[YoY growth]]-Table1[[#This Row],[Volume growth]]</f>
        <v>0.10024430211214577</v>
      </c>
      <c r="S45" s="46"/>
    </row>
    <row r="46" spans="1:19" hidden="1" x14ac:dyDescent="0.25">
      <c r="A46" s="45"/>
      <c r="B46" s="41" t="s">
        <v>715</v>
      </c>
      <c r="C46" s="39" t="s">
        <v>882</v>
      </c>
      <c r="D46" s="39" t="s">
        <v>1035</v>
      </c>
      <c r="E46" s="42" t="s">
        <v>63</v>
      </c>
      <c r="F46" s="43" t="s">
        <v>9</v>
      </c>
      <c r="G46" s="38" t="s">
        <v>64</v>
      </c>
      <c r="H46" s="79" t="s">
        <v>37</v>
      </c>
      <c r="I46" s="87">
        <v>8.2710000000000008</v>
      </c>
      <c r="J46" s="88">
        <v>9.9309999999999992</v>
      </c>
      <c r="K46" s="89">
        <v>1.1805000000000001</v>
      </c>
      <c r="L46" s="90">
        <v>392.0086</v>
      </c>
      <c r="M46" s="89">
        <v>426.19690000000003</v>
      </c>
      <c r="N46" s="89">
        <v>46.280799999999999</v>
      </c>
      <c r="O46" s="109">
        <f>SUM(Table1[[#This Row],[2022]:[YTD 2024]])</f>
        <v>19.382499999999997</v>
      </c>
      <c r="P46" s="219">
        <f>IFERROR(((Table1[[#This Row],[2023]]-Table1[[#This Row],[2022]])/Table1[[#This Row],[2022]]),0)</f>
        <v>0.20070124531495565</v>
      </c>
      <c r="Q46" s="219">
        <f>IFERROR(((Table1[[#This Row],[Volume 2023]]-Table1[[#This Row],[Volume 2022]])/Table1[[#This Row],[Volume 2022]]),0)</f>
        <v>8.7213137670959326E-2</v>
      </c>
      <c r="R46" s="219">
        <f>Table1[[#This Row],[YoY growth]]-Table1[[#This Row],[Volume growth]]</f>
        <v>0.11348810764399632</v>
      </c>
      <c r="S46" s="46"/>
    </row>
    <row r="47" spans="1:19" hidden="1" x14ac:dyDescent="0.25">
      <c r="A47" s="45"/>
      <c r="B47" s="41" t="s">
        <v>715</v>
      </c>
      <c r="C47" s="39" t="s">
        <v>882</v>
      </c>
      <c r="D47" s="39" t="s">
        <v>1035</v>
      </c>
      <c r="E47" s="42" t="s">
        <v>65</v>
      </c>
      <c r="F47" s="43" t="s">
        <v>9</v>
      </c>
      <c r="G47" s="38" t="s">
        <v>64</v>
      </c>
      <c r="H47" s="79" t="s">
        <v>37</v>
      </c>
      <c r="I47" s="87">
        <v>70.562299999999993</v>
      </c>
      <c r="J47" s="88">
        <v>56.785600000000002</v>
      </c>
      <c r="K47" s="89">
        <v>30.796600000000002</v>
      </c>
      <c r="L47" s="90">
        <v>2842.3220000000001</v>
      </c>
      <c r="M47" s="89">
        <v>2121.0371</v>
      </c>
      <c r="N47" s="89">
        <v>1067.8224</v>
      </c>
      <c r="O47" s="109">
        <f>SUM(Table1[[#This Row],[2022]:[YTD 2024]])</f>
        <v>158.14449999999999</v>
      </c>
      <c r="P47" s="219">
        <f>IFERROR(((Table1[[#This Row],[2023]]-Table1[[#This Row],[2022]])/Table1[[#This Row],[2022]]),0)</f>
        <v>-0.19524165170352997</v>
      </c>
      <c r="Q47" s="219">
        <f>IFERROR(((Table1[[#This Row],[Volume 2023]]-Table1[[#This Row],[Volume 2022]])/Table1[[#This Row],[Volume 2022]]),0)</f>
        <v>-0.25376607576481486</v>
      </c>
      <c r="R47" s="219">
        <f>Table1[[#This Row],[YoY growth]]-Table1[[#This Row],[Volume growth]]</f>
        <v>5.8524424061284885E-2</v>
      </c>
      <c r="S47" s="46"/>
    </row>
    <row r="48" spans="1:19" hidden="1" x14ac:dyDescent="0.25">
      <c r="A48" s="45"/>
      <c r="B48" s="41" t="s">
        <v>715</v>
      </c>
      <c r="C48" s="39" t="s">
        <v>882</v>
      </c>
      <c r="D48" s="39" t="s">
        <v>1035</v>
      </c>
      <c r="E48" s="42" t="s">
        <v>66</v>
      </c>
      <c r="F48" s="43" t="s">
        <v>9</v>
      </c>
      <c r="G48" s="38" t="s">
        <v>20</v>
      </c>
      <c r="H48" s="79" t="s">
        <v>37</v>
      </c>
      <c r="I48" s="87">
        <v>34.495899999999999</v>
      </c>
      <c r="J48" s="88">
        <v>35.333399999999997</v>
      </c>
      <c r="K48" s="89">
        <v>28.078199999999999</v>
      </c>
      <c r="L48" s="90">
        <v>1446.3839</v>
      </c>
      <c r="M48" s="89">
        <v>1359.9783</v>
      </c>
      <c r="N48" s="89">
        <v>967.9162</v>
      </c>
      <c r="O48" s="109">
        <f>SUM(Table1[[#This Row],[2022]:[YTD 2024]])</f>
        <v>97.907499999999985</v>
      </c>
      <c r="P48" s="219">
        <f>IFERROR(((Table1[[#This Row],[2023]]-Table1[[#This Row],[2022]])/Table1[[#This Row],[2022]]),0)</f>
        <v>2.4278247559854898E-2</v>
      </c>
      <c r="Q48" s="219">
        <f>IFERROR(((Table1[[#This Row],[Volume 2023]]-Table1[[#This Row],[Volume 2022]])/Table1[[#This Row],[Volume 2022]]),0)</f>
        <v>-5.9739049916139174E-2</v>
      </c>
      <c r="R48" s="219">
        <f>Table1[[#This Row],[YoY growth]]-Table1[[#This Row],[Volume growth]]</f>
        <v>8.4017297475994068E-2</v>
      </c>
      <c r="S48" s="46"/>
    </row>
    <row r="49" spans="1:19" hidden="1" x14ac:dyDescent="0.25">
      <c r="A49" s="45"/>
      <c r="B49" s="41" t="s">
        <v>715</v>
      </c>
      <c r="C49" s="39" t="s">
        <v>882</v>
      </c>
      <c r="D49" s="39" t="s">
        <v>1035</v>
      </c>
      <c r="E49" s="42" t="s">
        <v>67</v>
      </c>
      <c r="F49" s="43" t="s">
        <v>9</v>
      </c>
      <c r="G49" s="38" t="s">
        <v>30</v>
      </c>
      <c r="H49" s="79" t="s">
        <v>68</v>
      </c>
      <c r="I49" s="87">
        <v>49.5715</v>
      </c>
      <c r="J49" s="88">
        <v>57.943199999999997</v>
      </c>
      <c r="K49" s="89">
        <v>41.595799999999997</v>
      </c>
      <c r="L49" s="90">
        <v>2203.8969999999999</v>
      </c>
      <c r="M49" s="89">
        <v>2377.6914999999999</v>
      </c>
      <c r="N49" s="89">
        <v>1614.8326999999999</v>
      </c>
      <c r="O49" s="109">
        <f>SUM(Table1[[#This Row],[2022]:[YTD 2024]])</f>
        <v>149.1105</v>
      </c>
      <c r="P49" s="219">
        <f>IFERROR(((Table1[[#This Row],[2023]]-Table1[[#This Row],[2022]])/Table1[[#This Row],[2022]]),0)</f>
        <v>0.16888131285113417</v>
      </c>
      <c r="Q49" s="219">
        <f>IFERROR(((Table1[[#This Row],[Volume 2023]]-Table1[[#This Row],[Volume 2022]])/Table1[[#This Row],[Volume 2022]]),0)</f>
        <v>7.8857814135597074E-2</v>
      </c>
      <c r="R49" s="219">
        <f>Table1[[#This Row],[YoY growth]]-Table1[[#This Row],[Volume growth]]</f>
        <v>9.0023498715537095E-2</v>
      </c>
      <c r="S49" s="46"/>
    </row>
    <row r="50" spans="1:19" hidden="1" x14ac:dyDescent="0.25">
      <c r="A50" s="45"/>
      <c r="B50" s="41" t="s">
        <v>716</v>
      </c>
      <c r="C50" s="39" t="s">
        <v>883</v>
      </c>
      <c r="D50" s="39" t="s">
        <v>1036</v>
      </c>
      <c r="E50" s="42" t="s">
        <v>70</v>
      </c>
      <c r="F50" s="43" t="s">
        <v>9</v>
      </c>
      <c r="G50" s="38" t="s">
        <v>20</v>
      </c>
      <c r="H50" s="79" t="s">
        <v>24</v>
      </c>
      <c r="I50" s="87">
        <v>0</v>
      </c>
      <c r="J50" s="88">
        <v>0</v>
      </c>
      <c r="K50" s="89">
        <v>5.7117000000000004</v>
      </c>
      <c r="L50" s="90">
        <v>0</v>
      </c>
      <c r="M50" s="89">
        <v>0</v>
      </c>
      <c r="N50" s="89">
        <v>338.46300000000002</v>
      </c>
      <c r="O50" s="109">
        <f>SUM(Table1[[#This Row],[2022]:[YTD 2024]])</f>
        <v>5.7117000000000004</v>
      </c>
      <c r="P50" s="219">
        <f>IFERROR(((Table1[[#This Row],[2023]]-Table1[[#This Row],[2022]])/Table1[[#This Row],[2022]]),0)</f>
        <v>0</v>
      </c>
      <c r="Q50" s="219">
        <f>IFERROR(((Table1[[#This Row],[Volume 2023]]-Table1[[#This Row],[Volume 2022]])/Table1[[#This Row],[Volume 2022]]),0)</f>
        <v>0</v>
      </c>
      <c r="R50" s="219">
        <f>Table1[[#This Row],[YoY growth]]-Table1[[#This Row],[Volume growth]]</f>
        <v>0</v>
      </c>
      <c r="S50" s="46"/>
    </row>
    <row r="51" spans="1:19" hidden="1" x14ac:dyDescent="0.25">
      <c r="A51" s="45"/>
      <c r="B51" s="41" t="s">
        <v>716</v>
      </c>
      <c r="C51" s="39" t="s">
        <v>883</v>
      </c>
      <c r="D51" s="39" t="s">
        <v>1036</v>
      </c>
      <c r="E51" s="42" t="s">
        <v>71</v>
      </c>
      <c r="F51" s="43" t="s">
        <v>9</v>
      </c>
      <c r="G51" s="38" t="s">
        <v>20</v>
      </c>
      <c r="H51" s="79" t="s">
        <v>68</v>
      </c>
      <c r="I51" s="87">
        <v>0</v>
      </c>
      <c r="J51" s="88">
        <v>4.4634999999999998</v>
      </c>
      <c r="K51" s="89">
        <v>0.1893</v>
      </c>
      <c r="L51" s="90">
        <v>0</v>
      </c>
      <c r="M51" s="89">
        <v>231.33420000000001</v>
      </c>
      <c r="N51" s="89">
        <v>9.7352000000000007</v>
      </c>
      <c r="O51" s="109">
        <f>SUM(Table1[[#This Row],[2022]:[YTD 2024]])</f>
        <v>4.6528</v>
      </c>
      <c r="P51" s="219">
        <f>IFERROR(((Table1[[#This Row],[2023]]-Table1[[#This Row],[2022]])/Table1[[#This Row],[2022]]),0)</f>
        <v>0</v>
      </c>
      <c r="Q51" s="219">
        <f>IFERROR(((Table1[[#This Row],[Volume 2023]]-Table1[[#This Row],[Volume 2022]])/Table1[[#This Row],[Volume 2022]]),0)</f>
        <v>0</v>
      </c>
      <c r="R51" s="219">
        <f>Table1[[#This Row],[YoY growth]]-Table1[[#This Row],[Volume growth]]</f>
        <v>0</v>
      </c>
      <c r="S51" s="46"/>
    </row>
    <row r="52" spans="1:19" hidden="1" x14ac:dyDescent="0.25">
      <c r="A52" s="45"/>
      <c r="B52" s="41" t="s">
        <v>717</v>
      </c>
      <c r="C52" s="39" t="s">
        <v>884</v>
      </c>
      <c r="D52" s="39" t="s">
        <v>1037</v>
      </c>
      <c r="E52" s="42" t="s">
        <v>72</v>
      </c>
      <c r="F52" s="43" t="s">
        <v>9</v>
      </c>
      <c r="G52" s="38" t="s">
        <v>20</v>
      </c>
      <c r="H52" s="79" t="s">
        <v>24</v>
      </c>
      <c r="I52" s="87">
        <v>0.70520000000000005</v>
      </c>
      <c r="J52" s="88">
        <v>0</v>
      </c>
      <c r="K52" s="89">
        <v>0</v>
      </c>
      <c r="L52" s="90">
        <v>47.325299999999999</v>
      </c>
      <c r="M52" s="89">
        <v>0</v>
      </c>
      <c r="N52" s="89">
        <v>0</v>
      </c>
      <c r="O52" s="109">
        <f>SUM(Table1[[#This Row],[2022]:[YTD 2024]])</f>
        <v>0.70520000000000005</v>
      </c>
      <c r="P52" s="219">
        <f>IFERROR(((Table1[[#This Row],[2023]]-Table1[[#This Row],[2022]])/Table1[[#This Row],[2022]]),0)</f>
        <v>-1</v>
      </c>
      <c r="Q52" s="219">
        <f>IFERROR(((Table1[[#This Row],[Volume 2023]]-Table1[[#This Row],[Volume 2022]])/Table1[[#This Row],[Volume 2022]]),0)</f>
        <v>-1</v>
      </c>
      <c r="R52" s="219">
        <f>Table1[[#This Row],[YoY growth]]-Table1[[#This Row],[Volume growth]]</f>
        <v>0</v>
      </c>
      <c r="S52" s="46"/>
    </row>
    <row r="53" spans="1:19" hidden="1" x14ac:dyDescent="0.25">
      <c r="A53" s="45"/>
      <c r="B53" s="41" t="s">
        <v>718</v>
      </c>
      <c r="C53" s="39" t="s">
        <v>885</v>
      </c>
      <c r="D53" s="39" t="s">
        <v>1038</v>
      </c>
      <c r="E53" s="42" t="s">
        <v>73</v>
      </c>
      <c r="F53" s="43" t="s">
        <v>9</v>
      </c>
      <c r="G53" s="38" t="s">
        <v>20</v>
      </c>
      <c r="H53" s="79" t="s">
        <v>21</v>
      </c>
      <c r="I53" s="87">
        <v>0.76280000000000003</v>
      </c>
      <c r="J53" s="88">
        <v>0.23669999999999999</v>
      </c>
      <c r="K53" s="89">
        <v>0.1135</v>
      </c>
      <c r="L53" s="90">
        <v>43.074599999999997</v>
      </c>
      <c r="M53" s="89">
        <v>13.9861</v>
      </c>
      <c r="N53" s="89">
        <v>6.5488999999999997</v>
      </c>
      <c r="O53" s="109">
        <f>SUM(Table1[[#This Row],[2022]:[YTD 2024]])</f>
        <v>1.113</v>
      </c>
      <c r="P53" s="219">
        <f>IFERROR(((Table1[[#This Row],[2023]]-Table1[[#This Row],[2022]])/Table1[[#This Row],[2022]]),0)</f>
        <v>-0.68969585736759309</v>
      </c>
      <c r="Q53" s="219">
        <f>IFERROR(((Table1[[#This Row],[Volume 2023]]-Table1[[#This Row],[Volume 2022]])/Table1[[#This Row],[Volume 2022]]),0)</f>
        <v>-0.67530516824300169</v>
      </c>
      <c r="R53" s="219">
        <f>Table1[[#This Row],[YoY growth]]-Table1[[#This Row],[Volume growth]]</f>
        <v>-1.4390689124591405E-2</v>
      </c>
      <c r="S53" s="46"/>
    </row>
    <row r="54" spans="1:19" hidden="1" x14ac:dyDescent="0.25">
      <c r="A54" s="45"/>
      <c r="B54" s="41" t="s">
        <v>718</v>
      </c>
      <c r="C54" s="39" t="s">
        <v>885</v>
      </c>
      <c r="D54" s="39" t="s">
        <v>1038</v>
      </c>
      <c r="E54" s="42" t="s">
        <v>74</v>
      </c>
      <c r="F54" s="43" t="s">
        <v>9</v>
      </c>
      <c r="G54" s="38" t="s">
        <v>64</v>
      </c>
      <c r="H54" s="79" t="s">
        <v>21</v>
      </c>
      <c r="I54" s="87">
        <v>14.3467</v>
      </c>
      <c r="J54" s="88">
        <v>14.9893</v>
      </c>
      <c r="K54" s="89">
        <v>7.9457000000000004</v>
      </c>
      <c r="L54" s="90">
        <v>749.43960000000004</v>
      </c>
      <c r="M54" s="89">
        <v>788.71510000000001</v>
      </c>
      <c r="N54" s="89">
        <v>388.85250000000002</v>
      </c>
      <c r="O54" s="109">
        <f>SUM(Table1[[#This Row],[2022]:[YTD 2024]])</f>
        <v>37.281700000000001</v>
      </c>
      <c r="P54" s="219">
        <f>IFERROR(((Table1[[#This Row],[2023]]-Table1[[#This Row],[2022]])/Table1[[#This Row],[2022]]),0)</f>
        <v>4.479078812549226E-2</v>
      </c>
      <c r="Q54" s="219">
        <f>IFERROR(((Table1[[#This Row],[Volume 2023]]-Table1[[#This Row],[Volume 2022]])/Table1[[#This Row],[Volume 2022]]),0)</f>
        <v>5.2406491463754999E-2</v>
      </c>
      <c r="R54" s="219">
        <f>Table1[[#This Row],[YoY growth]]-Table1[[#This Row],[Volume growth]]</f>
        <v>-7.6157033382627387E-3</v>
      </c>
      <c r="S54" s="46"/>
    </row>
    <row r="55" spans="1:19" hidden="1" x14ac:dyDescent="0.25">
      <c r="A55" s="45"/>
      <c r="B55" s="41" t="s">
        <v>718</v>
      </c>
      <c r="C55" s="39" t="s">
        <v>885</v>
      </c>
      <c r="D55" s="39" t="s">
        <v>1038</v>
      </c>
      <c r="E55" s="42" t="s">
        <v>75</v>
      </c>
      <c r="F55" s="43" t="s">
        <v>9</v>
      </c>
      <c r="G55" s="38" t="s">
        <v>10</v>
      </c>
      <c r="H55" s="79" t="s">
        <v>21</v>
      </c>
      <c r="I55" s="87">
        <v>9.9741999999999997</v>
      </c>
      <c r="J55" s="88">
        <v>17.767600000000002</v>
      </c>
      <c r="K55" s="89">
        <v>9.7081</v>
      </c>
      <c r="L55" s="90">
        <v>530.94489999999996</v>
      </c>
      <c r="M55" s="89">
        <v>921.25450000000001</v>
      </c>
      <c r="N55" s="89">
        <v>442.90179999999998</v>
      </c>
      <c r="O55" s="109">
        <f>SUM(Table1[[#This Row],[2022]:[YTD 2024]])</f>
        <v>37.4499</v>
      </c>
      <c r="P55" s="219">
        <f>IFERROR(((Table1[[#This Row],[2023]]-Table1[[#This Row],[2022]])/Table1[[#This Row],[2022]]),0)</f>
        <v>0.78135589821740115</v>
      </c>
      <c r="Q55" s="219">
        <f>IFERROR(((Table1[[#This Row],[Volume 2023]]-Table1[[#This Row],[Volume 2022]])/Table1[[#This Row],[Volume 2022]]),0)</f>
        <v>0.73512260876787794</v>
      </c>
      <c r="R55" s="219">
        <f>Table1[[#This Row],[YoY growth]]-Table1[[#This Row],[Volume growth]]</f>
        <v>4.6233289449523207E-2</v>
      </c>
      <c r="S55" s="46"/>
    </row>
    <row r="56" spans="1:19" hidden="1" x14ac:dyDescent="0.25">
      <c r="A56" s="45"/>
      <c r="B56" s="41" t="s">
        <v>718</v>
      </c>
      <c r="C56" s="39" t="s">
        <v>885</v>
      </c>
      <c r="D56" s="39" t="s">
        <v>1038</v>
      </c>
      <c r="E56" s="42" t="s">
        <v>76</v>
      </c>
      <c r="F56" s="43" t="s">
        <v>9</v>
      </c>
      <c r="G56" s="38" t="s">
        <v>10</v>
      </c>
      <c r="H56" s="79" t="s">
        <v>21</v>
      </c>
      <c r="I56" s="87">
        <v>15.1808</v>
      </c>
      <c r="J56" s="88">
        <v>9.7044999999999995</v>
      </c>
      <c r="K56" s="89">
        <v>2.6509999999999998</v>
      </c>
      <c r="L56" s="90">
        <v>814.55730000000005</v>
      </c>
      <c r="M56" s="89">
        <v>531.53909999999996</v>
      </c>
      <c r="N56" s="89">
        <v>144.98150000000001</v>
      </c>
      <c r="O56" s="109">
        <f>SUM(Table1[[#This Row],[2022]:[YTD 2024]])</f>
        <v>27.536300000000001</v>
      </c>
      <c r="P56" s="219">
        <f>IFERROR(((Table1[[#This Row],[2023]]-Table1[[#This Row],[2022]])/Table1[[#This Row],[2022]]),0)</f>
        <v>-0.36073856450252956</v>
      </c>
      <c r="Q56" s="219">
        <f>IFERROR(((Table1[[#This Row],[Volume 2023]]-Table1[[#This Row],[Volume 2022]])/Table1[[#This Row],[Volume 2022]]),0)</f>
        <v>-0.34745032669893211</v>
      </c>
      <c r="R56" s="219">
        <f>Table1[[#This Row],[YoY growth]]-Table1[[#This Row],[Volume growth]]</f>
        <v>-1.3288237803597447E-2</v>
      </c>
      <c r="S56" s="46"/>
    </row>
    <row r="57" spans="1:19" hidden="1" x14ac:dyDescent="0.25">
      <c r="A57" s="45"/>
      <c r="B57" s="41" t="s">
        <v>718</v>
      </c>
      <c r="C57" s="39" t="s">
        <v>885</v>
      </c>
      <c r="D57" s="39" t="s">
        <v>1038</v>
      </c>
      <c r="E57" s="42" t="s">
        <v>77</v>
      </c>
      <c r="F57" s="43" t="s">
        <v>9</v>
      </c>
      <c r="G57" s="38" t="s">
        <v>20</v>
      </c>
      <c r="H57" s="79" t="s">
        <v>21</v>
      </c>
      <c r="I57" s="87">
        <v>18.2471</v>
      </c>
      <c r="J57" s="88">
        <v>19.903099999999998</v>
      </c>
      <c r="K57" s="89">
        <v>8.7614000000000001</v>
      </c>
      <c r="L57" s="90">
        <v>989.38980000000004</v>
      </c>
      <c r="M57" s="89">
        <v>1044.1582000000001</v>
      </c>
      <c r="N57" s="89">
        <v>387.44209999999998</v>
      </c>
      <c r="O57" s="109">
        <f>SUM(Table1[[#This Row],[2022]:[YTD 2024]])</f>
        <v>46.9116</v>
      </c>
      <c r="P57" s="219">
        <f>IFERROR(((Table1[[#This Row],[2023]]-Table1[[#This Row],[2022]])/Table1[[#This Row],[2022]]),0)</f>
        <v>9.0754147234354987E-2</v>
      </c>
      <c r="Q57" s="219">
        <f>IFERROR(((Table1[[#This Row],[Volume 2023]]-Table1[[#This Row],[Volume 2022]])/Table1[[#This Row],[Volume 2022]]),0)</f>
        <v>5.5355735423995717E-2</v>
      </c>
      <c r="R57" s="219">
        <f>Table1[[#This Row],[YoY growth]]-Table1[[#This Row],[Volume growth]]</f>
        <v>3.539841181035927E-2</v>
      </c>
      <c r="S57" s="46"/>
    </row>
    <row r="58" spans="1:19" hidden="1" x14ac:dyDescent="0.25">
      <c r="A58" s="45"/>
      <c r="B58" s="41" t="s">
        <v>718</v>
      </c>
      <c r="C58" s="39" t="s">
        <v>885</v>
      </c>
      <c r="D58" s="39" t="s">
        <v>1038</v>
      </c>
      <c r="E58" s="42" t="s">
        <v>78</v>
      </c>
      <c r="F58" s="43" t="s">
        <v>9</v>
      </c>
      <c r="G58" s="38" t="s">
        <v>20</v>
      </c>
      <c r="H58" s="79" t="s">
        <v>21</v>
      </c>
      <c r="I58" s="87">
        <v>13.7898</v>
      </c>
      <c r="J58" s="88">
        <v>10.6778</v>
      </c>
      <c r="K58" s="89">
        <v>5.2233000000000001</v>
      </c>
      <c r="L58" s="90">
        <v>726.86360000000002</v>
      </c>
      <c r="M58" s="89">
        <v>563.28449999999998</v>
      </c>
      <c r="N58" s="89">
        <v>268.45999999999998</v>
      </c>
      <c r="O58" s="109">
        <f>SUM(Table1[[#This Row],[2022]:[YTD 2024]])</f>
        <v>29.690899999999999</v>
      </c>
      <c r="P58" s="219">
        <f>IFERROR(((Table1[[#This Row],[2023]]-Table1[[#This Row],[2022]])/Table1[[#This Row],[2022]]),0)</f>
        <v>-0.22567404893471987</v>
      </c>
      <c r="Q58" s="219">
        <f>IFERROR(((Table1[[#This Row],[Volume 2023]]-Table1[[#This Row],[Volume 2022]])/Table1[[#This Row],[Volume 2022]]),0)</f>
        <v>-0.22504786317542938</v>
      </c>
      <c r="R58" s="219">
        <f>Table1[[#This Row],[YoY growth]]-Table1[[#This Row],[Volume growth]]</f>
        <v>-6.2618575929049292E-4</v>
      </c>
      <c r="S58" s="46"/>
    </row>
    <row r="59" spans="1:19" hidden="1" x14ac:dyDescent="0.25">
      <c r="A59" s="45"/>
      <c r="B59" s="41" t="s">
        <v>718</v>
      </c>
      <c r="C59" s="39" t="s">
        <v>885</v>
      </c>
      <c r="D59" s="39" t="s">
        <v>1038</v>
      </c>
      <c r="E59" s="42" t="s">
        <v>79</v>
      </c>
      <c r="F59" s="43" t="s">
        <v>9</v>
      </c>
      <c r="G59" s="38" t="s">
        <v>10</v>
      </c>
      <c r="H59" s="79" t="s">
        <v>21</v>
      </c>
      <c r="I59" s="87">
        <v>0</v>
      </c>
      <c r="J59" s="88">
        <v>0</v>
      </c>
      <c r="K59" s="89">
        <v>0</v>
      </c>
      <c r="L59" s="90">
        <v>0</v>
      </c>
      <c r="M59" s="89">
        <v>0</v>
      </c>
      <c r="N59" s="89">
        <v>0</v>
      </c>
      <c r="O59" s="109">
        <f>SUM(Table1[[#This Row],[2022]:[YTD 2024]])</f>
        <v>0</v>
      </c>
      <c r="P59" s="219">
        <f>IFERROR(((Table1[[#This Row],[2023]]-Table1[[#This Row],[2022]])/Table1[[#This Row],[2022]]),0)</f>
        <v>0</v>
      </c>
      <c r="Q59" s="219">
        <f>IFERROR(((Table1[[#This Row],[Volume 2023]]-Table1[[#This Row],[Volume 2022]])/Table1[[#This Row],[Volume 2022]]),0)</f>
        <v>0</v>
      </c>
      <c r="R59" s="219">
        <f>Table1[[#This Row],[YoY growth]]-Table1[[#This Row],[Volume growth]]</f>
        <v>0</v>
      </c>
      <c r="S59" s="46"/>
    </row>
    <row r="60" spans="1:19" hidden="1" x14ac:dyDescent="0.25">
      <c r="A60" s="45"/>
      <c r="B60" s="41" t="s">
        <v>718</v>
      </c>
      <c r="C60" s="39" t="s">
        <v>885</v>
      </c>
      <c r="D60" s="39" t="s">
        <v>1038</v>
      </c>
      <c r="E60" s="42" t="s">
        <v>80</v>
      </c>
      <c r="F60" s="43" t="s">
        <v>9</v>
      </c>
      <c r="G60" s="38" t="s">
        <v>20</v>
      </c>
      <c r="H60" s="79" t="s">
        <v>24</v>
      </c>
      <c r="I60" s="87">
        <v>29.590800000000002</v>
      </c>
      <c r="J60" s="88">
        <v>20.845300000000002</v>
      </c>
      <c r="K60" s="89">
        <v>11.449400000000001</v>
      </c>
      <c r="L60" s="90">
        <v>1741.4848</v>
      </c>
      <c r="M60" s="89">
        <v>1127.5655999999999</v>
      </c>
      <c r="N60" s="89">
        <v>585.96109999999999</v>
      </c>
      <c r="O60" s="109">
        <f>SUM(Table1[[#This Row],[2022]:[YTD 2024]])</f>
        <v>61.885500000000008</v>
      </c>
      <c r="P60" s="219">
        <f>IFERROR(((Table1[[#This Row],[2023]]-Table1[[#This Row],[2022]])/Table1[[#This Row],[2022]]),0)</f>
        <v>-0.29554794057612499</v>
      </c>
      <c r="Q60" s="219">
        <f>IFERROR(((Table1[[#This Row],[Volume 2023]]-Table1[[#This Row],[Volume 2022]])/Table1[[#This Row],[Volume 2022]]),0)</f>
        <v>-0.35252630399070956</v>
      </c>
      <c r="R60" s="219">
        <f>Table1[[#This Row],[YoY growth]]-Table1[[#This Row],[Volume growth]]</f>
        <v>5.6978363414584565E-2</v>
      </c>
      <c r="S60" s="46"/>
    </row>
    <row r="61" spans="1:19" hidden="1" x14ac:dyDescent="0.25">
      <c r="A61" s="45"/>
      <c r="B61" s="41" t="s">
        <v>718</v>
      </c>
      <c r="C61" s="39" t="s">
        <v>885</v>
      </c>
      <c r="D61" s="39" t="s">
        <v>1038</v>
      </c>
      <c r="E61" s="42" t="s">
        <v>81</v>
      </c>
      <c r="F61" s="43" t="s">
        <v>9</v>
      </c>
      <c r="G61" s="38" t="s">
        <v>64</v>
      </c>
      <c r="H61" s="79" t="s">
        <v>42</v>
      </c>
      <c r="I61" s="87">
        <v>0.72840000000000005</v>
      </c>
      <c r="J61" s="88">
        <v>0</v>
      </c>
      <c r="K61" s="89">
        <v>0</v>
      </c>
      <c r="L61" s="90">
        <v>51.0182</v>
      </c>
      <c r="M61" s="89">
        <v>0</v>
      </c>
      <c r="N61" s="89">
        <v>0</v>
      </c>
      <c r="O61" s="109">
        <f>SUM(Table1[[#This Row],[2022]:[YTD 2024]])</f>
        <v>0.72840000000000005</v>
      </c>
      <c r="P61" s="219">
        <f>IFERROR(((Table1[[#This Row],[2023]]-Table1[[#This Row],[2022]])/Table1[[#This Row],[2022]]),0)</f>
        <v>-1</v>
      </c>
      <c r="Q61" s="219">
        <f>IFERROR(((Table1[[#This Row],[Volume 2023]]-Table1[[#This Row],[Volume 2022]])/Table1[[#This Row],[Volume 2022]]),0)</f>
        <v>-1</v>
      </c>
      <c r="R61" s="219">
        <f>Table1[[#This Row],[YoY growth]]-Table1[[#This Row],[Volume growth]]</f>
        <v>0</v>
      </c>
      <c r="S61" s="46"/>
    </row>
    <row r="62" spans="1:19" hidden="1" x14ac:dyDescent="0.25">
      <c r="A62" s="45"/>
      <c r="B62" s="41" t="s">
        <v>718</v>
      </c>
      <c r="C62" s="39" t="s">
        <v>885</v>
      </c>
      <c r="D62" s="39" t="s">
        <v>1038</v>
      </c>
      <c r="E62" s="42" t="s">
        <v>82</v>
      </c>
      <c r="F62" s="43" t="s">
        <v>9</v>
      </c>
      <c r="G62" s="38" t="s">
        <v>30</v>
      </c>
      <c r="H62" s="79" t="s">
        <v>68</v>
      </c>
      <c r="I62" s="87">
        <v>2.0455000000000001</v>
      </c>
      <c r="J62" s="88">
        <v>0.30070000000000002</v>
      </c>
      <c r="K62" s="89">
        <v>9.6000000000000002E-2</v>
      </c>
      <c r="L62" s="90">
        <v>81.869600000000005</v>
      </c>
      <c r="M62" s="89">
        <v>11.870100000000001</v>
      </c>
      <c r="N62" s="89">
        <v>3.7711999999999999</v>
      </c>
      <c r="O62" s="109">
        <f>SUM(Table1[[#This Row],[2022]:[YTD 2024]])</f>
        <v>2.4422000000000001</v>
      </c>
      <c r="P62" s="219">
        <f>IFERROR(((Table1[[#This Row],[2023]]-Table1[[#This Row],[2022]])/Table1[[#This Row],[2022]]),0)</f>
        <v>-0.85299437790271326</v>
      </c>
      <c r="Q62" s="219">
        <f>IFERROR(((Table1[[#This Row],[Volume 2023]]-Table1[[#This Row],[Volume 2022]])/Table1[[#This Row],[Volume 2022]]),0)</f>
        <v>-0.85501211682969025</v>
      </c>
      <c r="R62" s="219">
        <f>Table1[[#This Row],[YoY growth]]-Table1[[#This Row],[Volume growth]]</f>
        <v>2.0177389269769863E-3</v>
      </c>
      <c r="S62" s="46"/>
    </row>
    <row r="63" spans="1:19" hidden="1" x14ac:dyDescent="0.25">
      <c r="A63" s="45"/>
      <c r="B63" s="41" t="s">
        <v>719</v>
      </c>
      <c r="C63" s="39" t="s">
        <v>886</v>
      </c>
      <c r="D63" s="39" t="s">
        <v>1039</v>
      </c>
      <c r="E63" s="42" t="s">
        <v>83</v>
      </c>
      <c r="F63" s="43" t="s">
        <v>9</v>
      </c>
      <c r="G63" s="38" t="s">
        <v>10</v>
      </c>
      <c r="H63" s="79" t="s">
        <v>84</v>
      </c>
      <c r="I63" s="87">
        <v>0</v>
      </c>
      <c r="J63" s="88">
        <v>0</v>
      </c>
      <c r="K63" s="89">
        <v>0</v>
      </c>
      <c r="L63" s="90">
        <v>0</v>
      </c>
      <c r="M63" s="89">
        <v>0</v>
      </c>
      <c r="N63" s="89">
        <v>0</v>
      </c>
      <c r="O63" s="109">
        <f>SUM(Table1[[#This Row],[2022]:[YTD 2024]])</f>
        <v>0</v>
      </c>
      <c r="P63" s="219">
        <f>IFERROR(((Table1[[#This Row],[2023]]-Table1[[#This Row],[2022]])/Table1[[#This Row],[2022]]),0)</f>
        <v>0</v>
      </c>
      <c r="Q63" s="219">
        <f>IFERROR(((Table1[[#This Row],[Volume 2023]]-Table1[[#This Row],[Volume 2022]])/Table1[[#This Row],[Volume 2022]]),0)</f>
        <v>0</v>
      </c>
      <c r="R63" s="219">
        <f>Table1[[#This Row],[YoY growth]]-Table1[[#This Row],[Volume growth]]</f>
        <v>0</v>
      </c>
      <c r="S63" s="46"/>
    </row>
    <row r="64" spans="1:19" hidden="1" x14ac:dyDescent="0.25">
      <c r="A64" s="45"/>
      <c r="B64" s="41" t="s">
        <v>719</v>
      </c>
      <c r="C64" s="39" t="s">
        <v>887</v>
      </c>
      <c r="D64" s="39" t="s">
        <v>1039</v>
      </c>
      <c r="E64" s="42" t="s">
        <v>85</v>
      </c>
      <c r="F64" s="43" t="s">
        <v>9</v>
      </c>
      <c r="G64" s="38" t="s">
        <v>10</v>
      </c>
      <c r="H64" s="79" t="s">
        <v>24</v>
      </c>
      <c r="I64" s="87">
        <v>1.0717000000000001</v>
      </c>
      <c r="J64" s="88">
        <v>1.6845000000000001</v>
      </c>
      <c r="K64" s="89">
        <v>0.2092</v>
      </c>
      <c r="L64" s="90">
        <v>53.428199999999997</v>
      </c>
      <c r="M64" s="89">
        <v>83.401399999999995</v>
      </c>
      <c r="N64" s="89">
        <v>9.5612999999999992</v>
      </c>
      <c r="O64" s="109">
        <f>SUM(Table1[[#This Row],[2022]:[YTD 2024]])</f>
        <v>2.9654000000000003</v>
      </c>
      <c r="P64" s="219">
        <f>IFERROR(((Table1[[#This Row],[2023]]-Table1[[#This Row],[2022]])/Table1[[#This Row],[2022]]),0)</f>
        <v>0.57180181020808063</v>
      </c>
      <c r="Q64" s="219">
        <f>IFERROR(((Table1[[#This Row],[Volume 2023]]-Table1[[#This Row],[Volume 2022]])/Table1[[#This Row],[Volume 2022]]),0)</f>
        <v>0.5609996219225053</v>
      </c>
      <c r="R64" s="219">
        <f>Table1[[#This Row],[YoY growth]]-Table1[[#This Row],[Volume growth]]</f>
        <v>1.0802188285575332E-2</v>
      </c>
      <c r="S64" s="46"/>
    </row>
    <row r="65" spans="1:19" hidden="1" x14ac:dyDescent="0.25">
      <c r="A65" s="45"/>
      <c r="B65" s="41" t="s">
        <v>719</v>
      </c>
      <c r="C65" s="39" t="s">
        <v>887</v>
      </c>
      <c r="D65" s="39" t="s">
        <v>1039</v>
      </c>
      <c r="E65" s="42" t="s">
        <v>86</v>
      </c>
      <c r="F65" s="43" t="s">
        <v>9</v>
      </c>
      <c r="G65" s="38" t="s">
        <v>10</v>
      </c>
      <c r="H65" s="79" t="s">
        <v>42</v>
      </c>
      <c r="I65" s="87">
        <v>0.46760000000000002</v>
      </c>
      <c r="J65" s="88">
        <v>0.37340000000000001</v>
      </c>
      <c r="K65" s="89">
        <v>0.47289999999999999</v>
      </c>
      <c r="L65" s="90">
        <v>17.929200000000002</v>
      </c>
      <c r="M65" s="89">
        <v>13.441700000000001</v>
      </c>
      <c r="N65" s="89">
        <v>18.149699999999999</v>
      </c>
      <c r="O65" s="109">
        <f>SUM(Table1[[#This Row],[2022]:[YTD 2024]])</f>
        <v>1.3138999999999998</v>
      </c>
      <c r="P65" s="219">
        <f>IFERROR(((Table1[[#This Row],[2023]]-Table1[[#This Row],[2022]])/Table1[[#This Row],[2022]]),0)</f>
        <v>-0.20145423438836613</v>
      </c>
      <c r="Q65" s="219">
        <f>IFERROR(((Table1[[#This Row],[Volume 2023]]-Table1[[#This Row],[Volume 2022]])/Table1[[#This Row],[Volume 2022]]),0)</f>
        <v>-0.25029002967226649</v>
      </c>
      <c r="R65" s="219">
        <f>Table1[[#This Row],[YoY growth]]-Table1[[#This Row],[Volume growth]]</f>
        <v>4.8835795283900363E-2</v>
      </c>
      <c r="S65" s="46"/>
    </row>
    <row r="66" spans="1:19" hidden="1" x14ac:dyDescent="0.25">
      <c r="A66" s="45"/>
      <c r="B66" s="41" t="s">
        <v>720</v>
      </c>
      <c r="C66" s="39" t="s">
        <v>888</v>
      </c>
      <c r="D66" s="39" t="s">
        <v>1040</v>
      </c>
      <c r="E66" s="42" t="s">
        <v>87</v>
      </c>
      <c r="F66" s="43" t="s">
        <v>9</v>
      </c>
      <c r="G66" s="38" t="s">
        <v>10</v>
      </c>
      <c r="H66" s="79" t="s">
        <v>11</v>
      </c>
      <c r="I66" s="87">
        <v>4.4499999999999998E-2</v>
      </c>
      <c r="J66" s="88">
        <v>6.2E-2</v>
      </c>
      <c r="K66" s="89">
        <v>0</v>
      </c>
      <c r="L66" s="90">
        <v>0.36759999999999998</v>
      </c>
      <c r="M66" s="89">
        <v>0.48380000000000001</v>
      </c>
      <c r="N66" s="89">
        <v>0</v>
      </c>
      <c r="O66" s="109">
        <f>SUM(Table1[[#This Row],[2022]:[YTD 2024]])</f>
        <v>0.1065</v>
      </c>
      <c r="P66" s="219">
        <f>IFERROR(((Table1[[#This Row],[2023]]-Table1[[#This Row],[2022]])/Table1[[#This Row],[2022]]),0)</f>
        <v>0.39325842696629221</v>
      </c>
      <c r="Q66" s="219">
        <f>IFERROR(((Table1[[#This Row],[Volume 2023]]-Table1[[#This Row],[Volume 2022]])/Table1[[#This Row],[Volume 2022]]),0)</f>
        <v>0.31610446137105558</v>
      </c>
      <c r="R66" s="219">
        <f>Table1[[#This Row],[YoY growth]]-Table1[[#This Row],[Volume growth]]</f>
        <v>7.7153965595236629E-2</v>
      </c>
      <c r="S66" s="46"/>
    </row>
    <row r="67" spans="1:19" hidden="1" x14ac:dyDescent="0.25">
      <c r="A67" s="45"/>
      <c r="B67" s="41" t="s">
        <v>721</v>
      </c>
      <c r="C67" s="39" t="s">
        <v>889</v>
      </c>
      <c r="D67" s="39" t="s">
        <v>1041</v>
      </c>
      <c r="E67" s="42" t="s">
        <v>89</v>
      </c>
      <c r="F67" s="43" t="s">
        <v>9</v>
      </c>
      <c r="G67" s="38" t="s">
        <v>20</v>
      </c>
      <c r="H67" s="79" t="s">
        <v>42</v>
      </c>
      <c r="I67" s="87">
        <v>0</v>
      </c>
      <c r="J67" s="88">
        <v>0</v>
      </c>
      <c r="K67" s="89">
        <v>0</v>
      </c>
      <c r="L67" s="90">
        <v>0</v>
      </c>
      <c r="M67" s="89">
        <v>0</v>
      </c>
      <c r="N67" s="89">
        <v>0</v>
      </c>
      <c r="O67" s="109">
        <f>SUM(Table1[[#This Row],[2022]:[YTD 2024]])</f>
        <v>0</v>
      </c>
      <c r="P67" s="219">
        <f>IFERROR(((Table1[[#This Row],[2023]]-Table1[[#This Row],[2022]])/Table1[[#This Row],[2022]]),0)</f>
        <v>0</v>
      </c>
      <c r="Q67" s="219">
        <f>IFERROR(((Table1[[#This Row],[Volume 2023]]-Table1[[#This Row],[Volume 2022]])/Table1[[#This Row],[Volume 2022]]),0)</f>
        <v>0</v>
      </c>
      <c r="R67" s="219">
        <f>Table1[[#This Row],[YoY growth]]-Table1[[#This Row],[Volume growth]]</f>
        <v>0</v>
      </c>
      <c r="S67" s="46"/>
    </row>
    <row r="68" spans="1:19" hidden="1" x14ac:dyDescent="0.25">
      <c r="A68" s="45"/>
      <c r="B68" s="41" t="s">
        <v>721</v>
      </c>
      <c r="C68" s="39" t="s">
        <v>889</v>
      </c>
      <c r="D68" s="39" t="s">
        <v>1041</v>
      </c>
      <c r="E68" s="42" t="s">
        <v>90</v>
      </c>
      <c r="F68" s="43" t="s">
        <v>9</v>
      </c>
      <c r="G68" s="38" t="s">
        <v>10</v>
      </c>
      <c r="H68" s="79" t="s">
        <v>42</v>
      </c>
      <c r="I68" s="87">
        <v>3.3401000000000001</v>
      </c>
      <c r="J68" s="88">
        <v>5.1974</v>
      </c>
      <c r="K68" s="89">
        <v>3.7094999999999998</v>
      </c>
      <c r="L68" s="90">
        <v>168.65979999999999</v>
      </c>
      <c r="M68" s="89">
        <v>278.62639999999999</v>
      </c>
      <c r="N68" s="89">
        <v>222.0746</v>
      </c>
      <c r="O68" s="109">
        <f>SUM(Table1[[#This Row],[2022]:[YTD 2024]])</f>
        <v>12.247</v>
      </c>
      <c r="P68" s="219">
        <f>IFERROR(((Table1[[#This Row],[2023]]-Table1[[#This Row],[2022]])/Table1[[#This Row],[2022]]),0)</f>
        <v>0.55606119577258162</v>
      </c>
      <c r="Q68" s="219">
        <f>IFERROR(((Table1[[#This Row],[Volume 2023]]-Table1[[#This Row],[Volume 2022]])/Table1[[#This Row],[Volume 2022]]),0)</f>
        <v>0.65200243330064434</v>
      </c>
      <c r="R68" s="219">
        <f>Table1[[#This Row],[YoY growth]]-Table1[[#This Row],[Volume growth]]</f>
        <v>-9.5941237528062717E-2</v>
      </c>
      <c r="S68" s="46"/>
    </row>
    <row r="69" spans="1:19" hidden="1" x14ac:dyDescent="0.25">
      <c r="A69" s="45"/>
      <c r="B69" s="41" t="s">
        <v>721</v>
      </c>
      <c r="C69" s="39" t="s">
        <v>890</v>
      </c>
      <c r="D69" s="39" t="s">
        <v>1041</v>
      </c>
      <c r="E69" s="42" t="s">
        <v>91</v>
      </c>
      <c r="F69" s="43" t="s">
        <v>9</v>
      </c>
      <c r="G69" s="38" t="s">
        <v>30</v>
      </c>
      <c r="H69" s="79" t="s">
        <v>24</v>
      </c>
      <c r="I69" s="87">
        <v>1.2582</v>
      </c>
      <c r="J69" s="88">
        <v>4.4390999999999998</v>
      </c>
      <c r="K69" s="89">
        <v>0.70909999999999995</v>
      </c>
      <c r="L69" s="90">
        <v>67.526600000000002</v>
      </c>
      <c r="M69" s="89">
        <v>226.15649999999999</v>
      </c>
      <c r="N69" s="89">
        <v>33.759099999999997</v>
      </c>
      <c r="O69" s="109">
        <f>SUM(Table1[[#This Row],[2022]:[YTD 2024]])</f>
        <v>6.4064000000000005</v>
      </c>
      <c r="P69" s="219">
        <f>IFERROR(((Table1[[#This Row],[2023]]-Table1[[#This Row],[2022]])/Table1[[#This Row],[2022]]),0)</f>
        <v>2.528135431568908</v>
      </c>
      <c r="Q69" s="219">
        <f>IFERROR(((Table1[[#This Row],[Volume 2023]]-Table1[[#This Row],[Volume 2022]])/Table1[[#This Row],[Volume 2022]]),0)</f>
        <v>2.3491468547209542</v>
      </c>
      <c r="R69" s="219">
        <f>Table1[[#This Row],[YoY growth]]-Table1[[#This Row],[Volume growth]]</f>
        <v>0.17898857684795377</v>
      </c>
      <c r="S69" s="46"/>
    </row>
    <row r="70" spans="1:19" hidden="1" x14ac:dyDescent="0.25">
      <c r="A70" s="45"/>
      <c r="B70" s="41" t="s">
        <v>721</v>
      </c>
      <c r="C70" s="39" t="s">
        <v>890</v>
      </c>
      <c r="D70" s="39" t="s">
        <v>1041</v>
      </c>
      <c r="E70" s="42" t="s">
        <v>92</v>
      </c>
      <c r="F70" s="43" t="s">
        <v>9</v>
      </c>
      <c r="G70" s="38" t="s">
        <v>30</v>
      </c>
      <c r="H70" s="79" t="s">
        <v>24</v>
      </c>
      <c r="I70" s="87">
        <v>4.5986000000000002</v>
      </c>
      <c r="J70" s="88">
        <v>6.1303000000000001</v>
      </c>
      <c r="K70" s="89">
        <v>2.8555999999999999</v>
      </c>
      <c r="L70" s="90">
        <v>228.69929999999999</v>
      </c>
      <c r="M70" s="89">
        <v>310.51369999999997</v>
      </c>
      <c r="N70" s="89">
        <v>123.6022</v>
      </c>
      <c r="O70" s="109">
        <f>SUM(Table1[[#This Row],[2022]:[YTD 2024]])</f>
        <v>13.584499999999998</v>
      </c>
      <c r="P70" s="219">
        <f>IFERROR(((Table1[[#This Row],[2023]]-Table1[[#This Row],[2022]])/Table1[[#This Row],[2022]]),0)</f>
        <v>0.33307963293176179</v>
      </c>
      <c r="Q70" s="219">
        <f>IFERROR(((Table1[[#This Row],[Volume 2023]]-Table1[[#This Row],[Volume 2022]])/Table1[[#This Row],[Volume 2022]]),0)</f>
        <v>0.35773786802145868</v>
      </c>
      <c r="R70" s="219">
        <f>Table1[[#This Row],[YoY growth]]-Table1[[#This Row],[Volume growth]]</f>
        <v>-2.4658235089696889E-2</v>
      </c>
      <c r="S70" s="46"/>
    </row>
    <row r="71" spans="1:19" hidden="1" x14ac:dyDescent="0.25">
      <c r="A71" s="45"/>
      <c r="B71" s="41" t="s">
        <v>721</v>
      </c>
      <c r="C71" s="39" t="s">
        <v>890</v>
      </c>
      <c r="D71" s="39" t="s">
        <v>1041</v>
      </c>
      <c r="E71" s="42" t="s">
        <v>93</v>
      </c>
      <c r="F71" s="43" t="s">
        <v>9</v>
      </c>
      <c r="G71" s="38" t="s">
        <v>30</v>
      </c>
      <c r="H71" s="79" t="s">
        <v>42</v>
      </c>
      <c r="I71" s="87">
        <v>0.94640000000000002</v>
      </c>
      <c r="J71" s="88">
        <v>1.6005</v>
      </c>
      <c r="K71" s="89">
        <v>1.0179</v>
      </c>
      <c r="L71" s="90">
        <v>54.868499999999997</v>
      </c>
      <c r="M71" s="89">
        <v>87.027500000000003</v>
      </c>
      <c r="N71" s="89">
        <v>38.080399999999997</v>
      </c>
      <c r="O71" s="109">
        <f>SUM(Table1[[#This Row],[2022]:[YTD 2024]])</f>
        <v>3.5648</v>
      </c>
      <c r="P71" s="219">
        <f>IFERROR(((Table1[[#This Row],[2023]]-Table1[[#This Row],[2022]])/Table1[[#This Row],[2022]]),0)</f>
        <v>0.69114539306847</v>
      </c>
      <c r="Q71" s="219">
        <f>IFERROR(((Table1[[#This Row],[Volume 2023]]-Table1[[#This Row],[Volume 2022]])/Table1[[#This Row],[Volume 2022]]),0)</f>
        <v>0.58611042765885724</v>
      </c>
      <c r="R71" s="219">
        <f>Table1[[#This Row],[YoY growth]]-Table1[[#This Row],[Volume growth]]</f>
        <v>0.10503496540961277</v>
      </c>
      <c r="S71" s="46"/>
    </row>
    <row r="72" spans="1:19" hidden="1" x14ac:dyDescent="0.25">
      <c r="A72" s="45"/>
      <c r="B72" s="41" t="s">
        <v>721</v>
      </c>
      <c r="C72" s="39" t="s">
        <v>890</v>
      </c>
      <c r="D72" s="39" t="s">
        <v>1041</v>
      </c>
      <c r="E72" s="42" t="s">
        <v>94</v>
      </c>
      <c r="F72" s="43" t="s">
        <v>9</v>
      </c>
      <c r="G72" s="38" t="s">
        <v>20</v>
      </c>
      <c r="H72" s="79" t="s">
        <v>42</v>
      </c>
      <c r="I72" s="87">
        <v>1.8199000000000001</v>
      </c>
      <c r="J72" s="88">
        <v>0.76910000000000001</v>
      </c>
      <c r="K72" s="89">
        <v>0.73480000000000001</v>
      </c>
      <c r="L72" s="90">
        <v>83.522300000000001</v>
      </c>
      <c r="M72" s="89">
        <v>35.127499999999998</v>
      </c>
      <c r="N72" s="89">
        <v>37.258200000000002</v>
      </c>
      <c r="O72" s="109">
        <f>SUM(Table1[[#This Row],[2022]:[YTD 2024]])</f>
        <v>3.3237999999999999</v>
      </c>
      <c r="P72" s="219">
        <f>IFERROR(((Table1[[#This Row],[2023]]-Table1[[#This Row],[2022]])/Table1[[#This Row],[2022]]),0)</f>
        <v>-0.57739436232760044</v>
      </c>
      <c r="Q72" s="219">
        <f>IFERROR(((Table1[[#This Row],[Volume 2023]]-Table1[[#This Row],[Volume 2022]])/Table1[[#This Row],[Volume 2022]]),0)</f>
        <v>-0.57942369882055456</v>
      </c>
      <c r="R72" s="219">
        <f>Table1[[#This Row],[YoY growth]]-Table1[[#This Row],[Volume growth]]</f>
        <v>2.0293364929541147E-3</v>
      </c>
      <c r="S72" s="46"/>
    </row>
    <row r="73" spans="1:19" hidden="1" x14ac:dyDescent="0.25">
      <c r="A73" s="45"/>
      <c r="B73" s="41" t="s">
        <v>722</v>
      </c>
      <c r="C73" s="39" t="s">
        <v>891</v>
      </c>
      <c r="D73" s="39" t="s">
        <v>722</v>
      </c>
      <c r="E73" s="42" t="s">
        <v>95</v>
      </c>
      <c r="F73" s="43" t="s">
        <v>9</v>
      </c>
      <c r="G73" s="38" t="s">
        <v>30</v>
      </c>
      <c r="H73" s="79" t="s">
        <v>24</v>
      </c>
      <c r="I73" s="87">
        <v>0</v>
      </c>
      <c r="J73" s="88">
        <v>10.5616</v>
      </c>
      <c r="K73" s="89">
        <v>42.6479</v>
      </c>
      <c r="L73" s="90">
        <v>0</v>
      </c>
      <c r="M73" s="89">
        <v>483.39569999999998</v>
      </c>
      <c r="N73" s="89">
        <v>1689.356</v>
      </c>
      <c r="O73" s="109">
        <f>SUM(Table1[[#This Row],[2022]:[YTD 2024]])</f>
        <v>53.209499999999998</v>
      </c>
      <c r="P73" s="219">
        <f>IFERROR(((Table1[[#This Row],[2023]]-Table1[[#This Row],[2022]])/Table1[[#This Row],[2022]]),0)</f>
        <v>0</v>
      </c>
      <c r="Q73" s="219">
        <f>IFERROR(((Table1[[#This Row],[Volume 2023]]-Table1[[#This Row],[Volume 2022]])/Table1[[#This Row],[Volume 2022]]),0)</f>
        <v>0</v>
      </c>
      <c r="R73" s="219">
        <f>Table1[[#This Row],[YoY growth]]-Table1[[#This Row],[Volume growth]]</f>
        <v>0</v>
      </c>
      <c r="S73" s="46"/>
    </row>
    <row r="74" spans="1:19" hidden="1" x14ac:dyDescent="0.25">
      <c r="A74" s="45"/>
      <c r="B74" s="41" t="s">
        <v>722</v>
      </c>
      <c r="C74" s="39" t="s">
        <v>891</v>
      </c>
      <c r="D74" s="39" t="s">
        <v>722</v>
      </c>
      <c r="E74" s="42" t="s">
        <v>96</v>
      </c>
      <c r="F74" s="43" t="s">
        <v>9</v>
      </c>
      <c r="G74" s="38" t="s">
        <v>30</v>
      </c>
      <c r="H74" s="79" t="s">
        <v>15</v>
      </c>
      <c r="I74" s="87">
        <v>0</v>
      </c>
      <c r="J74" s="88">
        <v>2.0855999999999999</v>
      </c>
      <c r="K74" s="89">
        <v>2.5316000000000001</v>
      </c>
      <c r="L74" s="90">
        <v>0</v>
      </c>
      <c r="M74" s="89">
        <v>61.262700000000002</v>
      </c>
      <c r="N74" s="89">
        <v>71.165300000000002</v>
      </c>
      <c r="O74" s="109">
        <f>SUM(Table1[[#This Row],[2022]:[YTD 2024]])</f>
        <v>4.6172000000000004</v>
      </c>
      <c r="P74" s="219">
        <f>IFERROR(((Table1[[#This Row],[2023]]-Table1[[#This Row],[2022]])/Table1[[#This Row],[2022]]),0)</f>
        <v>0</v>
      </c>
      <c r="Q74" s="219">
        <f>IFERROR(((Table1[[#This Row],[Volume 2023]]-Table1[[#This Row],[Volume 2022]])/Table1[[#This Row],[Volume 2022]]),0)</f>
        <v>0</v>
      </c>
      <c r="R74" s="219">
        <f>Table1[[#This Row],[YoY growth]]-Table1[[#This Row],[Volume growth]]</f>
        <v>0</v>
      </c>
      <c r="S74" s="46"/>
    </row>
    <row r="75" spans="1:19" hidden="1" x14ac:dyDescent="0.25">
      <c r="A75" s="45"/>
      <c r="B75" s="41" t="s">
        <v>722</v>
      </c>
      <c r="C75" s="39" t="s">
        <v>891</v>
      </c>
      <c r="D75" s="39" t="s">
        <v>722</v>
      </c>
      <c r="E75" s="42" t="s">
        <v>97</v>
      </c>
      <c r="F75" s="43" t="s">
        <v>9</v>
      </c>
      <c r="G75" s="38" t="s">
        <v>30</v>
      </c>
      <c r="H75" s="79" t="s">
        <v>42</v>
      </c>
      <c r="I75" s="87">
        <v>0</v>
      </c>
      <c r="J75" s="88">
        <v>0.54479999999999995</v>
      </c>
      <c r="K75" s="89">
        <v>7.6315999999999997</v>
      </c>
      <c r="L75" s="90">
        <v>0</v>
      </c>
      <c r="M75" s="89">
        <v>20.880700000000001</v>
      </c>
      <c r="N75" s="89">
        <v>330.70479999999998</v>
      </c>
      <c r="O75" s="109">
        <f>SUM(Table1[[#This Row],[2022]:[YTD 2024]])</f>
        <v>8.1763999999999992</v>
      </c>
      <c r="P75" s="219">
        <f>IFERROR(((Table1[[#This Row],[2023]]-Table1[[#This Row],[2022]])/Table1[[#This Row],[2022]]),0)</f>
        <v>0</v>
      </c>
      <c r="Q75" s="219">
        <f>IFERROR(((Table1[[#This Row],[Volume 2023]]-Table1[[#This Row],[Volume 2022]])/Table1[[#This Row],[Volume 2022]]),0)</f>
        <v>0</v>
      </c>
      <c r="R75" s="219">
        <f>Table1[[#This Row],[YoY growth]]-Table1[[#This Row],[Volume growth]]</f>
        <v>0</v>
      </c>
      <c r="S75" s="46"/>
    </row>
    <row r="76" spans="1:19" hidden="1" x14ac:dyDescent="0.25">
      <c r="A76" s="45"/>
      <c r="B76" s="41" t="s">
        <v>723</v>
      </c>
      <c r="C76" s="39" t="s">
        <v>892</v>
      </c>
      <c r="D76" s="39" t="s">
        <v>1042</v>
      </c>
      <c r="E76" s="42" t="s">
        <v>98</v>
      </c>
      <c r="F76" s="43" t="s">
        <v>9</v>
      </c>
      <c r="G76" s="38" t="s">
        <v>64</v>
      </c>
      <c r="H76" s="79" t="s">
        <v>99</v>
      </c>
      <c r="I76" s="87">
        <v>0</v>
      </c>
      <c r="J76" s="88">
        <v>1.5012000000000001</v>
      </c>
      <c r="K76" s="89">
        <v>0.18310000000000001</v>
      </c>
      <c r="L76" s="90">
        <v>0</v>
      </c>
      <c r="M76" s="89">
        <v>36.194499999999998</v>
      </c>
      <c r="N76" s="89">
        <v>4.9927999999999999</v>
      </c>
      <c r="O76" s="109">
        <f>SUM(Table1[[#This Row],[2022]:[YTD 2024]])</f>
        <v>1.6843000000000001</v>
      </c>
      <c r="P76" s="219">
        <f>IFERROR(((Table1[[#This Row],[2023]]-Table1[[#This Row],[2022]])/Table1[[#This Row],[2022]]),0)</f>
        <v>0</v>
      </c>
      <c r="Q76" s="219">
        <f>IFERROR(((Table1[[#This Row],[Volume 2023]]-Table1[[#This Row],[Volume 2022]])/Table1[[#This Row],[Volume 2022]]),0)</f>
        <v>0</v>
      </c>
      <c r="R76" s="219">
        <f>Table1[[#This Row],[YoY growth]]-Table1[[#This Row],[Volume growth]]</f>
        <v>0</v>
      </c>
      <c r="S76" s="46"/>
    </row>
    <row r="77" spans="1:19" hidden="1" x14ac:dyDescent="0.25">
      <c r="A77" s="45"/>
      <c r="B77" s="41" t="s">
        <v>723</v>
      </c>
      <c r="C77" s="39" t="s">
        <v>892</v>
      </c>
      <c r="D77" s="39" t="s">
        <v>1042</v>
      </c>
      <c r="E77" s="42" t="s">
        <v>100</v>
      </c>
      <c r="F77" s="43" t="s">
        <v>9</v>
      </c>
      <c r="G77" s="38" t="s">
        <v>30</v>
      </c>
      <c r="H77" s="79" t="s">
        <v>42</v>
      </c>
      <c r="I77" s="87">
        <v>3.1665000000000001</v>
      </c>
      <c r="J77" s="88">
        <v>0.6875</v>
      </c>
      <c r="K77" s="89">
        <v>0.27989999999999998</v>
      </c>
      <c r="L77" s="90">
        <v>65.203199999999995</v>
      </c>
      <c r="M77" s="89">
        <v>14.1759</v>
      </c>
      <c r="N77" s="89">
        <v>5.1737000000000002</v>
      </c>
      <c r="O77" s="109">
        <f>SUM(Table1[[#This Row],[2022]:[YTD 2024]])</f>
        <v>4.1338999999999997</v>
      </c>
      <c r="P77" s="219">
        <f>IFERROR(((Table1[[#This Row],[2023]]-Table1[[#This Row],[2022]])/Table1[[#This Row],[2022]]),0)</f>
        <v>-0.78288330964787622</v>
      </c>
      <c r="Q77" s="219">
        <f>IFERROR(((Table1[[#This Row],[Volume 2023]]-Table1[[#This Row],[Volume 2022]])/Table1[[#This Row],[Volume 2022]]),0)</f>
        <v>-0.78258889134275622</v>
      </c>
      <c r="R77" s="219">
        <f>Table1[[#This Row],[YoY growth]]-Table1[[#This Row],[Volume growth]]</f>
        <v>-2.9441830512000333E-4</v>
      </c>
      <c r="S77" s="46"/>
    </row>
    <row r="78" spans="1:19" hidden="1" x14ac:dyDescent="0.25">
      <c r="A78" s="45"/>
      <c r="B78" s="41" t="s">
        <v>724</v>
      </c>
      <c r="C78" s="39" t="s">
        <v>893</v>
      </c>
      <c r="D78" s="39" t="s">
        <v>1043</v>
      </c>
      <c r="E78" s="42" t="s">
        <v>101</v>
      </c>
      <c r="F78" s="43" t="s">
        <v>9</v>
      </c>
      <c r="G78" s="38" t="s">
        <v>20</v>
      </c>
      <c r="H78" s="79" t="s">
        <v>42</v>
      </c>
      <c r="I78" s="87">
        <v>0</v>
      </c>
      <c r="J78" s="88">
        <v>0</v>
      </c>
      <c r="K78" s="89">
        <v>5.57E-2</v>
      </c>
      <c r="L78" s="90">
        <v>0</v>
      </c>
      <c r="M78" s="89">
        <v>0</v>
      </c>
      <c r="N78" s="89">
        <v>1.7425999999999999</v>
      </c>
      <c r="O78" s="109">
        <f>SUM(Table1[[#This Row],[2022]:[YTD 2024]])</f>
        <v>5.57E-2</v>
      </c>
      <c r="P78" s="219">
        <f>IFERROR(((Table1[[#This Row],[2023]]-Table1[[#This Row],[2022]])/Table1[[#This Row],[2022]]),0)</f>
        <v>0</v>
      </c>
      <c r="Q78" s="219">
        <f>IFERROR(((Table1[[#This Row],[Volume 2023]]-Table1[[#This Row],[Volume 2022]])/Table1[[#This Row],[Volume 2022]]),0)</f>
        <v>0</v>
      </c>
      <c r="R78" s="219">
        <f>Table1[[#This Row],[YoY growth]]-Table1[[#This Row],[Volume growth]]</f>
        <v>0</v>
      </c>
      <c r="S78" s="46"/>
    </row>
    <row r="79" spans="1:19" x14ac:dyDescent="0.25">
      <c r="A79" s="45"/>
      <c r="B79" s="41" t="s">
        <v>750</v>
      </c>
      <c r="C79" s="39" t="s">
        <v>936</v>
      </c>
      <c r="D79" s="39" t="s">
        <v>1068</v>
      </c>
      <c r="E79" s="42" t="s">
        <v>243</v>
      </c>
      <c r="F79" s="43" t="s">
        <v>9</v>
      </c>
      <c r="G79" s="38" t="s">
        <v>20</v>
      </c>
      <c r="H79" s="79" t="s">
        <v>99</v>
      </c>
      <c r="I79" s="87">
        <v>296.26589999999999</v>
      </c>
      <c r="J79" s="88">
        <v>290.55259999999998</v>
      </c>
      <c r="K79" s="89">
        <v>128.1713</v>
      </c>
      <c r="L79" s="90">
        <v>8749.3634000000002</v>
      </c>
      <c r="M79" s="89">
        <v>8593.8201000000008</v>
      </c>
      <c r="N79" s="89">
        <v>3618.6093999999998</v>
      </c>
      <c r="O79" s="109">
        <f>SUM(Table1[[#This Row],[2022]:[YTD 2024]])</f>
        <v>714.98979999999995</v>
      </c>
      <c r="P79" s="219">
        <f>IFERROR(((Table1[[#This Row],[2023]]-Table1[[#This Row],[2022]])/Table1[[#This Row],[2022]]),0)</f>
        <v>-1.92843658348801E-2</v>
      </c>
      <c r="Q79" s="219">
        <f>IFERROR(((Table1[[#This Row],[Volume 2023]]-Table1[[#This Row],[Volume 2022]])/Table1[[#This Row],[Volume 2022]]),0)</f>
        <v>-1.7777670544579204E-2</v>
      </c>
      <c r="R79" s="219">
        <f>Table1[[#This Row],[YoY growth]]-Table1[[#This Row],[Volume growth]]</f>
        <v>-1.5066952903008968E-3</v>
      </c>
      <c r="S79" s="46"/>
    </row>
    <row r="80" spans="1:19" hidden="1" x14ac:dyDescent="0.25">
      <c r="A80" s="45"/>
      <c r="B80" s="41" t="s">
        <v>725</v>
      </c>
      <c r="C80" s="39" t="s">
        <v>894</v>
      </c>
      <c r="D80" s="39" t="s">
        <v>1044</v>
      </c>
      <c r="E80" s="42" t="s">
        <v>106</v>
      </c>
      <c r="F80" s="43" t="s">
        <v>9</v>
      </c>
      <c r="G80" s="38" t="s">
        <v>20</v>
      </c>
      <c r="H80" s="79" t="s">
        <v>105</v>
      </c>
      <c r="I80" s="87">
        <v>2.7799999999999998E-2</v>
      </c>
      <c r="J80" s="88">
        <v>4.5999999999999999E-3</v>
      </c>
      <c r="K80" s="89">
        <v>0</v>
      </c>
      <c r="L80" s="90">
        <v>1.2</v>
      </c>
      <c r="M80" s="89">
        <v>0.2</v>
      </c>
      <c r="N80" s="89">
        <v>0</v>
      </c>
      <c r="O80" s="109">
        <f>SUM(Table1[[#This Row],[2022]:[YTD 2024]])</f>
        <v>3.2399999999999998E-2</v>
      </c>
      <c r="P80" s="219">
        <f>IFERROR(((Table1[[#This Row],[2023]]-Table1[[#This Row],[2022]])/Table1[[#This Row],[2022]]),0)</f>
        <v>-0.83453237410071945</v>
      </c>
      <c r="Q80" s="219">
        <f>IFERROR(((Table1[[#This Row],[Volume 2023]]-Table1[[#This Row],[Volume 2022]])/Table1[[#This Row],[Volume 2022]]),0)</f>
        <v>-0.83333333333333337</v>
      </c>
      <c r="R80" s="219">
        <f>Table1[[#This Row],[YoY growth]]-Table1[[#This Row],[Volume growth]]</f>
        <v>-1.1990407673860837E-3</v>
      </c>
      <c r="S80" s="46"/>
    </row>
    <row r="81" spans="1:19" hidden="1" x14ac:dyDescent="0.25">
      <c r="A81" s="45"/>
      <c r="B81" s="41" t="s">
        <v>725</v>
      </c>
      <c r="C81" s="39" t="s">
        <v>894</v>
      </c>
      <c r="D81" s="39" t="s">
        <v>1044</v>
      </c>
      <c r="E81" s="42" t="s">
        <v>107</v>
      </c>
      <c r="F81" s="43" t="s">
        <v>9</v>
      </c>
      <c r="G81" s="38" t="s">
        <v>20</v>
      </c>
      <c r="H81" s="79" t="s">
        <v>11</v>
      </c>
      <c r="I81" s="87">
        <v>27.777100000000001</v>
      </c>
      <c r="J81" s="88">
        <v>19.717700000000001</v>
      </c>
      <c r="K81" s="89">
        <v>14.4848</v>
      </c>
      <c r="L81" s="90">
        <v>429.91730000000001</v>
      </c>
      <c r="M81" s="89">
        <v>309.96710000000002</v>
      </c>
      <c r="N81" s="89">
        <v>229.3313</v>
      </c>
      <c r="O81" s="109">
        <f>SUM(Table1[[#This Row],[2022]:[YTD 2024]])</f>
        <v>61.979599999999998</v>
      </c>
      <c r="P81" s="219">
        <f>IFERROR(((Table1[[#This Row],[2023]]-Table1[[#This Row],[2022]])/Table1[[#This Row],[2022]]),0)</f>
        <v>-0.29014547954970099</v>
      </c>
      <c r="Q81" s="219">
        <f>IFERROR(((Table1[[#This Row],[Volume 2023]]-Table1[[#This Row],[Volume 2022]])/Table1[[#This Row],[Volume 2022]]),0)</f>
        <v>-0.27900761378990796</v>
      </c>
      <c r="R81" s="219">
        <f>Table1[[#This Row],[YoY growth]]-Table1[[#This Row],[Volume growth]]</f>
        <v>-1.1137865759793031E-2</v>
      </c>
      <c r="S81" s="46"/>
    </row>
    <row r="82" spans="1:19" hidden="1" x14ac:dyDescent="0.25">
      <c r="A82" s="45"/>
      <c r="B82" s="41" t="s">
        <v>725</v>
      </c>
      <c r="C82" s="39" t="s">
        <v>894</v>
      </c>
      <c r="D82" s="39" t="s">
        <v>1044</v>
      </c>
      <c r="E82" s="42" t="s">
        <v>108</v>
      </c>
      <c r="F82" s="43" t="s">
        <v>9</v>
      </c>
      <c r="G82" s="38" t="s">
        <v>64</v>
      </c>
      <c r="H82" s="79" t="s">
        <v>11</v>
      </c>
      <c r="I82" s="87">
        <v>40.515599999999999</v>
      </c>
      <c r="J82" s="88">
        <v>34.999099999999999</v>
      </c>
      <c r="K82" s="89">
        <v>5.7746000000000004</v>
      </c>
      <c r="L82" s="90">
        <v>630.63189999999997</v>
      </c>
      <c r="M82" s="89">
        <v>558.36739999999998</v>
      </c>
      <c r="N82" s="89">
        <v>90.998999999999995</v>
      </c>
      <c r="O82" s="109">
        <f>SUM(Table1[[#This Row],[2022]:[YTD 2024]])</f>
        <v>81.289300000000011</v>
      </c>
      <c r="P82" s="219">
        <f>IFERROR(((Table1[[#This Row],[2023]]-Table1[[#This Row],[2022]])/Table1[[#This Row],[2022]]),0)</f>
        <v>-0.13615743071804443</v>
      </c>
      <c r="Q82" s="219">
        <f>IFERROR(((Table1[[#This Row],[Volume 2023]]-Table1[[#This Row],[Volume 2022]])/Table1[[#This Row],[Volume 2022]]),0)</f>
        <v>-0.11459061934545335</v>
      </c>
      <c r="R82" s="219">
        <f>Table1[[#This Row],[YoY growth]]-Table1[[#This Row],[Volume growth]]</f>
        <v>-2.1566811372591074E-2</v>
      </c>
      <c r="S82" s="46"/>
    </row>
    <row r="83" spans="1:19" hidden="1" x14ac:dyDescent="0.25">
      <c r="A83" s="45"/>
      <c r="B83" s="41" t="s">
        <v>725</v>
      </c>
      <c r="C83" s="39" t="s">
        <v>894</v>
      </c>
      <c r="D83" s="39" t="s">
        <v>1044</v>
      </c>
      <c r="E83" s="42" t="s">
        <v>109</v>
      </c>
      <c r="F83" s="43" t="s">
        <v>9</v>
      </c>
      <c r="G83" s="38" t="s">
        <v>20</v>
      </c>
      <c r="H83" s="79" t="s">
        <v>88</v>
      </c>
      <c r="I83" s="87">
        <v>61.397500000000001</v>
      </c>
      <c r="J83" s="88">
        <v>45.295999999999999</v>
      </c>
      <c r="K83" s="89">
        <v>19.337599999999998</v>
      </c>
      <c r="L83" s="90">
        <v>1027.2618</v>
      </c>
      <c r="M83" s="89">
        <v>758.06629999999996</v>
      </c>
      <c r="N83" s="89">
        <v>328.18349999999998</v>
      </c>
      <c r="O83" s="109">
        <f>SUM(Table1[[#This Row],[2022]:[YTD 2024]])</f>
        <v>126.0311</v>
      </c>
      <c r="P83" s="219">
        <f>IFERROR(((Table1[[#This Row],[2023]]-Table1[[#This Row],[2022]])/Table1[[#This Row],[2022]]),0)</f>
        <v>-0.26225009161610818</v>
      </c>
      <c r="Q83" s="219">
        <f>IFERROR(((Table1[[#This Row],[Volume 2023]]-Table1[[#This Row],[Volume 2022]])/Table1[[#This Row],[Volume 2022]]),0)</f>
        <v>-0.26205150430007235</v>
      </c>
      <c r="R83" s="219">
        <f>Table1[[#This Row],[YoY growth]]-Table1[[#This Row],[Volume growth]]</f>
        <v>-1.9858731603583646E-4</v>
      </c>
      <c r="S83" s="46"/>
    </row>
    <row r="84" spans="1:19" hidden="1" x14ac:dyDescent="0.25">
      <c r="A84" s="45"/>
      <c r="B84" s="41" t="s">
        <v>725</v>
      </c>
      <c r="C84" s="39" t="s">
        <v>894</v>
      </c>
      <c r="D84" s="39" t="s">
        <v>1044</v>
      </c>
      <c r="E84" s="42" t="s">
        <v>110</v>
      </c>
      <c r="F84" s="43" t="s">
        <v>9</v>
      </c>
      <c r="G84" s="38" t="s">
        <v>20</v>
      </c>
      <c r="H84" s="79" t="s">
        <v>88</v>
      </c>
      <c r="I84" s="87">
        <v>1.03E-2</v>
      </c>
      <c r="J84" s="88">
        <v>1.6999999999999999E-3</v>
      </c>
      <c r="K84" s="89">
        <v>0</v>
      </c>
      <c r="L84" s="90">
        <v>0.21429999999999999</v>
      </c>
      <c r="M84" s="89">
        <v>3.5700000000000003E-2</v>
      </c>
      <c r="N84" s="89">
        <v>0</v>
      </c>
      <c r="O84" s="109">
        <f>SUM(Table1[[#This Row],[2022]:[YTD 2024]])</f>
        <v>1.2E-2</v>
      </c>
      <c r="P84" s="219">
        <f>IFERROR(((Table1[[#This Row],[2023]]-Table1[[#This Row],[2022]])/Table1[[#This Row],[2022]]),0)</f>
        <v>-0.83495145631067957</v>
      </c>
      <c r="Q84" s="219">
        <f>IFERROR(((Table1[[#This Row],[Volume 2023]]-Table1[[#This Row],[Volume 2022]])/Table1[[#This Row],[Volume 2022]]),0)</f>
        <v>-0.83341110592627154</v>
      </c>
      <c r="R84" s="219">
        <f>Table1[[#This Row],[YoY growth]]-Table1[[#This Row],[Volume growth]]</f>
        <v>-1.5403503844080291E-3</v>
      </c>
      <c r="S84" s="46"/>
    </row>
    <row r="85" spans="1:19" hidden="1" x14ac:dyDescent="0.25">
      <c r="A85" s="45"/>
      <c r="B85" s="41" t="s">
        <v>725</v>
      </c>
      <c r="C85" s="39" t="s">
        <v>894</v>
      </c>
      <c r="D85" s="39" t="s">
        <v>1044</v>
      </c>
      <c r="E85" s="42" t="s">
        <v>111</v>
      </c>
      <c r="F85" s="43" t="s">
        <v>9</v>
      </c>
      <c r="G85" s="38" t="s">
        <v>69</v>
      </c>
      <c r="H85" s="79" t="s">
        <v>102</v>
      </c>
      <c r="I85" s="87">
        <v>0</v>
      </c>
      <c r="J85" s="88">
        <v>0</v>
      </c>
      <c r="K85" s="89">
        <v>8.3928999999999991</v>
      </c>
      <c r="L85" s="90">
        <v>0</v>
      </c>
      <c r="M85" s="89">
        <v>0</v>
      </c>
      <c r="N85" s="89">
        <v>185.37119999999999</v>
      </c>
      <c r="O85" s="109">
        <f>SUM(Table1[[#This Row],[2022]:[YTD 2024]])</f>
        <v>8.3928999999999991</v>
      </c>
      <c r="P85" s="219">
        <f>IFERROR(((Table1[[#This Row],[2023]]-Table1[[#This Row],[2022]])/Table1[[#This Row],[2022]]),0)</f>
        <v>0</v>
      </c>
      <c r="Q85" s="219">
        <f>IFERROR(((Table1[[#This Row],[Volume 2023]]-Table1[[#This Row],[Volume 2022]])/Table1[[#This Row],[Volume 2022]]),0)</f>
        <v>0</v>
      </c>
      <c r="R85" s="219">
        <f>Table1[[#This Row],[YoY growth]]-Table1[[#This Row],[Volume growth]]</f>
        <v>0</v>
      </c>
      <c r="S85" s="46"/>
    </row>
    <row r="86" spans="1:19" hidden="1" x14ac:dyDescent="0.25">
      <c r="A86" s="45"/>
      <c r="B86" s="41" t="s">
        <v>725</v>
      </c>
      <c r="C86" s="39" t="s">
        <v>894</v>
      </c>
      <c r="D86" s="39" t="s">
        <v>1044</v>
      </c>
      <c r="E86" s="42" t="s">
        <v>112</v>
      </c>
      <c r="F86" s="43" t="s">
        <v>9</v>
      </c>
      <c r="G86" s="38" t="s">
        <v>69</v>
      </c>
      <c r="H86" s="79" t="s">
        <v>37</v>
      </c>
      <c r="I86" s="87">
        <v>11.2281</v>
      </c>
      <c r="J86" s="88">
        <v>7.5716999999999999</v>
      </c>
      <c r="K86" s="89">
        <v>1.9255</v>
      </c>
      <c r="L86" s="90">
        <v>325.11810000000003</v>
      </c>
      <c r="M86" s="89">
        <v>236.1233</v>
      </c>
      <c r="N86" s="89">
        <v>61.869799999999998</v>
      </c>
      <c r="O86" s="109">
        <f>SUM(Table1[[#This Row],[2022]:[YTD 2024]])</f>
        <v>20.725299999999997</v>
      </c>
      <c r="P86" s="219">
        <f>IFERROR(((Table1[[#This Row],[2023]]-Table1[[#This Row],[2022]])/Table1[[#This Row],[2022]]),0)</f>
        <v>-0.32564725999946559</v>
      </c>
      <c r="Q86" s="219">
        <f>IFERROR(((Table1[[#This Row],[Volume 2023]]-Table1[[#This Row],[Volume 2022]])/Table1[[#This Row],[Volume 2022]]),0)</f>
        <v>-0.27373068432671088</v>
      </c>
      <c r="R86" s="219">
        <f>Table1[[#This Row],[YoY growth]]-Table1[[#This Row],[Volume growth]]</f>
        <v>-5.1916575672754706E-2</v>
      </c>
      <c r="S86" s="46"/>
    </row>
    <row r="87" spans="1:19" hidden="1" x14ac:dyDescent="0.25">
      <c r="A87" s="45"/>
      <c r="B87" s="41" t="s">
        <v>725</v>
      </c>
      <c r="C87" s="39" t="s">
        <v>894</v>
      </c>
      <c r="D87" s="39" t="s">
        <v>1044</v>
      </c>
      <c r="E87" s="42" t="s">
        <v>113</v>
      </c>
      <c r="F87" s="43" t="s">
        <v>9</v>
      </c>
      <c r="G87" s="38" t="s">
        <v>69</v>
      </c>
      <c r="H87" s="79" t="s">
        <v>42</v>
      </c>
      <c r="I87" s="87">
        <v>56.268599999999999</v>
      </c>
      <c r="J87" s="88">
        <v>22.377800000000001</v>
      </c>
      <c r="K87" s="89">
        <v>12.435499999999999</v>
      </c>
      <c r="L87" s="90">
        <v>1799.2518</v>
      </c>
      <c r="M87" s="89">
        <v>721.99059999999997</v>
      </c>
      <c r="N87" s="89">
        <v>385.45190000000002</v>
      </c>
      <c r="O87" s="109">
        <f>SUM(Table1[[#This Row],[2022]:[YTD 2024]])</f>
        <v>91.081900000000005</v>
      </c>
      <c r="P87" s="219">
        <f>IFERROR(((Table1[[#This Row],[2023]]-Table1[[#This Row],[2022]])/Table1[[#This Row],[2022]]),0)</f>
        <v>-0.60230394927188524</v>
      </c>
      <c r="Q87" s="219">
        <f>IFERROR(((Table1[[#This Row],[Volume 2023]]-Table1[[#This Row],[Volume 2022]])/Table1[[#This Row],[Volume 2022]]),0)</f>
        <v>-0.59872731543189228</v>
      </c>
      <c r="R87" s="219">
        <f>Table1[[#This Row],[YoY growth]]-Table1[[#This Row],[Volume growth]]</f>
        <v>-3.5766338399929598E-3</v>
      </c>
      <c r="S87" s="46"/>
    </row>
    <row r="88" spans="1:19" hidden="1" x14ac:dyDescent="0.25">
      <c r="A88" s="45"/>
      <c r="B88" s="41" t="s">
        <v>725</v>
      </c>
      <c r="C88" s="39" t="s">
        <v>894</v>
      </c>
      <c r="D88" s="39" t="s">
        <v>1044</v>
      </c>
      <c r="E88" s="42" t="s">
        <v>114</v>
      </c>
      <c r="F88" s="43" t="s">
        <v>9</v>
      </c>
      <c r="G88" s="38" t="s">
        <v>10</v>
      </c>
      <c r="H88" s="79" t="s">
        <v>42</v>
      </c>
      <c r="I88" s="87">
        <v>0.64159999999999995</v>
      </c>
      <c r="J88" s="88">
        <v>0.34470000000000001</v>
      </c>
      <c r="K88" s="89">
        <v>0</v>
      </c>
      <c r="L88" s="90">
        <v>14.463900000000001</v>
      </c>
      <c r="M88" s="89">
        <v>7.3648999999999996</v>
      </c>
      <c r="N88" s="89">
        <v>0</v>
      </c>
      <c r="O88" s="109">
        <f>SUM(Table1[[#This Row],[2022]:[YTD 2024]])</f>
        <v>0.98629999999999995</v>
      </c>
      <c r="P88" s="219">
        <f>IFERROR(((Table1[[#This Row],[2023]]-Table1[[#This Row],[2022]])/Table1[[#This Row],[2022]]),0)</f>
        <v>-0.46274937655860343</v>
      </c>
      <c r="Q88" s="219">
        <f>IFERROR(((Table1[[#This Row],[Volume 2023]]-Table1[[#This Row],[Volume 2022]])/Table1[[#This Row],[Volume 2022]]),0)</f>
        <v>-0.49080814994572702</v>
      </c>
      <c r="R88" s="219">
        <f>Table1[[#This Row],[YoY growth]]-Table1[[#This Row],[Volume growth]]</f>
        <v>2.8058773387123592E-2</v>
      </c>
      <c r="S88" s="46"/>
    </row>
    <row r="89" spans="1:19" hidden="1" x14ac:dyDescent="0.25">
      <c r="A89" s="45"/>
      <c r="B89" s="41" t="s">
        <v>725</v>
      </c>
      <c r="C89" s="39" t="s">
        <v>894</v>
      </c>
      <c r="D89" s="39" t="s">
        <v>1044</v>
      </c>
      <c r="E89" s="42" t="s">
        <v>115</v>
      </c>
      <c r="F89" s="43" t="s">
        <v>9</v>
      </c>
      <c r="G89" s="38" t="s">
        <v>64</v>
      </c>
      <c r="H89" s="79" t="s">
        <v>42</v>
      </c>
      <c r="I89" s="87">
        <v>64.480099999999993</v>
      </c>
      <c r="J89" s="88">
        <v>81.182500000000005</v>
      </c>
      <c r="K89" s="89">
        <v>15.496600000000001</v>
      </c>
      <c r="L89" s="90">
        <v>2159.5493999999999</v>
      </c>
      <c r="M89" s="89">
        <v>2486.1275000000001</v>
      </c>
      <c r="N89" s="89">
        <v>493.73469999999998</v>
      </c>
      <c r="O89" s="109">
        <f>SUM(Table1[[#This Row],[2022]:[YTD 2024]])</f>
        <v>161.1592</v>
      </c>
      <c r="P89" s="219">
        <f>IFERROR(((Table1[[#This Row],[2023]]-Table1[[#This Row],[2022]])/Table1[[#This Row],[2022]]),0)</f>
        <v>0.25903185634017339</v>
      </c>
      <c r="Q89" s="219">
        <f>IFERROR(((Table1[[#This Row],[Volume 2023]]-Table1[[#This Row],[Volume 2022]])/Table1[[#This Row],[Volume 2022]]),0)</f>
        <v>0.15122511205346828</v>
      </c>
      <c r="R89" s="219">
        <f>Table1[[#This Row],[YoY growth]]-Table1[[#This Row],[Volume growth]]</f>
        <v>0.10780674428670511</v>
      </c>
      <c r="S89" s="46"/>
    </row>
    <row r="90" spans="1:19" hidden="1" x14ac:dyDescent="0.25">
      <c r="A90" s="45"/>
      <c r="B90" s="41" t="s">
        <v>726</v>
      </c>
      <c r="C90" s="39" t="s">
        <v>895</v>
      </c>
      <c r="D90" s="39" t="s">
        <v>1045</v>
      </c>
      <c r="E90" s="42" t="s">
        <v>116</v>
      </c>
      <c r="F90" s="43" t="s">
        <v>9</v>
      </c>
      <c r="G90" s="38" t="s">
        <v>20</v>
      </c>
      <c r="H90" s="79" t="s">
        <v>21</v>
      </c>
      <c r="I90" s="87">
        <v>0</v>
      </c>
      <c r="J90" s="88">
        <v>0</v>
      </c>
      <c r="K90" s="89">
        <v>0.24490000000000001</v>
      </c>
      <c r="L90" s="90">
        <v>0</v>
      </c>
      <c r="M90" s="89">
        <v>0</v>
      </c>
      <c r="N90" s="89">
        <v>9.7979000000000003</v>
      </c>
      <c r="O90" s="109">
        <f>SUM(Table1[[#This Row],[2022]:[YTD 2024]])</f>
        <v>0.24490000000000001</v>
      </c>
      <c r="P90" s="219">
        <f>IFERROR(((Table1[[#This Row],[2023]]-Table1[[#This Row],[2022]])/Table1[[#This Row],[2022]]),0)</f>
        <v>0</v>
      </c>
      <c r="Q90" s="219">
        <f>IFERROR(((Table1[[#This Row],[Volume 2023]]-Table1[[#This Row],[Volume 2022]])/Table1[[#This Row],[Volume 2022]]),0)</f>
        <v>0</v>
      </c>
      <c r="R90" s="219">
        <f>Table1[[#This Row],[YoY growth]]-Table1[[#This Row],[Volume growth]]</f>
        <v>0</v>
      </c>
      <c r="S90" s="46"/>
    </row>
    <row r="91" spans="1:19" hidden="1" x14ac:dyDescent="0.25">
      <c r="A91" s="45"/>
      <c r="B91" s="41" t="s">
        <v>726</v>
      </c>
      <c r="C91" s="39" t="s">
        <v>895</v>
      </c>
      <c r="D91" s="39" t="s">
        <v>1045</v>
      </c>
      <c r="E91" s="42" t="s">
        <v>117</v>
      </c>
      <c r="F91" s="43" t="s">
        <v>9</v>
      </c>
      <c r="G91" s="38" t="s">
        <v>20</v>
      </c>
      <c r="H91" s="79" t="s">
        <v>21</v>
      </c>
      <c r="I91" s="87">
        <v>0.22359999999999999</v>
      </c>
      <c r="J91" s="88">
        <v>1.0136000000000001</v>
      </c>
      <c r="K91" s="89">
        <v>0.81230000000000002</v>
      </c>
      <c r="L91" s="90">
        <v>12.2155</v>
      </c>
      <c r="M91" s="89">
        <v>49.151600000000002</v>
      </c>
      <c r="N91" s="89">
        <v>34.919499999999999</v>
      </c>
      <c r="O91" s="109">
        <f>SUM(Table1[[#This Row],[2022]:[YTD 2024]])</f>
        <v>2.0495000000000001</v>
      </c>
      <c r="P91" s="219">
        <f>IFERROR(((Table1[[#This Row],[2023]]-Table1[[#This Row],[2022]])/Table1[[#This Row],[2022]]),0)</f>
        <v>3.5330948121645798</v>
      </c>
      <c r="Q91" s="219">
        <f>IFERROR(((Table1[[#This Row],[Volume 2023]]-Table1[[#This Row],[Volume 2022]])/Table1[[#This Row],[Volume 2022]]),0)</f>
        <v>3.0237075846260901</v>
      </c>
      <c r="R91" s="219">
        <f>Table1[[#This Row],[YoY growth]]-Table1[[#This Row],[Volume growth]]</f>
        <v>0.50938722753848964</v>
      </c>
      <c r="S91" s="46"/>
    </row>
    <row r="92" spans="1:19" hidden="1" x14ac:dyDescent="0.25">
      <c r="A92" s="45"/>
      <c r="B92" s="41" t="s">
        <v>727</v>
      </c>
      <c r="C92" s="39" t="s">
        <v>896</v>
      </c>
      <c r="D92" s="39" t="s">
        <v>1046</v>
      </c>
      <c r="E92" s="42" t="s">
        <v>120</v>
      </c>
      <c r="F92" s="43" t="s">
        <v>9</v>
      </c>
      <c r="G92" s="38" t="s">
        <v>10</v>
      </c>
      <c r="H92" s="79" t="s">
        <v>11</v>
      </c>
      <c r="I92" s="87">
        <v>15.0191</v>
      </c>
      <c r="J92" s="88">
        <v>17.616800000000001</v>
      </c>
      <c r="K92" s="89">
        <v>13.700200000000001</v>
      </c>
      <c r="L92" s="90">
        <v>121.4559</v>
      </c>
      <c r="M92" s="89">
        <v>162.24</v>
      </c>
      <c r="N92" s="89">
        <v>126.0534</v>
      </c>
      <c r="O92" s="109">
        <f>SUM(Table1[[#This Row],[2022]:[YTD 2024]])</f>
        <v>46.336100000000002</v>
      </c>
      <c r="P92" s="219">
        <f>IFERROR(((Table1[[#This Row],[2023]]-Table1[[#This Row],[2022]])/Table1[[#This Row],[2022]]),0)</f>
        <v>0.17295976456645215</v>
      </c>
      <c r="Q92" s="219">
        <f>IFERROR(((Table1[[#This Row],[Volume 2023]]-Table1[[#This Row],[Volume 2022]])/Table1[[#This Row],[Volume 2022]]),0)</f>
        <v>0.33579348553672578</v>
      </c>
      <c r="R92" s="219">
        <f>Table1[[#This Row],[YoY growth]]-Table1[[#This Row],[Volume growth]]</f>
        <v>-0.16283372097027363</v>
      </c>
      <c r="S92" s="46"/>
    </row>
    <row r="93" spans="1:19" hidden="1" x14ac:dyDescent="0.25">
      <c r="A93" s="45"/>
      <c r="B93" s="41" t="s">
        <v>727</v>
      </c>
      <c r="C93" s="39" t="s">
        <v>896</v>
      </c>
      <c r="D93" s="39" t="s">
        <v>1046</v>
      </c>
      <c r="E93" s="42" t="s">
        <v>121</v>
      </c>
      <c r="F93" s="43" t="s">
        <v>9</v>
      </c>
      <c r="G93" s="38" t="s">
        <v>10</v>
      </c>
      <c r="H93" s="79" t="s">
        <v>99</v>
      </c>
      <c r="I93" s="87">
        <v>19.776399999999999</v>
      </c>
      <c r="J93" s="88">
        <v>13.798299999999999</v>
      </c>
      <c r="K93" s="89">
        <v>7.5656999999999996</v>
      </c>
      <c r="L93" s="90">
        <v>281.97280000000001</v>
      </c>
      <c r="M93" s="89">
        <v>222.7071</v>
      </c>
      <c r="N93" s="89">
        <v>118.9547</v>
      </c>
      <c r="O93" s="109">
        <f>SUM(Table1[[#This Row],[2022]:[YTD 2024]])</f>
        <v>41.1404</v>
      </c>
      <c r="P93" s="219">
        <f>IFERROR(((Table1[[#This Row],[2023]]-Table1[[#This Row],[2022]])/Table1[[#This Row],[2022]]),0)</f>
        <v>-0.30228454117028375</v>
      </c>
      <c r="Q93" s="219">
        <f>IFERROR(((Table1[[#This Row],[Volume 2023]]-Table1[[#This Row],[Volume 2022]])/Table1[[#This Row],[Volume 2022]]),0)</f>
        <v>-0.2101823296431429</v>
      </c>
      <c r="R93" s="219">
        <f>Table1[[#This Row],[YoY growth]]-Table1[[#This Row],[Volume growth]]</f>
        <v>-9.2102211527140848E-2</v>
      </c>
      <c r="S93" s="46"/>
    </row>
    <row r="94" spans="1:19" hidden="1" x14ac:dyDescent="0.25">
      <c r="A94" s="45"/>
      <c r="B94" s="41" t="s">
        <v>727</v>
      </c>
      <c r="C94" s="39" t="s">
        <v>896</v>
      </c>
      <c r="D94" s="39" t="s">
        <v>1046</v>
      </c>
      <c r="E94" s="42" t="s">
        <v>122</v>
      </c>
      <c r="F94" s="43" t="s">
        <v>9</v>
      </c>
      <c r="G94" s="38" t="s">
        <v>10</v>
      </c>
      <c r="H94" s="79" t="s">
        <v>123</v>
      </c>
      <c r="I94" s="87">
        <v>41.314100000000003</v>
      </c>
      <c r="J94" s="88">
        <v>32.422600000000003</v>
      </c>
      <c r="K94" s="89">
        <v>18.6829</v>
      </c>
      <c r="L94" s="90">
        <v>549.64080000000001</v>
      </c>
      <c r="M94" s="89">
        <v>416.84789999999998</v>
      </c>
      <c r="N94" s="89">
        <v>241.38910000000001</v>
      </c>
      <c r="O94" s="109">
        <f>SUM(Table1[[#This Row],[2022]:[YTD 2024]])</f>
        <v>92.419600000000017</v>
      </c>
      <c r="P94" s="219">
        <f>IFERROR(((Table1[[#This Row],[2023]]-Table1[[#This Row],[2022]])/Table1[[#This Row],[2022]]),0)</f>
        <v>-0.21521708085133162</v>
      </c>
      <c r="Q94" s="219">
        <f>IFERROR(((Table1[[#This Row],[Volume 2023]]-Table1[[#This Row],[Volume 2022]])/Table1[[#This Row],[Volume 2022]]),0)</f>
        <v>-0.24159942275027624</v>
      </c>
      <c r="R94" s="219">
        <f>Table1[[#This Row],[YoY growth]]-Table1[[#This Row],[Volume growth]]</f>
        <v>2.6382341898944617E-2</v>
      </c>
      <c r="S94" s="46"/>
    </row>
    <row r="95" spans="1:19" hidden="1" x14ac:dyDescent="0.25">
      <c r="A95" s="45"/>
      <c r="B95" s="41" t="s">
        <v>727</v>
      </c>
      <c r="C95" s="39" t="s">
        <v>896</v>
      </c>
      <c r="D95" s="39" t="s">
        <v>1046</v>
      </c>
      <c r="E95" s="42" t="s">
        <v>124</v>
      </c>
      <c r="F95" s="43" t="s">
        <v>9</v>
      </c>
      <c r="G95" s="38" t="s">
        <v>30</v>
      </c>
      <c r="H95" s="79" t="s">
        <v>123</v>
      </c>
      <c r="I95" s="87">
        <v>10.5054</v>
      </c>
      <c r="J95" s="88">
        <v>0.496</v>
      </c>
      <c r="K95" s="89">
        <v>0</v>
      </c>
      <c r="L95" s="90">
        <v>168.06010000000001</v>
      </c>
      <c r="M95" s="89">
        <v>9.3780000000000001</v>
      </c>
      <c r="N95" s="89">
        <v>0</v>
      </c>
      <c r="O95" s="109">
        <f>SUM(Table1[[#This Row],[2022]:[YTD 2024]])</f>
        <v>11.0014</v>
      </c>
      <c r="P95" s="219">
        <f>IFERROR(((Table1[[#This Row],[2023]]-Table1[[#This Row],[2022]])/Table1[[#This Row],[2022]]),0)</f>
        <v>-0.95278618615188371</v>
      </c>
      <c r="Q95" s="219">
        <f>IFERROR(((Table1[[#This Row],[Volume 2023]]-Table1[[#This Row],[Volume 2022]])/Table1[[#This Row],[Volume 2022]]),0)</f>
        <v>-0.94419853373882312</v>
      </c>
      <c r="R95" s="219">
        <f>Table1[[#This Row],[YoY growth]]-Table1[[#This Row],[Volume growth]]</f>
        <v>-8.5876524130605869E-3</v>
      </c>
      <c r="S95" s="46"/>
    </row>
    <row r="96" spans="1:19" hidden="1" x14ac:dyDescent="0.25">
      <c r="A96" s="45"/>
      <c r="B96" s="41" t="s">
        <v>727</v>
      </c>
      <c r="C96" s="39" t="s">
        <v>896</v>
      </c>
      <c r="D96" s="39" t="s">
        <v>1046</v>
      </c>
      <c r="E96" s="42" t="s">
        <v>125</v>
      </c>
      <c r="F96" s="43" t="s">
        <v>9</v>
      </c>
      <c r="G96" s="38" t="s">
        <v>10</v>
      </c>
      <c r="H96" s="79" t="s">
        <v>123</v>
      </c>
      <c r="I96" s="87">
        <v>26.694099999999999</v>
      </c>
      <c r="J96" s="88">
        <v>16.9801</v>
      </c>
      <c r="K96" s="89">
        <v>8.3484999999999996</v>
      </c>
      <c r="L96" s="90">
        <v>362.30340000000001</v>
      </c>
      <c r="M96" s="89">
        <v>234.6001</v>
      </c>
      <c r="N96" s="89">
        <v>111.9991</v>
      </c>
      <c r="O96" s="109">
        <f>SUM(Table1[[#This Row],[2022]:[YTD 2024]])</f>
        <v>52.0227</v>
      </c>
      <c r="P96" s="219">
        <f>IFERROR(((Table1[[#This Row],[2023]]-Table1[[#This Row],[2022]])/Table1[[#This Row],[2022]]),0)</f>
        <v>-0.36390063721946042</v>
      </c>
      <c r="Q96" s="219">
        <f>IFERROR(((Table1[[#This Row],[Volume 2023]]-Table1[[#This Row],[Volume 2022]])/Table1[[#This Row],[Volume 2022]]),0)</f>
        <v>-0.3524761291227187</v>
      </c>
      <c r="R96" s="219">
        <f>Table1[[#This Row],[YoY growth]]-Table1[[#This Row],[Volume growth]]</f>
        <v>-1.1424508096741726E-2</v>
      </c>
      <c r="S96" s="46"/>
    </row>
    <row r="97" spans="1:19" hidden="1" x14ac:dyDescent="0.25">
      <c r="A97" s="45"/>
      <c r="B97" s="41" t="s">
        <v>728</v>
      </c>
      <c r="C97" s="39" t="s">
        <v>897</v>
      </c>
      <c r="D97" s="39" t="s">
        <v>1047</v>
      </c>
      <c r="E97" s="42" t="s">
        <v>127</v>
      </c>
      <c r="F97" s="43" t="s">
        <v>9</v>
      </c>
      <c r="G97" s="38" t="s">
        <v>20</v>
      </c>
      <c r="H97" s="79" t="s">
        <v>99</v>
      </c>
      <c r="I97" s="87">
        <v>0.52039999999999997</v>
      </c>
      <c r="J97" s="88">
        <v>1.6072</v>
      </c>
      <c r="K97" s="89">
        <v>0.16420000000000001</v>
      </c>
      <c r="L97" s="90">
        <v>10.5198</v>
      </c>
      <c r="M97" s="89">
        <v>34.4998</v>
      </c>
      <c r="N97" s="89">
        <v>3.1461000000000001</v>
      </c>
      <c r="O97" s="109">
        <f>SUM(Table1[[#This Row],[2022]:[YTD 2024]])</f>
        <v>2.2918000000000003</v>
      </c>
      <c r="P97" s="219">
        <f>IFERROR(((Table1[[#This Row],[2023]]-Table1[[#This Row],[2022]])/Table1[[#This Row],[2022]]),0)</f>
        <v>2.0883935434281322</v>
      </c>
      <c r="Q97" s="219">
        <f>IFERROR(((Table1[[#This Row],[Volume 2023]]-Table1[[#This Row],[Volume 2022]])/Table1[[#This Row],[Volume 2022]]),0)</f>
        <v>2.2795110173197211</v>
      </c>
      <c r="R97" s="219">
        <f>Table1[[#This Row],[YoY growth]]-Table1[[#This Row],[Volume growth]]</f>
        <v>-0.19111747389158884</v>
      </c>
      <c r="S97" s="46"/>
    </row>
    <row r="98" spans="1:19" hidden="1" x14ac:dyDescent="0.25">
      <c r="A98" s="45"/>
      <c r="B98" s="41" t="s">
        <v>729</v>
      </c>
      <c r="C98" s="39" t="s">
        <v>898</v>
      </c>
      <c r="D98" s="39" t="s">
        <v>1048</v>
      </c>
      <c r="E98" s="42" t="s">
        <v>128</v>
      </c>
      <c r="F98" s="43" t="s">
        <v>9</v>
      </c>
      <c r="G98" s="38" t="s">
        <v>20</v>
      </c>
      <c r="H98" s="79" t="s">
        <v>24</v>
      </c>
      <c r="I98" s="87">
        <v>0</v>
      </c>
      <c r="J98" s="88">
        <v>0</v>
      </c>
      <c r="K98" s="89">
        <v>0</v>
      </c>
      <c r="L98" s="90">
        <v>0</v>
      </c>
      <c r="M98" s="89">
        <v>0</v>
      </c>
      <c r="N98" s="89">
        <v>0</v>
      </c>
      <c r="O98" s="109">
        <f>SUM(Table1[[#This Row],[2022]:[YTD 2024]])</f>
        <v>0</v>
      </c>
      <c r="P98" s="219">
        <f>IFERROR(((Table1[[#This Row],[2023]]-Table1[[#This Row],[2022]])/Table1[[#This Row],[2022]]),0)</f>
        <v>0</v>
      </c>
      <c r="Q98" s="219">
        <f>IFERROR(((Table1[[#This Row],[Volume 2023]]-Table1[[#This Row],[Volume 2022]])/Table1[[#This Row],[Volume 2022]]),0)</f>
        <v>0</v>
      </c>
      <c r="R98" s="219">
        <f>Table1[[#This Row],[YoY growth]]-Table1[[#This Row],[Volume growth]]</f>
        <v>0</v>
      </c>
      <c r="S98" s="46"/>
    </row>
    <row r="99" spans="1:19" hidden="1" x14ac:dyDescent="0.25">
      <c r="A99" s="45"/>
      <c r="B99" s="41" t="s">
        <v>730</v>
      </c>
      <c r="C99" s="39" t="s">
        <v>899</v>
      </c>
      <c r="D99" s="39" t="s">
        <v>1049</v>
      </c>
      <c r="E99" s="42" t="s">
        <v>129</v>
      </c>
      <c r="F99" s="43" t="s">
        <v>9</v>
      </c>
      <c r="G99" s="38" t="s">
        <v>20</v>
      </c>
      <c r="H99" s="79" t="s">
        <v>42</v>
      </c>
      <c r="I99" s="87">
        <v>0</v>
      </c>
      <c r="J99" s="88">
        <v>3.7900000000000003E-2</v>
      </c>
      <c r="K99" s="89">
        <v>6.93E-2</v>
      </c>
      <c r="L99" s="90">
        <v>0</v>
      </c>
      <c r="M99" s="89">
        <v>2.3294000000000001</v>
      </c>
      <c r="N99" s="89">
        <v>4.2670000000000003</v>
      </c>
      <c r="O99" s="109">
        <f>SUM(Table1[[#This Row],[2022]:[YTD 2024]])</f>
        <v>0.1072</v>
      </c>
      <c r="P99" s="219">
        <f>IFERROR(((Table1[[#This Row],[2023]]-Table1[[#This Row],[2022]])/Table1[[#This Row],[2022]]),0)</f>
        <v>0</v>
      </c>
      <c r="Q99" s="219">
        <f>IFERROR(((Table1[[#This Row],[Volume 2023]]-Table1[[#This Row],[Volume 2022]])/Table1[[#This Row],[Volume 2022]]),0)</f>
        <v>0</v>
      </c>
      <c r="R99" s="219">
        <f>Table1[[#This Row],[YoY growth]]-Table1[[#This Row],[Volume growth]]</f>
        <v>0</v>
      </c>
      <c r="S99" s="46"/>
    </row>
    <row r="100" spans="1:19" hidden="1" x14ac:dyDescent="0.25">
      <c r="A100" s="45"/>
      <c r="B100" s="41" t="s">
        <v>731</v>
      </c>
      <c r="C100" s="39" t="s">
        <v>900</v>
      </c>
      <c r="D100" s="39" t="s">
        <v>1050</v>
      </c>
      <c r="E100" s="42" t="s">
        <v>849</v>
      </c>
      <c r="F100" s="43" t="s">
        <v>9</v>
      </c>
      <c r="G100" s="38" t="s">
        <v>20</v>
      </c>
      <c r="H100" s="79" t="s">
        <v>88</v>
      </c>
      <c r="I100" s="87">
        <v>0</v>
      </c>
      <c r="J100" s="88">
        <v>8.6E-3</v>
      </c>
      <c r="K100" s="89">
        <v>13.3878</v>
      </c>
      <c r="L100" s="90">
        <v>0</v>
      </c>
      <c r="M100" s="89">
        <v>0.19639999999999999</v>
      </c>
      <c r="N100" s="89">
        <v>341.02409999999998</v>
      </c>
      <c r="O100" s="109">
        <f>SUM(Table1[[#This Row],[2022]:[YTD 2024]])</f>
        <v>13.3964</v>
      </c>
      <c r="P100" s="219">
        <f>IFERROR(((Table1[[#This Row],[2023]]-Table1[[#This Row],[2022]])/Table1[[#This Row],[2022]]),0)</f>
        <v>0</v>
      </c>
      <c r="Q100" s="219">
        <f>IFERROR(((Table1[[#This Row],[Volume 2023]]-Table1[[#This Row],[Volume 2022]])/Table1[[#This Row],[Volume 2022]]),0)</f>
        <v>0</v>
      </c>
      <c r="R100" s="219">
        <f>Table1[[#This Row],[YoY growth]]-Table1[[#This Row],[Volume growth]]</f>
        <v>0</v>
      </c>
      <c r="S100" s="46"/>
    </row>
    <row r="101" spans="1:19" hidden="1" x14ac:dyDescent="0.25">
      <c r="A101" s="45"/>
      <c r="B101" s="41" t="s">
        <v>731</v>
      </c>
      <c r="C101" s="39" t="s">
        <v>900</v>
      </c>
      <c r="D101" s="39" t="s">
        <v>1050</v>
      </c>
      <c r="E101" s="42" t="s">
        <v>850</v>
      </c>
      <c r="F101" s="43" t="s">
        <v>9</v>
      </c>
      <c r="G101" s="38" t="s">
        <v>20</v>
      </c>
      <c r="H101" s="79" t="s">
        <v>88</v>
      </c>
      <c r="I101" s="87">
        <v>0</v>
      </c>
      <c r="J101" s="88">
        <v>4.8898999999999999</v>
      </c>
      <c r="K101" s="89">
        <v>10.664400000000001</v>
      </c>
      <c r="L101" s="90">
        <v>0</v>
      </c>
      <c r="M101" s="89">
        <v>145.9169</v>
      </c>
      <c r="N101" s="89">
        <v>284.60649999999998</v>
      </c>
      <c r="O101" s="109">
        <f>SUM(Table1[[#This Row],[2022]:[YTD 2024]])</f>
        <v>15.554300000000001</v>
      </c>
      <c r="P101" s="219">
        <f>IFERROR(((Table1[[#This Row],[2023]]-Table1[[#This Row],[2022]])/Table1[[#This Row],[2022]]),0)</f>
        <v>0</v>
      </c>
      <c r="Q101" s="219">
        <f>IFERROR(((Table1[[#This Row],[Volume 2023]]-Table1[[#This Row],[Volume 2022]])/Table1[[#This Row],[Volume 2022]]),0)</f>
        <v>0</v>
      </c>
      <c r="R101" s="219">
        <f>Table1[[#This Row],[YoY growth]]-Table1[[#This Row],[Volume growth]]</f>
        <v>0</v>
      </c>
      <c r="S101" s="46"/>
    </row>
    <row r="102" spans="1:19" hidden="1" x14ac:dyDescent="0.25">
      <c r="A102" s="45"/>
      <c r="B102" s="41" t="s">
        <v>731</v>
      </c>
      <c r="C102" s="39" t="s">
        <v>900</v>
      </c>
      <c r="D102" s="39" t="s">
        <v>1050</v>
      </c>
      <c r="E102" s="42" t="s">
        <v>851</v>
      </c>
      <c r="F102" s="43" t="s">
        <v>9</v>
      </c>
      <c r="G102" s="38" t="s">
        <v>20</v>
      </c>
      <c r="H102" s="79" t="s">
        <v>88</v>
      </c>
      <c r="I102" s="87">
        <v>0</v>
      </c>
      <c r="J102" s="88">
        <v>5.8544999999999998</v>
      </c>
      <c r="K102" s="89">
        <v>9.0564</v>
      </c>
      <c r="L102" s="90">
        <v>0</v>
      </c>
      <c r="M102" s="89">
        <v>166.38579999999999</v>
      </c>
      <c r="N102" s="89">
        <v>238.54349999999999</v>
      </c>
      <c r="O102" s="109">
        <f>SUM(Table1[[#This Row],[2022]:[YTD 2024]])</f>
        <v>14.9109</v>
      </c>
      <c r="P102" s="219">
        <f>IFERROR(((Table1[[#This Row],[2023]]-Table1[[#This Row],[2022]])/Table1[[#This Row],[2022]]),0)</f>
        <v>0</v>
      </c>
      <c r="Q102" s="219">
        <f>IFERROR(((Table1[[#This Row],[Volume 2023]]-Table1[[#This Row],[Volume 2022]])/Table1[[#This Row],[Volume 2022]]),0)</f>
        <v>0</v>
      </c>
      <c r="R102" s="219">
        <f>Table1[[#This Row],[YoY growth]]-Table1[[#This Row],[Volume growth]]</f>
        <v>0</v>
      </c>
      <c r="S102" s="46"/>
    </row>
    <row r="103" spans="1:19" hidden="1" x14ac:dyDescent="0.25">
      <c r="A103" s="45"/>
      <c r="B103" s="41" t="s">
        <v>731</v>
      </c>
      <c r="C103" s="39" t="s">
        <v>900</v>
      </c>
      <c r="D103" s="39" t="s">
        <v>1050</v>
      </c>
      <c r="E103" s="42" t="s">
        <v>852</v>
      </c>
      <c r="F103" s="43" t="s">
        <v>9</v>
      </c>
      <c r="G103" s="38" t="s">
        <v>20</v>
      </c>
      <c r="H103" s="79" t="s">
        <v>119</v>
      </c>
      <c r="I103" s="87">
        <v>0</v>
      </c>
      <c r="J103" s="88">
        <v>0</v>
      </c>
      <c r="K103" s="89">
        <v>0.9879</v>
      </c>
      <c r="L103" s="90">
        <v>0</v>
      </c>
      <c r="M103" s="89">
        <v>0</v>
      </c>
      <c r="N103" s="89">
        <v>34.929000000000002</v>
      </c>
      <c r="O103" s="109">
        <f>SUM(Table1[[#This Row],[2022]:[YTD 2024]])</f>
        <v>0.9879</v>
      </c>
      <c r="P103" s="219">
        <f>IFERROR(((Table1[[#This Row],[2023]]-Table1[[#This Row],[2022]])/Table1[[#This Row],[2022]]),0)</f>
        <v>0</v>
      </c>
      <c r="Q103" s="219">
        <f>IFERROR(((Table1[[#This Row],[Volume 2023]]-Table1[[#This Row],[Volume 2022]])/Table1[[#This Row],[Volume 2022]]),0)</f>
        <v>0</v>
      </c>
      <c r="R103" s="219">
        <f>Table1[[#This Row],[YoY growth]]-Table1[[#This Row],[Volume growth]]</f>
        <v>0</v>
      </c>
      <c r="S103" s="46"/>
    </row>
    <row r="104" spans="1:19" hidden="1" x14ac:dyDescent="0.25">
      <c r="A104" s="45"/>
      <c r="B104" s="41" t="s">
        <v>731</v>
      </c>
      <c r="C104" s="39" t="s">
        <v>900</v>
      </c>
      <c r="D104" s="39" t="s">
        <v>1050</v>
      </c>
      <c r="E104" s="42" t="s">
        <v>853</v>
      </c>
      <c r="F104" s="43" t="s">
        <v>9</v>
      </c>
      <c r="G104" s="38" t="s">
        <v>20</v>
      </c>
      <c r="H104" s="79" t="s">
        <v>17</v>
      </c>
      <c r="I104" s="87">
        <v>15.267200000000001</v>
      </c>
      <c r="J104" s="88">
        <v>16.318300000000001</v>
      </c>
      <c r="K104" s="89">
        <v>16.784099999999999</v>
      </c>
      <c r="L104" s="90">
        <v>431.15870000000001</v>
      </c>
      <c r="M104" s="89">
        <v>473.67329999999998</v>
      </c>
      <c r="N104" s="89">
        <v>505.80540000000002</v>
      </c>
      <c r="O104" s="109">
        <f>SUM(Table1[[#This Row],[2022]:[YTD 2024]])</f>
        <v>48.369600000000005</v>
      </c>
      <c r="P104" s="219">
        <f>IFERROR(((Table1[[#This Row],[2023]]-Table1[[#This Row],[2022]])/Table1[[#This Row],[2022]]),0)</f>
        <v>6.8846939844896246E-2</v>
      </c>
      <c r="Q104" s="219">
        <f>IFERROR(((Table1[[#This Row],[Volume 2023]]-Table1[[#This Row],[Volume 2022]])/Table1[[#This Row],[Volume 2022]]),0)</f>
        <v>9.8605455485416327E-2</v>
      </c>
      <c r="R104" s="219">
        <f>Table1[[#This Row],[YoY growth]]-Table1[[#This Row],[Volume growth]]</f>
        <v>-2.9758515640520081E-2</v>
      </c>
      <c r="S104" s="46"/>
    </row>
    <row r="105" spans="1:19" hidden="1" x14ac:dyDescent="0.25">
      <c r="A105" s="45"/>
      <c r="B105" s="41" t="s">
        <v>731</v>
      </c>
      <c r="C105" s="39" t="s">
        <v>900</v>
      </c>
      <c r="D105" s="39" t="s">
        <v>1050</v>
      </c>
      <c r="E105" s="42" t="s">
        <v>854</v>
      </c>
      <c r="F105" s="43" t="s">
        <v>9</v>
      </c>
      <c r="G105" s="38" t="s">
        <v>20</v>
      </c>
      <c r="H105" s="79" t="s">
        <v>17</v>
      </c>
      <c r="I105" s="87">
        <v>9.5295000000000005</v>
      </c>
      <c r="J105" s="88">
        <v>13.395300000000001</v>
      </c>
      <c r="K105" s="89">
        <v>18.126999999999999</v>
      </c>
      <c r="L105" s="90">
        <v>274.45499999999998</v>
      </c>
      <c r="M105" s="89">
        <v>396.72109999999998</v>
      </c>
      <c r="N105" s="89">
        <v>559.59109999999998</v>
      </c>
      <c r="O105" s="109">
        <f>SUM(Table1[[#This Row],[2022]:[YTD 2024]])</f>
        <v>41.0518</v>
      </c>
      <c r="P105" s="219">
        <f>IFERROR(((Table1[[#This Row],[2023]]-Table1[[#This Row],[2022]])/Table1[[#This Row],[2022]]),0)</f>
        <v>0.4056666141980167</v>
      </c>
      <c r="Q105" s="219">
        <f>IFERROR(((Table1[[#This Row],[Volume 2023]]-Table1[[#This Row],[Volume 2022]])/Table1[[#This Row],[Volume 2022]]),0)</f>
        <v>0.44548687398662806</v>
      </c>
      <c r="R105" s="219">
        <f>Table1[[#This Row],[YoY growth]]-Table1[[#This Row],[Volume growth]]</f>
        <v>-3.9820259788611367E-2</v>
      </c>
      <c r="S105" s="46"/>
    </row>
    <row r="106" spans="1:19" hidden="1" x14ac:dyDescent="0.25">
      <c r="A106" s="45"/>
      <c r="B106" s="41" t="s">
        <v>731</v>
      </c>
      <c r="C106" s="39" t="s">
        <v>900</v>
      </c>
      <c r="D106" s="39" t="s">
        <v>1050</v>
      </c>
      <c r="E106" s="42" t="s">
        <v>855</v>
      </c>
      <c r="F106" s="43" t="s">
        <v>9</v>
      </c>
      <c r="G106" s="38" t="s">
        <v>20</v>
      </c>
      <c r="H106" s="79" t="s">
        <v>17</v>
      </c>
      <c r="I106" s="87">
        <v>11.2293</v>
      </c>
      <c r="J106" s="88">
        <v>14.7631</v>
      </c>
      <c r="K106" s="89">
        <v>16.131900000000002</v>
      </c>
      <c r="L106" s="90">
        <v>318.93810000000002</v>
      </c>
      <c r="M106" s="89">
        <v>440.8152</v>
      </c>
      <c r="N106" s="89">
        <v>474.58569999999997</v>
      </c>
      <c r="O106" s="109">
        <f>SUM(Table1[[#This Row],[2022]:[YTD 2024]])</f>
        <v>42.124300000000005</v>
      </c>
      <c r="P106" s="219">
        <f>IFERROR(((Table1[[#This Row],[2023]]-Table1[[#This Row],[2022]])/Table1[[#This Row],[2022]]),0)</f>
        <v>0.31469459360779384</v>
      </c>
      <c r="Q106" s="219">
        <f>IFERROR(((Table1[[#This Row],[Volume 2023]]-Table1[[#This Row],[Volume 2022]])/Table1[[#This Row],[Volume 2022]]),0)</f>
        <v>0.38213402537984636</v>
      </c>
      <c r="R106" s="219">
        <f>Table1[[#This Row],[YoY growth]]-Table1[[#This Row],[Volume growth]]</f>
        <v>-6.7439431772052527E-2</v>
      </c>
      <c r="S106" s="46"/>
    </row>
    <row r="107" spans="1:19" hidden="1" x14ac:dyDescent="0.25">
      <c r="A107" s="45"/>
      <c r="B107" s="41" t="s">
        <v>732</v>
      </c>
      <c r="C107" s="39" t="s">
        <v>901</v>
      </c>
      <c r="D107" s="39" t="s">
        <v>1051</v>
      </c>
      <c r="E107" s="42" t="s">
        <v>819</v>
      </c>
      <c r="F107" s="43" t="s">
        <v>9</v>
      </c>
      <c r="G107" s="38" t="s">
        <v>10</v>
      </c>
      <c r="H107" s="79" t="s">
        <v>99</v>
      </c>
      <c r="I107" s="87">
        <v>1.03E-2</v>
      </c>
      <c r="J107" s="88">
        <v>0</v>
      </c>
      <c r="K107" s="89">
        <v>0</v>
      </c>
      <c r="L107" s="90">
        <v>0.3876</v>
      </c>
      <c r="M107" s="89">
        <v>0</v>
      </c>
      <c r="N107" s="89">
        <v>0</v>
      </c>
      <c r="O107" s="109">
        <f>SUM(Table1[[#This Row],[2022]:[YTD 2024]])</f>
        <v>1.03E-2</v>
      </c>
      <c r="P107" s="219">
        <f>IFERROR(((Table1[[#This Row],[2023]]-Table1[[#This Row],[2022]])/Table1[[#This Row],[2022]]),0)</f>
        <v>-1</v>
      </c>
      <c r="Q107" s="219">
        <f>IFERROR(((Table1[[#This Row],[Volume 2023]]-Table1[[#This Row],[Volume 2022]])/Table1[[#This Row],[Volume 2022]]),0)</f>
        <v>-1</v>
      </c>
      <c r="R107" s="219">
        <f>Table1[[#This Row],[YoY growth]]-Table1[[#This Row],[Volume growth]]</f>
        <v>0</v>
      </c>
      <c r="S107" s="46"/>
    </row>
    <row r="108" spans="1:19" hidden="1" x14ac:dyDescent="0.25">
      <c r="A108" s="45"/>
      <c r="B108" s="41" t="s">
        <v>733</v>
      </c>
      <c r="C108" s="39" t="s">
        <v>902</v>
      </c>
      <c r="D108" s="39" t="s">
        <v>1052</v>
      </c>
      <c r="E108" s="42" t="s">
        <v>130</v>
      </c>
      <c r="F108" s="43" t="s">
        <v>9</v>
      </c>
      <c r="G108" s="38" t="s">
        <v>10</v>
      </c>
      <c r="H108" s="79" t="s">
        <v>24</v>
      </c>
      <c r="I108" s="87">
        <v>0</v>
      </c>
      <c r="J108" s="88">
        <v>1.8077000000000001</v>
      </c>
      <c r="K108" s="89">
        <v>54.250700000000002</v>
      </c>
      <c r="L108" s="90">
        <v>0</v>
      </c>
      <c r="M108" s="89">
        <v>127.6024</v>
      </c>
      <c r="N108" s="89">
        <v>2956.24</v>
      </c>
      <c r="O108" s="109">
        <f>SUM(Table1[[#This Row],[2022]:[YTD 2024]])</f>
        <v>56.058399999999999</v>
      </c>
      <c r="P108" s="219">
        <f>IFERROR(((Table1[[#This Row],[2023]]-Table1[[#This Row],[2022]])/Table1[[#This Row],[2022]]),0)</f>
        <v>0</v>
      </c>
      <c r="Q108" s="219">
        <f>IFERROR(((Table1[[#This Row],[Volume 2023]]-Table1[[#This Row],[Volume 2022]])/Table1[[#This Row],[Volume 2022]]),0)</f>
        <v>0</v>
      </c>
      <c r="R108" s="219">
        <f>Table1[[#This Row],[YoY growth]]-Table1[[#This Row],[Volume growth]]</f>
        <v>0</v>
      </c>
      <c r="S108" s="46"/>
    </row>
    <row r="109" spans="1:19" hidden="1" x14ac:dyDescent="0.25">
      <c r="A109" s="45"/>
      <c r="B109" s="41" t="s">
        <v>734</v>
      </c>
      <c r="C109" s="39" t="s">
        <v>131</v>
      </c>
      <c r="D109" s="39" t="s">
        <v>1141</v>
      </c>
      <c r="E109" s="42" t="s">
        <v>132</v>
      </c>
      <c r="F109" s="43" t="s">
        <v>9</v>
      </c>
      <c r="G109" s="38" t="s">
        <v>10</v>
      </c>
      <c r="H109" s="79" t="s">
        <v>11</v>
      </c>
      <c r="I109" s="87">
        <v>0</v>
      </c>
      <c r="J109" s="88">
        <v>0.1202</v>
      </c>
      <c r="K109" s="89">
        <v>0</v>
      </c>
      <c r="L109" s="90">
        <v>0</v>
      </c>
      <c r="M109" s="89">
        <v>2.4085999999999999</v>
      </c>
      <c r="N109" s="89">
        <v>0</v>
      </c>
      <c r="O109" s="109">
        <f>SUM(Table1[[#This Row],[2022]:[YTD 2024]])</f>
        <v>0.1202</v>
      </c>
      <c r="P109" s="219">
        <f>IFERROR(((Table1[[#This Row],[2023]]-Table1[[#This Row],[2022]])/Table1[[#This Row],[2022]]),0)</f>
        <v>0</v>
      </c>
      <c r="Q109" s="219">
        <f>IFERROR(((Table1[[#This Row],[Volume 2023]]-Table1[[#This Row],[Volume 2022]])/Table1[[#This Row],[Volume 2022]]),0)</f>
        <v>0</v>
      </c>
      <c r="R109" s="219">
        <f>Table1[[#This Row],[YoY growth]]-Table1[[#This Row],[Volume growth]]</f>
        <v>0</v>
      </c>
      <c r="S109" s="46"/>
    </row>
    <row r="110" spans="1:19" hidden="1" x14ac:dyDescent="0.25">
      <c r="A110" s="45"/>
      <c r="B110" s="41" t="s">
        <v>735</v>
      </c>
      <c r="C110" s="39" t="s">
        <v>903</v>
      </c>
      <c r="D110" s="39" t="s">
        <v>735</v>
      </c>
      <c r="E110" s="42" t="s">
        <v>133</v>
      </c>
      <c r="F110" s="43" t="s">
        <v>9</v>
      </c>
      <c r="G110" s="38" t="s">
        <v>20</v>
      </c>
      <c r="H110" s="79" t="s">
        <v>24</v>
      </c>
      <c r="I110" s="87">
        <v>28.356999999999999</v>
      </c>
      <c r="J110" s="88">
        <v>20.580200000000001</v>
      </c>
      <c r="K110" s="89">
        <v>0.78890000000000005</v>
      </c>
      <c r="L110" s="90">
        <v>1646.7402</v>
      </c>
      <c r="M110" s="89">
        <v>1088.8000999999999</v>
      </c>
      <c r="N110" s="89">
        <v>38.968699999999998</v>
      </c>
      <c r="O110" s="109">
        <f>SUM(Table1[[#This Row],[2022]:[YTD 2024]])</f>
        <v>49.726100000000002</v>
      </c>
      <c r="P110" s="219">
        <f>IFERROR(((Table1[[#This Row],[2023]]-Table1[[#This Row],[2022]])/Table1[[#This Row],[2022]]),0)</f>
        <v>-0.27424621786507736</v>
      </c>
      <c r="Q110" s="219">
        <f>IFERROR(((Table1[[#This Row],[Volume 2023]]-Table1[[#This Row],[Volume 2022]])/Table1[[#This Row],[Volume 2022]]),0)</f>
        <v>-0.33881489016907468</v>
      </c>
      <c r="R110" s="219">
        <f>Table1[[#This Row],[YoY growth]]-Table1[[#This Row],[Volume growth]]</f>
        <v>6.4568672303997321E-2</v>
      </c>
      <c r="S110" s="46"/>
    </row>
    <row r="111" spans="1:19" hidden="1" x14ac:dyDescent="0.25">
      <c r="A111" s="45"/>
      <c r="B111" s="41" t="s">
        <v>735</v>
      </c>
      <c r="C111" s="39" t="s">
        <v>903</v>
      </c>
      <c r="D111" s="39" t="s">
        <v>735</v>
      </c>
      <c r="E111" s="42" t="s">
        <v>134</v>
      </c>
      <c r="F111" s="43" t="s">
        <v>9</v>
      </c>
      <c r="G111" s="38" t="s">
        <v>30</v>
      </c>
      <c r="H111" s="79" t="s">
        <v>24</v>
      </c>
      <c r="I111" s="87">
        <v>12.003299999999999</v>
      </c>
      <c r="J111" s="88">
        <v>12.0252</v>
      </c>
      <c r="K111" s="89">
        <v>1.8045</v>
      </c>
      <c r="L111" s="90">
        <v>643.41989999999998</v>
      </c>
      <c r="M111" s="89">
        <v>689.18370000000004</v>
      </c>
      <c r="N111" s="89">
        <v>98.837400000000002</v>
      </c>
      <c r="O111" s="109">
        <f>SUM(Table1[[#This Row],[2022]:[YTD 2024]])</f>
        <v>25.833000000000002</v>
      </c>
      <c r="P111" s="219">
        <f>IFERROR(((Table1[[#This Row],[2023]]-Table1[[#This Row],[2022]])/Table1[[#This Row],[2022]]),0)</f>
        <v>1.8244982629777207E-3</v>
      </c>
      <c r="Q111" s="219">
        <f>IFERROR(((Table1[[#This Row],[Volume 2023]]-Table1[[#This Row],[Volume 2022]])/Table1[[#This Row],[Volume 2022]]),0)</f>
        <v>7.1125869746956949E-2</v>
      </c>
      <c r="R111" s="219">
        <f>Table1[[#This Row],[YoY growth]]-Table1[[#This Row],[Volume growth]]</f>
        <v>-6.9301371483979232E-2</v>
      </c>
      <c r="S111" s="46"/>
    </row>
    <row r="112" spans="1:19" hidden="1" x14ac:dyDescent="0.25">
      <c r="A112" s="45"/>
      <c r="B112" s="41" t="s">
        <v>735</v>
      </c>
      <c r="C112" s="39" t="s">
        <v>903</v>
      </c>
      <c r="D112" s="39" t="s">
        <v>735</v>
      </c>
      <c r="E112" s="42" t="s">
        <v>135</v>
      </c>
      <c r="F112" s="43" t="s">
        <v>9</v>
      </c>
      <c r="G112" s="38" t="s">
        <v>30</v>
      </c>
      <c r="H112" s="79" t="s">
        <v>24</v>
      </c>
      <c r="I112" s="87">
        <v>0.11600000000000001</v>
      </c>
      <c r="J112" s="88">
        <v>0</v>
      </c>
      <c r="K112" s="89">
        <v>0</v>
      </c>
      <c r="L112" s="90">
        <v>6.96</v>
      </c>
      <c r="M112" s="89">
        <v>0</v>
      </c>
      <c r="N112" s="89">
        <v>0</v>
      </c>
      <c r="O112" s="109">
        <f>SUM(Table1[[#This Row],[2022]:[YTD 2024]])</f>
        <v>0.11600000000000001</v>
      </c>
      <c r="P112" s="219">
        <f>IFERROR(((Table1[[#This Row],[2023]]-Table1[[#This Row],[2022]])/Table1[[#This Row],[2022]]),0)</f>
        <v>-1</v>
      </c>
      <c r="Q112" s="219">
        <f>IFERROR(((Table1[[#This Row],[Volume 2023]]-Table1[[#This Row],[Volume 2022]])/Table1[[#This Row],[Volume 2022]]),0)</f>
        <v>-1</v>
      </c>
      <c r="R112" s="219">
        <f>Table1[[#This Row],[YoY growth]]-Table1[[#This Row],[Volume growth]]</f>
        <v>0</v>
      </c>
      <c r="S112" s="46"/>
    </row>
    <row r="113" spans="1:19" hidden="1" x14ac:dyDescent="0.25">
      <c r="A113" s="45"/>
      <c r="B113" s="41" t="s">
        <v>735</v>
      </c>
      <c r="C113" s="39" t="s">
        <v>903</v>
      </c>
      <c r="D113" s="39" t="s">
        <v>735</v>
      </c>
      <c r="E113" s="42" t="s">
        <v>136</v>
      </c>
      <c r="F113" s="43" t="s">
        <v>9</v>
      </c>
      <c r="G113" s="38" t="s">
        <v>20</v>
      </c>
      <c r="H113" s="79" t="s">
        <v>99</v>
      </c>
      <c r="I113" s="87">
        <v>4.6429999999999998</v>
      </c>
      <c r="J113" s="88">
        <v>2.3708</v>
      </c>
      <c r="K113" s="89">
        <v>3.8805999999999998</v>
      </c>
      <c r="L113" s="90">
        <v>208.76240000000001</v>
      </c>
      <c r="M113" s="89">
        <v>99.124899999999997</v>
      </c>
      <c r="N113" s="89">
        <v>163.75460000000001</v>
      </c>
      <c r="O113" s="109">
        <f>SUM(Table1[[#This Row],[2022]:[YTD 2024]])</f>
        <v>10.894399999999999</v>
      </c>
      <c r="P113" s="219">
        <f>IFERROR(((Table1[[#This Row],[2023]]-Table1[[#This Row],[2022]])/Table1[[#This Row],[2022]]),0)</f>
        <v>-0.48938186517337923</v>
      </c>
      <c r="Q113" s="219">
        <f>IFERROR(((Table1[[#This Row],[Volume 2023]]-Table1[[#This Row],[Volume 2022]])/Table1[[#This Row],[Volume 2022]]),0)</f>
        <v>-0.52517838461332123</v>
      </c>
      <c r="R113" s="219">
        <f>Table1[[#This Row],[YoY growth]]-Table1[[#This Row],[Volume growth]]</f>
        <v>3.5796519439941998E-2</v>
      </c>
      <c r="S113" s="46"/>
    </row>
    <row r="114" spans="1:19" hidden="1" x14ac:dyDescent="0.25">
      <c r="A114" s="45"/>
      <c r="B114" s="41" t="s">
        <v>735</v>
      </c>
      <c r="C114" s="39" t="s">
        <v>903</v>
      </c>
      <c r="D114" s="39" t="s">
        <v>735</v>
      </c>
      <c r="E114" s="42" t="s">
        <v>137</v>
      </c>
      <c r="F114" s="43" t="s">
        <v>9</v>
      </c>
      <c r="G114" s="38" t="s">
        <v>30</v>
      </c>
      <c r="H114" s="79" t="s">
        <v>42</v>
      </c>
      <c r="I114" s="87">
        <v>8.5853000000000002</v>
      </c>
      <c r="J114" s="88">
        <v>4.2140000000000004</v>
      </c>
      <c r="K114" s="89">
        <v>0.26250000000000001</v>
      </c>
      <c r="L114" s="90">
        <v>402.53930000000003</v>
      </c>
      <c r="M114" s="89">
        <v>207.43709999999999</v>
      </c>
      <c r="N114" s="89">
        <v>13.0296</v>
      </c>
      <c r="O114" s="109">
        <f>SUM(Table1[[#This Row],[2022]:[YTD 2024]])</f>
        <v>13.0618</v>
      </c>
      <c r="P114" s="219">
        <f>IFERROR(((Table1[[#This Row],[2023]]-Table1[[#This Row],[2022]])/Table1[[#This Row],[2022]]),0)</f>
        <v>-0.50916100776909368</v>
      </c>
      <c r="Q114" s="219">
        <f>IFERROR(((Table1[[#This Row],[Volume 2023]]-Table1[[#This Row],[Volume 2022]])/Table1[[#This Row],[Volume 2022]]),0)</f>
        <v>-0.4846786388310409</v>
      </c>
      <c r="R114" s="219">
        <f>Table1[[#This Row],[YoY growth]]-Table1[[#This Row],[Volume growth]]</f>
        <v>-2.4482368938052779E-2</v>
      </c>
      <c r="S114" s="46"/>
    </row>
    <row r="115" spans="1:19" hidden="1" x14ac:dyDescent="0.25">
      <c r="A115" s="45"/>
      <c r="B115" s="41" t="s">
        <v>735</v>
      </c>
      <c r="C115" s="39" t="s">
        <v>903</v>
      </c>
      <c r="D115" s="39" t="s">
        <v>735</v>
      </c>
      <c r="E115" s="42" t="s">
        <v>138</v>
      </c>
      <c r="F115" s="43" t="s">
        <v>9</v>
      </c>
      <c r="G115" s="38" t="s">
        <v>20</v>
      </c>
      <c r="H115" s="79" t="s">
        <v>42</v>
      </c>
      <c r="I115" s="87">
        <v>0.83140000000000003</v>
      </c>
      <c r="J115" s="88">
        <v>1.5299999999999999E-2</v>
      </c>
      <c r="K115" s="89">
        <v>0</v>
      </c>
      <c r="L115" s="90">
        <v>39.196399999999997</v>
      </c>
      <c r="M115" s="89">
        <v>0.64800000000000002</v>
      </c>
      <c r="N115" s="89">
        <v>0</v>
      </c>
      <c r="O115" s="109">
        <f>SUM(Table1[[#This Row],[2022]:[YTD 2024]])</f>
        <v>0.84670000000000001</v>
      </c>
      <c r="P115" s="219">
        <f>IFERROR(((Table1[[#This Row],[2023]]-Table1[[#This Row],[2022]])/Table1[[#This Row],[2022]]),0)</f>
        <v>-0.98159730574933846</v>
      </c>
      <c r="Q115" s="219">
        <f>IFERROR(((Table1[[#This Row],[Volume 2023]]-Table1[[#This Row],[Volume 2022]])/Table1[[#This Row],[Volume 2022]]),0)</f>
        <v>-0.98346786949821918</v>
      </c>
      <c r="R115" s="219">
        <f>Table1[[#This Row],[YoY growth]]-Table1[[#This Row],[Volume growth]]</f>
        <v>1.870563748880727E-3</v>
      </c>
      <c r="S115" s="46"/>
    </row>
    <row r="116" spans="1:19" hidden="1" x14ac:dyDescent="0.25">
      <c r="A116" s="45"/>
      <c r="B116" s="41" t="s">
        <v>735</v>
      </c>
      <c r="C116" s="39" t="s">
        <v>903</v>
      </c>
      <c r="D116" s="39" t="s">
        <v>735</v>
      </c>
      <c r="E116" s="42" t="s">
        <v>139</v>
      </c>
      <c r="F116" s="43" t="s">
        <v>9</v>
      </c>
      <c r="G116" s="38" t="s">
        <v>20</v>
      </c>
      <c r="H116" s="79" t="s">
        <v>68</v>
      </c>
      <c r="I116" s="87">
        <v>2.9493999999999998</v>
      </c>
      <c r="J116" s="88">
        <v>0.27079999999999999</v>
      </c>
      <c r="K116" s="89">
        <v>0</v>
      </c>
      <c r="L116" s="90">
        <v>169.64840000000001</v>
      </c>
      <c r="M116" s="89">
        <v>12.904400000000001</v>
      </c>
      <c r="N116" s="89">
        <v>0</v>
      </c>
      <c r="O116" s="109">
        <f>SUM(Table1[[#This Row],[2022]:[YTD 2024]])</f>
        <v>3.2201999999999997</v>
      </c>
      <c r="P116" s="219">
        <f>IFERROR(((Table1[[#This Row],[2023]]-Table1[[#This Row],[2022]])/Table1[[#This Row],[2022]]),0)</f>
        <v>-0.90818471553536317</v>
      </c>
      <c r="Q116" s="219">
        <f>IFERROR(((Table1[[#This Row],[Volume 2023]]-Table1[[#This Row],[Volume 2022]])/Table1[[#This Row],[Volume 2022]]),0)</f>
        <v>-0.92393444323671781</v>
      </c>
      <c r="R116" s="219">
        <f>Table1[[#This Row],[YoY growth]]-Table1[[#This Row],[Volume growth]]</f>
        <v>1.5749727701354632E-2</v>
      </c>
      <c r="S116" s="46"/>
    </row>
    <row r="117" spans="1:19" hidden="1" x14ac:dyDescent="0.25">
      <c r="A117" s="45"/>
      <c r="B117" s="41" t="s">
        <v>735</v>
      </c>
      <c r="C117" s="39" t="s">
        <v>904</v>
      </c>
      <c r="D117" s="39" t="s">
        <v>735</v>
      </c>
      <c r="E117" s="42" t="s">
        <v>140</v>
      </c>
      <c r="F117" s="43" t="s">
        <v>9</v>
      </c>
      <c r="G117" s="38" t="s">
        <v>69</v>
      </c>
      <c r="H117" s="79" t="s">
        <v>21</v>
      </c>
      <c r="I117" s="87">
        <v>4.0140000000000002</v>
      </c>
      <c r="J117" s="88">
        <v>0</v>
      </c>
      <c r="K117" s="89">
        <v>0</v>
      </c>
      <c r="L117" s="90">
        <v>230.286</v>
      </c>
      <c r="M117" s="89">
        <v>0</v>
      </c>
      <c r="N117" s="89">
        <v>0</v>
      </c>
      <c r="O117" s="109">
        <f>SUM(Table1[[#This Row],[2022]:[YTD 2024]])</f>
        <v>4.0140000000000002</v>
      </c>
      <c r="P117" s="219">
        <f>IFERROR(((Table1[[#This Row],[2023]]-Table1[[#This Row],[2022]])/Table1[[#This Row],[2022]]),0)</f>
        <v>-1</v>
      </c>
      <c r="Q117" s="219">
        <f>IFERROR(((Table1[[#This Row],[Volume 2023]]-Table1[[#This Row],[Volume 2022]])/Table1[[#This Row],[Volume 2022]]),0)</f>
        <v>-1</v>
      </c>
      <c r="R117" s="219">
        <f>Table1[[#This Row],[YoY growth]]-Table1[[#This Row],[Volume growth]]</f>
        <v>0</v>
      </c>
      <c r="S117" s="46"/>
    </row>
    <row r="118" spans="1:19" hidden="1" x14ac:dyDescent="0.25">
      <c r="A118" s="45"/>
      <c r="B118" s="41" t="s">
        <v>735</v>
      </c>
      <c r="C118" s="39" t="s">
        <v>904</v>
      </c>
      <c r="D118" s="39" t="s">
        <v>735</v>
      </c>
      <c r="E118" s="42" t="s">
        <v>141</v>
      </c>
      <c r="F118" s="43" t="s">
        <v>9</v>
      </c>
      <c r="G118" s="38" t="s">
        <v>10</v>
      </c>
      <c r="H118" s="79" t="s">
        <v>123</v>
      </c>
      <c r="I118" s="87">
        <v>4.0500000000000001E-2</v>
      </c>
      <c r="J118" s="88">
        <v>0</v>
      </c>
      <c r="K118" s="89">
        <v>0</v>
      </c>
      <c r="L118" s="90">
        <v>2.8330000000000002</v>
      </c>
      <c r="M118" s="89">
        <v>0</v>
      </c>
      <c r="N118" s="89">
        <v>0</v>
      </c>
      <c r="O118" s="109">
        <f>SUM(Table1[[#This Row],[2022]:[YTD 2024]])</f>
        <v>4.0500000000000001E-2</v>
      </c>
      <c r="P118" s="219">
        <f>IFERROR(((Table1[[#This Row],[2023]]-Table1[[#This Row],[2022]])/Table1[[#This Row],[2022]]),0)</f>
        <v>-1</v>
      </c>
      <c r="Q118" s="219">
        <f>IFERROR(((Table1[[#This Row],[Volume 2023]]-Table1[[#This Row],[Volume 2022]])/Table1[[#This Row],[Volume 2022]]),0)</f>
        <v>-1</v>
      </c>
      <c r="R118" s="219">
        <f>Table1[[#This Row],[YoY growth]]-Table1[[#This Row],[Volume growth]]</f>
        <v>0</v>
      </c>
      <c r="S118" s="46"/>
    </row>
    <row r="119" spans="1:19" hidden="1" x14ac:dyDescent="0.25">
      <c r="A119" s="45"/>
      <c r="B119" s="41" t="s">
        <v>735</v>
      </c>
      <c r="C119" s="39" t="s">
        <v>905</v>
      </c>
      <c r="D119" s="39" t="s">
        <v>735</v>
      </c>
      <c r="E119" s="42" t="s">
        <v>142</v>
      </c>
      <c r="F119" s="43" t="s">
        <v>9</v>
      </c>
      <c r="G119" s="38" t="s">
        <v>30</v>
      </c>
      <c r="H119" s="79" t="s">
        <v>24</v>
      </c>
      <c r="I119" s="87">
        <v>0.76770000000000005</v>
      </c>
      <c r="J119" s="88">
        <v>0</v>
      </c>
      <c r="K119" s="89">
        <v>0</v>
      </c>
      <c r="L119" s="90">
        <v>46.441400000000002</v>
      </c>
      <c r="M119" s="89">
        <v>0</v>
      </c>
      <c r="N119" s="89">
        <v>0</v>
      </c>
      <c r="O119" s="109">
        <f>SUM(Table1[[#This Row],[2022]:[YTD 2024]])</f>
        <v>0.76770000000000005</v>
      </c>
      <c r="P119" s="219">
        <f>IFERROR(((Table1[[#This Row],[2023]]-Table1[[#This Row],[2022]])/Table1[[#This Row],[2022]]),0)</f>
        <v>-1</v>
      </c>
      <c r="Q119" s="219">
        <f>IFERROR(((Table1[[#This Row],[Volume 2023]]-Table1[[#This Row],[Volume 2022]])/Table1[[#This Row],[Volume 2022]]),0)</f>
        <v>-1</v>
      </c>
      <c r="R119" s="219">
        <f>Table1[[#This Row],[YoY growth]]-Table1[[#This Row],[Volume growth]]</f>
        <v>0</v>
      </c>
      <c r="S119" s="46"/>
    </row>
    <row r="120" spans="1:19" hidden="1" x14ac:dyDescent="0.25">
      <c r="A120" s="45"/>
      <c r="B120" s="41" t="s">
        <v>735</v>
      </c>
      <c r="C120" s="39" t="s">
        <v>905</v>
      </c>
      <c r="D120" s="39" t="s">
        <v>735</v>
      </c>
      <c r="E120" s="42" t="s">
        <v>143</v>
      </c>
      <c r="F120" s="43" t="s">
        <v>9</v>
      </c>
      <c r="G120" s="38" t="s">
        <v>20</v>
      </c>
      <c r="H120" s="79" t="s">
        <v>68</v>
      </c>
      <c r="I120" s="87">
        <v>0.86809999999999998</v>
      </c>
      <c r="J120" s="88">
        <v>0</v>
      </c>
      <c r="K120" s="89">
        <v>0</v>
      </c>
      <c r="L120" s="90">
        <v>43.337600000000002</v>
      </c>
      <c r="M120" s="89">
        <v>0</v>
      </c>
      <c r="N120" s="89">
        <v>0</v>
      </c>
      <c r="O120" s="109">
        <f>SUM(Table1[[#This Row],[2022]:[YTD 2024]])</f>
        <v>0.86809999999999998</v>
      </c>
      <c r="P120" s="219">
        <f>IFERROR(((Table1[[#This Row],[2023]]-Table1[[#This Row],[2022]])/Table1[[#This Row],[2022]]),0)</f>
        <v>-1</v>
      </c>
      <c r="Q120" s="219">
        <f>IFERROR(((Table1[[#This Row],[Volume 2023]]-Table1[[#This Row],[Volume 2022]])/Table1[[#This Row],[Volume 2022]]),0)</f>
        <v>-1</v>
      </c>
      <c r="R120" s="219">
        <f>Table1[[#This Row],[YoY growth]]-Table1[[#This Row],[Volume growth]]</f>
        <v>0</v>
      </c>
      <c r="S120" s="46"/>
    </row>
    <row r="121" spans="1:19" hidden="1" x14ac:dyDescent="0.25">
      <c r="A121" s="45"/>
      <c r="B121" s="41" t="s">
        <v>735</v>
      </c>
      <c r="C121" s="39" t="s">
        <v>906</v>
      </c>
      <c r="D121" s="39" t="s">
        <v>735</v>
      </c>
      <c r="E121" s="42" t="s">
        <v>144</v>
      </c>
      <c r="F121" s="43" t="s">
        <v>9</v>
      </c>
      <c r="G121" s="38" t="s">
        <v>20</v>
      </c>
      <c r="H121" s="79" t="s">
        <v>26</v>
      </c>
      <c r="I121" s="87">
        <v>9.5548999999999999</v>
      </c>
      <c r="J121" s="88">
        <v>16.797000000000001</v>
      </c>
      <c r="K121" s="89">
        <v>14.8012</v>
      </c>
      <c r="L121" s="90">
        <v>338.9522</v>
      </c>
      <c r="M121" s="89">
        <v>643.8528</v>
      </c>
      <c r="N121" s="89">
        <v>454.05590000000001</v>
      </c>
      <c r="O121" s="109">
        <f>SUM(Table1[[#This Row],[2022]:[YTD 2024]])</f>
        <v>41.153100000000002</v>
      </c>
      <c r="P121" s="219">
        <f>IFERROR(((Table1[[#This Row],[2023]]-Table1[[#This Row],[2022]])/Table1[[#This Row],[2022]]),0)</f>
        <v>0.75794618468011188</v>
      </c>
      <c r="Q121" s="219">
        <f>IFERROR(((Table1[[#This Row],[Volume 2023]]-Table1[[#This Row],[Volume 2022]])/Table1[[#This Row],[Volume 2022]]),0)</f>
        <v>0.89953863701135439</v>
      </c>
      <c r="R121" s="219">
        <f>Table1[[#This Row],[YoY growth]]-Table1[[#This Row],[Volume growth]]</f>
        <v>-0.14159245233124251</v>
      </c>
      <c r="S121" s="46"/>
    </row>
    <row r="122" spans="1:19" hidden="1" x14ac:dyDescent="0.25">
      <c r="A122" s="45"/>
      <c r="B122" s="41" t="s">
        <v>735</v>
      </c>
      <c r="C122" s="39" t="s">
        <v>907</v>
      </c>
      <c r="D122" s="39" t="s">
        <v>735</v>
      </c>
      <c r="E122" s="42" t="s">
        <v>145</v>
      </c>
      <c r="F122" s="43" t="s">
        <v>9</v>
      </c>
      <c r="G122" s="38" t="s">
        <v>20</v>
      </c>
      <c r="H122" s="79" t="s">
        <v>24</v>
      </c>
      <c r="I122" s="87">
        <v>21.0763</v>
      </c>
      <c r="J122" s="88">
        <v>7.9172000000000002</v>
      </c>
      <c r="K122" s="89">
        <v>0.35720000000000002</v>
      </c>
      <c r="L122" s="90">
        <v>1178.5386000000001</v>
      </c>
      <c r="M122" s="89">
        <v>421.82799999999997</v>
      </c>
      <c r="N122" s="89">
        <v>19.481100000000001</v>
      </c>
      <c r="O122" s="109">
        <f>SUM(Table1[[#This Row],[2022]:[YTD 2024]])</f>
        <v>29.3507</v>
      </c>
      <c r="P122" s="219">
        <f>IFERROR(((Table1[[#This Row],[2023]]-Table1[[#This Row],[2022]])/Table1[[#This Row],[2022]]),0)</f>
        <v>-0.62435531853313908</v>
      </c>
      <c r="Q122" s="219">
        <f>IFERROR(((Table1[[#This Row],[Volume 2023]]-Table1[[#This Row],[Volume 2022]])/Table1[[#This Row],[Volume 2022]]),0)</f>
        <v>-0.64207536350527683</v>
      </c>
      <c r="R122" s="219">
        <f>Table1[[#This Row],[YoY growth]]-Table1[[#This Row],[Volume growth]]</f>
        <v>1.772004497213775E-2</v>
      </c>
      <c r="S122" s="46"/>
    </row>
    <row r="123" spans="1:19" hidden="1" x14ac:dyDescent="0.25">
      <c r="A123" s="45"/>
      <c r="B123" s="41" t="s">
        <v>735</v>
      </c>
      <c r="C123" s="39" t="s">
        <v>907</v>
      </c>
      <c r="D123" s="39" t="s">
        <v>735</v>
      </c>
      <c r="E123" s="42" t="s">
        <v>146</v>
      </c>
      <c r="F123" s="43" t="s">
        <v>9</v>
      </c>
      <c r="G123" s="38" t="s">
        <v>30</v>
      </c>
      <c r="H123" s="79" t="s">
        <v>24</v>
      </c>
      <c r="I123" s="87">
        <v>59.8855</v>
      </c>
      <c r="J123" s="88">
        <v>18.673500000000001</v>
      </c>
      <c r="K123" s="89">
        <v>4.4382000000000001</v>
      </c>
      <c r="L123" s="90">
        <v>3588.4739</v>
      </c>
      <c r="M123" s="89">
        <v>1054.2443000000001</v>
      </c>
      <c r="N123" s="89">
        <v>241.28020000000001</v>
      </c>
      <c r="O123" s="109">
        <f>SUM(Table1[[#This Row],[2022]:[YTD 2024]])</f>
        <v>82.997199999999992</v>
      </c>
      <c r="P123" s="219">
        <f>IFERROR(((Table1[[#This Row],[2023]]-Table1[[#This Row],[2022]])/Table1[[#This Row],[2022]]),0)</f>
        <v>-0.68817994339197308</v>
      </c>
      <c r="Q123" s="219">
        <f>IFERROR(((Table1[[#This Row],[Volume 2023]]-Table1[[#This Row],[Volume 2022]])/Table1[[#This Row],[Volume 2022]]),0)</f>
        <v>-0.70621374729798081</v>
      </c>
      <c r="R123" s="219">
        <f>Table1[[#This Row],[YoY growth]]-Table1[[#This Row],[Volume growth]]</f>
        <v>1.8033803906007728E-2</v>
      </c>
      <c r="S123" s="46"/>
    </row>
    <row r="124" spans="1:19" hidden="1" x14ac:dyDescent="0.25">
      <c r="A124" s="45"/>
      <c r="B124" s="41" t="s">
        <v>735</v>
      </c>
      <c r="C124" s="39" t="s">
        <v>908</v>
      </c>
      <c r="D124" s="39" t="s">
        <v>735</v>
      </c>
      <c r="E124" s="42" t="s">
        <v>147</v>
      </c>
      <c r="F124" s="43" t="s">
        <v>9</v>
      </c>
      <c r="G124" s="38" t="s">
        <v>20</v>
      </c>
      <c r="H124" s="79" t="s">
        <v>24</v>
      </c>
      <c r="I124" s="87">
        <v>37.596899999999998</v>
      </c>
      <c r="J124" s="88">
        <v>28.031099999999999</v>
      </c>
      <c r="K124" s="89">
        <v>1.2394000000000001</v>
      </c>
      <c r="L124" s="90">
        <v>2231.0284000000001</v>
      </c>
      <c r="M124" s="89">
        <v>1606.1090999999999</v>
      </c>
      <c r="N124" s="89">
        <v>64.665899999999993</v>
      </c>
      <c r="O124" s="109">
        <f>SUM(Table1[[#This Row],[2022]:[YTD 2024]])</f>
        <v>66.867400000000004</v>
      </c>
      <c r="P124" s="219">
        <f>IFERROR(((Table1[[#This Row],[2023]]-Table1[[#This Row],[2022]])/Table1[[#This Row],[2022]]),0)</f>
        <v>-0.25443055145504018</v>
      </c>
      <c r="Q124" s="219">
        <f>IFERROR(((Table1[[#This Row],[Volume 2023]]-Table1[[#This Row],[Volume 2022]])/Table1[[#This Row],[Volume 2022]]),0)</f>
        <v>-0.28010369567684579</v>
      </c>
      <c r="R124" s="219">
        <f>Table1[[#This Row],[YoY growth]]-Table1[[#This Row],[Volume growth]]</f>
        <v>2.5673144221805611E-2</v>
      </c>
      <c r="S124" s="46"/>
    </row>
    <row r="125" spans="1:19" hidden="1" x14ac:dyDescent="0.25">
      <c r="A125" s="45"/>
      <c r="B125" s="41" t="s">
        <v>735</v>
      </c>
      <c r="C125" s="39" t="s">
        <v>909</v>
      </c>
      <c r="D125" s="39" t="s">
        <v>735</v>
      </c>
      <c r="E125" s="42" t="s">
        <v>148</v>
      </c>
      <c r="F125" s="43" t="s">
        <v>9</v>
      </c>
      <c r="G125" s="38" t="s">
        <v>20</v>
      </c>
      <c r="H125" s="79" t="s">
        <v>42</v>
      </c>
      <c r="I125" s="87">
        <v>4.1798000000000002</v>
      </c>
      <c r="J125" s="88">
        <v>0</v>
      </c>
      <c r="K125" s="89">
        <v>0</v>
      </c>
      <c r="L125" s="90">
        <v>212.80930000000001</v>
      </c>
      <c r="M125" s="89">
        <v>0</v>
      </c>
      <c r="N125" s="89">
        <v>0</v>
      </c>
      <c r="O125" s="109">
        <f>SUM(Table1[[#This Row],[2022]:[YTD 2024]])</f>
        <v>4.1798000000000002</v>
      </c>
      <c r="P125" s="219">
        <f>IFERROR(((Table1[[#This Row],[2023]]-Table1[[#This Row],[2022]])/Table1[[#This Row],[2022]]),0)</f>
        <v>-1</v>
      </c>
      <c r="Q125" s="219">
        <f>IFERROR(((Table1[[#This Row],[Volume 2023]]-Table1[[#This Row],[Volume 2022]])/Table1[[#This Row],[Volume 2022]]),0)</f>
        <v>-1</v>
      </c>
      <c r="R125" s="219">
        <f>Table1[[#This Row],[YoY growth]]-Table1[[#This Row],[Volume growth]]</f>
        <v>0</v>
      </c>
      <c r="S125" s="46"/>
    </row>
    <row r="126" spans="1:19" hidden="1" x14ac:dyDescent="0.25">
      <c r="A126" s="45"/>
      <c r="B126" s="41" t="s">
        <v>735</v>
      </c>
      <c r="C126" s="39" t="s">
        <v>909</v>
      </c>
      <c r="D126" s="39" t="s">
        <v>735</v>
      </c>
      <c r="E126" s="42" t="s">
        <v>149</v>
      </c>
      <c r="F126" s="43" t="s">
        <v>9</v>
      </c>
      <c r="G126" s="38" t="s">
        <v>20</v>
      </c>
      <c r="H126" s="79" t="s">
        <v>42</v>
      </c>
      <c r="I126" s="87">
        <v>16.9573</v>
      </c>
      <c r="J126" s="88">
        <v>8.0383999999999993</v>
      </c>
      <c r="K126" s="89">
        <v>4.7045000000000003</v>
      </c>
      <c r="L126" s="90">
        <v>973.13670000000002</v>
      </c>
      <c r="M126" s="89">
        <v>460.75880000000001</v>
      </c>
      <c r="N126" s="89">
        <v>246.6643</v>
      </c>
      <c r="O126" s="109">
        <f>SUM(Table1[[#This Row],[2022]:[YTD 2024]])</f>
        <v>29.700199999999999</v>
      </c>
      <c r="P126" s="219">
        <f>IFERROR(((Table1[[#This Row],[2023]]-Table1[[#This Row],[2022]])/Table1[[#This Row],[2022]]),0)</f>
        <v>-0.52596226993684136</v>
      </c>
      <c r="Q126" s="219">
        <f>IFERROR(((Table1[[#This Row],[Volume 2023]]-Table1[[#This Row],[Volume 2022]])/Table1[[#This Row],[Volume 2022]]),0)</f>
        <v>-0.52652201895170525</v>
      </c>
      <c r="R126" s="219">
        <f>Table1[[#This Row],[YoY growth]]-Table1[[#This Row],[Volume growth]]</f>
        <v>5.5974901486388617E-4</v>
      </c>
      <c r="S126" s="46"/>
    </row>
    <row r="127" spans="1:19" hidden="1" x14ac:dyDescent="0.25">
      <c r="A127" s="45"/>
      <c r="B127" s="41" t="s">
        <v>736</v>
      </c>
      <c r="C127" s="39" t="s">
        <v>910</v>
      </c>
      <c r="D127" s="39" t="s">
        <v>1053</v>
      </c>
      <c r="E127" s="42" t="s">
        <v>150</v>
      </c>
      <c r="F127" s="43" t="s">
        <v>9</v>
      </c>
      <c r="G127" s="38" t="s">
        <v>20</v>
      </c>
      <c r="H127" s="79" t="s">
        <v>42</v>
      </c>
      <c r="I127" s="87">
        <v>0</v>
      </c>
      <c r="J127" s="88">
        <v>0</v>
      </c>
      <c r="K127" s="89">
        <v>0</v>
      </c>
      <c r="L127" s="90">
        <v>0</v>
      </c>
      <c r="M127" s="89">
        <v>0</v>
      </c>
      <c r="N127" s="89">
        <v>0</v>
      </c>
      <c r="O127" s="109">
        <f>SUM(Table1[[#This Row],[2022]:[YTD 2024]])</f>
        <v>0</v>
      </c>
      <c r="P127" s="219">
        <f>IFERROR(((Table1[[#This Row],[2023]]-Table1[[#This Row],[2022]])/Table1[[#This Row],[2022]]),0)</f>
        <v>0</v>
      </c>
      <c r="Q127" s="219">
        <f>IFERROR(((Table1[[#This Row],[Volume 2023]]-Table1[[#This Row],[Volume 2022]])/Table1[[#This Row],[Volume 2022]]),0)</f>
        <v>0</v>
      </c>
      <c r="R127" s="219">
        <f>Table1[[#This Row],[YoY growth]]-Table1[[#This Row],[Volume growth]]</f>
        <v>0</v>
      </c>
      <c r="S127" s="46"/>
    </row>
    <row r="128" spans="1:19" hidden="1" x14ac:dyDescent="0.25">
      <c r="A128" s="45"/>
      <c r="B128" s="41" t="s">
        <v>737</v>
      </c>
      <c r="C128" s="39" t="s">
        <v>911</v>
      </c>
      <c r="D128" s="39" t="s">
        <v>1054</v>
      </c>
      <c r="E128" s="42" t="s">
        <v>152</v>
      </c>
      <c r="F128" s="43" t="s">
        <v>9</v>
      </c>
      <c r="G128" s="38" t="s">
        <v>30</v>
      </c>
      <c r="H128" s="79" t="s">
        <v>24</v>
      </c>
      <c r="I128" s="87">
        <v>8.9794</v>
      </c>
      <c r="J128" s="88">
        <v>0</v>
      </c>
      <c r="K128" s="89">
        <v>0</v>
      </c>
      <c r="L128" s="90">
        <v>618.46879999999999</v>
      </c>
      <c r="M128" s="89">
        <v>0</v>
      </c>
      <c r="N128" s="89">
        <v>0</v>
      </c>
      <c r="O128" s="109">
        <f>SUM(Table1[[#This Row],[2022]:[YTD 2024]])</f>
        <v>8.9794</v>
      </c>
      <c r="P128" s="219">
        <f>IFERROR(((Table1[[#This Row],[2023]]-Table1[[#This Row],[2022]])/Table1[[#This Row],[2022]]),0)</f>
        <v>-1</v>
      </c>
      <c r="Q128" s="219">
        <f>IFERROR(((Table1[[#This Row],[Volume 2023]]-Table1[[#This Row],[Volume 2022]])/Table1[[#This Row],[Volume 2022]]),0)</f>
        <v>-1</v>
      </c>
      <c r="R128" s="219">
        <f>Table1[[#This Row],[YoY growth]]-Table1[[#This Row],[Volume growth]]</f>
        <v>0</v>
      </c>
      <c r="S128" s="46"/>
    </row>
    <row r="129" spans="1:19" hidden="1" x14ac:dyDescent="0.25">
      <c r="A129" s="45"/>
      <c r="B129" s="41" t="s">
        <v>737</v>
      </c>
      <c r="C129" s="39" t="s">
        <v>911</v>
      </c>
      <c r="D129" s="39" t="s">
        <v>1054</v>
      </c>
      <c r="E129" s="42" t="s">
        <v>153</v>
      </c>
      <c r="F129" s="43" t="s">
        <v>9</v>
      </c>
      <c r="G129" s="38" t="s">
        <v>30</v>
      </c>
      <c r="H129" s="79" t="s">
        <v>17</v>
      </c>
      <c r="I129" s="87">
        <v>0</v>
      </c>
      <c r="J129" s="88">
        <v>0</v>
      </c>
      <c r="K129" s="89">
        <v>0</v>
      </c>
      <c r="L129" s="90">
        <v>0</v>
      </c>
      <c r="M129" s="89">
        <v>0</v>
      </c>
      <c r="N129" s="89">
        <v>0</v>
      </c>
      <c r="O129" s="109">
        <f>SUM(Table1[[#This Row],[2022]:[YTD 2024]])</f>
        <v>0</v>
      </c>
      <c r="P129" s="219">
        <f>IFERROR(((Table1[[#This Row],[2023]]-Table1[[#This Row],[2022]])/Table1[[#This Row],[2022]]),0)</f>
        <v>0</v>
      </c>
      <c r="Q129" s="219">
        <f>IFERROR(((Table1[[#This Row],[Volume 2023]]-Table1[[#This Row],[Volume 2022]])/Table1[[#This Row],[Volume 2022]]),0)</f>
        <v>0</v>
      </c>
      <c r="R129" s="219">
        <f>Table1[[#This Row],[YoY growth]]-Table1[[#This Row],[Volume growth]]</f>
        <v>0</v>
      </c>
      <c r="S129" s="46"/>
    </row>
    <row r="130" spans="1:19" hidden="1" x14ac:dyDescent="0.25">
      <c r="A130" s="45"/>
      <c r="B130" s="41" t="s">
        <v>738</v>
      </c>
      <c r="C130" s="39" t="s">
        <v>912</v>
      </c>
      <c r="D130" s="39" t="s">
        <v>738</v>
      </c>
      <c r="E130" s="42" t="s">
        <v>154</v>
      </c>
      <c r="F130" s="43" t="s">
        <v>9</v>
      </c>
      <c r="G130" s="38" t="s">
        <v>20</v>
      </c>
      <c r="H130" s="79" t="s">
        <v>24</v>
      </c>
      <c r="I130" s="87">
        <v>0</v>
      </c>
      <c r="J130" s="88">
        <v>9.4999999999999998E-3</v>
      </c>
      <c r="K130" s="89">
        <v>0</v>
      </c>
      <c r="L130" s="90">
        <v>0</v>
      </c>
      <c r="M130" s="89">
        <v>0.51649999999999996</v>
      </c>
      <c r="N130" s="89">
        <v>0</v>
      </c>
      <c r="O130" s="109">
        <f>SUM(Table1[[#This Row],[2022]:[YTD 2024]])</f>
        <v>9.4999999999999998E-3</v>
      </c>
      <c r="P130" s="219">
        <f>IFERROR(((Table1[[#This Row],[2023]]-Table1[[#This Row],[2022]])/Table1[[#This Row],[2022]]),0)</f>
        <v>0</v>
      </c>
      <c r="Q130" s="219">
        <f>IFERROR(((Table1[[#This Row],[Volume 2023]]-Table1[[#This Row],[Volume 2022]])/Table1[[#This Row],[Volume 2022]]),0)</f>
        <v>0</v>
      </c>
      <c r="R130" s="219">
        <f>Table1[[#This Row],[YoY growth]]-Table1[[#This Row],[Volume growth]]</f>
        <v>0</v>
      </c>
      <c r="S130" s="46"/>
    </row>
    <row r="131" spans="1:19" hidden="1" x14ac:dyDescent="0.25">
      <c r="A131" s="45"/>
      <c r="B131" s="41" t="s">
        <v>738</v>
      </c>
      <c r="C131" s="39" t="s">
        <v>913</v>
      </c>
      <c r="D131" s="39" t="s">
        <v>738</v>
      </c>
      <c r="E131" s="42" t="s">
        <v>155</v>
      </c>
      <c r="F131" s="43" t="s">
        <v>9</v>
      </c>
      <c r="G131" s="38" t="s">
        <v>64</v>
      </c>
      <c r="H131" s="79" t="s">
        <v>156</v>
      </c>
      <c r="I131" s="87">
        <v>0.34189999999999998</v>
      </c>
      <c r="J131" s="88">
        <v>0</v>
      </c>
      <c r="K131" s="89">
        <v>0</v>
      </c>
      <c r="L131" s="90">
        <v>17.095199999999998</v>
      </c>
      <c r="M131" s="89">
        <v>0</v>
      </c>
      <c r="N131" s="89">
        <v>0</v>
      </c>
      <c r="O131" s="109">
        <f>SUM(Table1[[#This Row],[2022]:[YTD 2024]])</f>
        <v>0.34189999999999998</v>
      </c>
      <c r="P131" s="219">
        <f>IFERROR(((Table1[[#This Row],[2023]]-Table1[[#This Row],[2022]])/Table1[[#This Row],[2022]]),0)</f>
        <v>-1</v>
      </c>
      <c r="Q131" s="219">
        <f>IFERROR(((Table1[[#This Row],[Volume 2023]]-Table1[[#This Row],[Volume 2022]])/Table1[[#This Row],[Volume 2022]]),0)</f>
        <v>-1</v>
      </c>
      <c r="R131" s="219">
        <f>Table1[[#This Row],[YoY growth]]-Table1[[#This Row],[Volume growth]]</f>
        <v>0</v>
      </c>
      <c r="S131" s="46"/>
    </row>
    <row r="132" spans="1:19" hidden="1" x14ac:dyDescent="0.25">
      <c r="A132" s="45"/>
      <c r="B132" s="41" t="s">
        <v>738</v>
      </c>
      <c r="C132" s="39" t="s">
        <v>913</v>
      </c>
      <c r="D132" s="39" t="s">
        <v>738</v>
      </c>
      <c r="E132" s="42" t="s">
        <v>157</v>
      </c>
      <c r="F132" s="43" t="s">
        <v>9</v>
      </c>
      <c r="G132" s="38" t="s">
        <v>30</v>
      </c>
      <c r="H132" s="79" t="s">
        <v>24</v>
      </c>
      <c r="I132" s="87">
        <v>0</v>
      </c>
      <c r="J132" s="88">
        <v>36.513300000000001</v>
      </c>
      <c r="K132" s="89">
        <v>9.9184000000000001</v>
      </c>
      <c r="L132" s="90">
        <v>0</v>
      </c>
      <c r="M132" s="89">
        <v>2225.7903999999999</v>
      </c>
      <c r="N132" s="89">
        <v>665.84569999999997</v>
      </c>
      <c r="O132" s="109">
        <f>SUM(Table1[[#This Row],[2022]:[YTD 2024]])</f>
        <v>46.431699999999999</v>
      </c>
      <c r="P132" s="219">
        <f>IFERROR(((Table1[[#This Row],[2023]]-Table1[[#This Row],[2022]])/Table1[[#This Row],[2022]]),0)</f>
        <v>0</v>
      </c>
      <c r="Q132" s="219">
        <f>IFERROR(((Table1[[#This Row],[Volume 2023]]-Table1[[#This Row],[Volume 2022]])/Table1[[#This Row],[Volume 2022]]),0)</f>
        <v>0</v>
      </c>
      <c r="R132" s="219">
        <f>Table1[[#This Row],[YoY growth]]-Table1[[#This Row],[Volume growth]]</f>
        <v>0</v>
      </c>
      <c r="S132" s="46"/>
    </row>
    <row r="133" spans="1:19" hidden="1" x14ac:dyDescent="0.25">
      <c r="A133" s="45"/>
      <c r="B133" s="41" t="s">
        <v>738</v>
      </c>
      <c r="C133" s="39" t="s">
        <v>913</v>
      </c>
      <c r="D133" s="39" t="s">
        <v>738</v>
      </c>
      <c r="E133" s="42" t="s">
        <v>158</v>
      </c>
      <c r="F133" s="43" t="s">
        <v>9</v>
      </c>
      <c r="G133" s="38" t="s">
        <v>30</v>
      </c>
      <c r="H133" s="79" t="s">
        <v>24</v>
      </c>
      <c r="I133" s="87">
        <v>0</v>
      </c>
      <c r="J133" s="88">
        <v>28.314</v>
      </c>
      <c r="K133" s="89">
        <v>9.1574000000000009</v>
      </c>
      <c r="L133" s="90">
        <v>0</v>
      </c>
      <c r="M133" s="89">
        <v>1712.6693</v>
      </c>
      <c r="N133" s="89">
        <v>592.38390000000004</v>
      </c>
      <c r="O133" s="109">
        <f>SUM(Table1[[#This Row],[2022]:[YTD 2024]])</f>
        <v>37.471400000000003</v>
      </c>
      <c r="P133" s="219">
        <f>IFERROR(((Table1[[#This Row],[2023]]-Table1[[#This Row],[2022]])/Table1[[#This Row],[2022]]),0)</f>
        <v>0</v>
      </c>
      <c r="Q133" s="219">
        <f>IFERROR(((Table1[[#This Row],[Volume 2023]]-Table1[[#This Row],[Volume 2022]])/Table1[[#This Row],[Volume 2022]]),0)</f>
        <v>0</v>
      </c>
      <c r="R133" s="219">
        <f>Table1[[#This Row],[YoY growth]]-Table1[[#This Row],[Volume growth]]</f>
        <v>0</v>
      </c>
      <c r="S133" s="46"/>
    </row>
    <row r="134" spans="1:19" hidden="1" x14ac:dyDescent="0.25">
      <c r="A134" s="45"/>
      <c r="B134" s="41" t="s">
        <v>738</v>
      </c>
      <c r="C134" s="39" t="s">
        <v>913</v>
      </c>
      <c r="D134" s="39" t="s">
        <v>738</v>
      </c>
      <c r="E134" s="42" t="s">
        <v>159</v>
      </c>
      <c r="F134" s="43" t="s">
        <v>9</v>
      </c>
      <c r="G134" s="38" t="s">
        <v>30</v>
      </c>
      <c r="H134" s="79" t="s">
        <v>24</v>
      </c>
      <c r="I134" s="87">
        <v>0</v>
      </c>
      <c r="J134" s="88">
        <v>24.999500000000001</v>
      </c>
      <c r="K134" s="89">
        <v>5.0659999999999998</v>
      </c>
      <c r="L134" s="90">
        <v>0</v>
      </c>
      <c r="M134" s="89">
        <v>1534.4268</v>
      </c>
      <c r="N134" s="89">
        <v>349.95659999999998</v>
      </c>
      <c r="O134" s="109">
        <f>SUM(Table1[[#This Row],[2022]:[YTD 2024]])</f>
        <v>30.0655</v>
      </c>
      <c r="P134" s="219">
        <f>IFERROR(((Table1[[#This Row],[2023]]-Table1[[#This Row],[2022]])/Table1[[#This Row],[2022]]),0)</f>
        <v>0</v>
      </c>
      <c r="Q134" s="219">
        <f>IFERROR(((Table1[[#This Row],[Volume 2023]]-Table1[[#This Row],[Volume 2022]])/Table1[[#This Row],[Volume 2022]]),0)</f>
        <v>0</v>
      </c>
      <c r="R134" s="219">
        <f>Table1[[#This Row],[YoY growth]]-Table1[[#This Row],[Volume growth]]</f>
        <v>0</v>
      </c>
      <c r="S134" s="46"/>
    </row>
    <row r="135" spans="1:19" hidden="1" x14ac:dyDescent="0.25">
      <c r="A135" s="45"/>
      <c r="B135" s="41" t="s">
        <v>738</v>
      </c>
      <c r="C135" s="39" t="s">
        <v>913</v>
      </c>
      <c r="D135" s="39" t="s">
        <v>738</v>
      </c>
      <c r="E135" s="42" t="s">
        <v>160</v>
      </c>
      <c r="F135" s="43" t="s">
        <v>9</v>
      </c>
      <c r="G135" s="38" t="s">
        <v>20</v>
      </c>
      <c r="H135" s="79" t="s">
        <v>24</v>
      </c>
      <c r="I135" s="87">
        <v>25.1</v>
      </c>
      <c r="J135" s="88">
        <v>61.22</v>
      </c>
      <c r="K135" s="89">
        <v>8.9021000000000008</v>
      </c>
      <c r="L135" s="90">
        <v>1136.2986000000001</v>
      </c>
      <c r="M135" s="89">
        <v>3402.5661</v>
      </c>
      <c r="N135" s="89">
        <v>613.3809</v>
      </c>
      <c r="O135" s="109">
        <f>SUM(Table1[[#This Row],[2022]:[YTD 2024]])</f>
        <v>95.222099999999998</v>
      </c>
      <c r="P135" s="219">
        <f>IFERROR(((Table1[[#This Row],[2023]]-Table1[[#This Row],[2022]])/Table1[[#This Row],[2022]]),0)</f>
        <v>1.439043824701195</v>
      </c>
      <c r="Q135" s="219">
        <f>IFERROR(((Table1[[#This Row],[Volume 2023]]-Table1[[#This Row],[Volume 2022]])/Table1[[#This Row],[Volume 2022]]),0)</f>
        <v>1.9944295451917302</v>
      </c>
      <c r="R135" s="219">
        <f>Table1[[#This Row],[YoY growth]]-Table1[[#This Row],[Volume growth]]</f>
        <v>-0.55538572049053525</v>
      </c>
      <c r="S135" s="46"/>
    </row>
    <row r="136" spans="1:19" hidden="1" x14ac:dyDescent="0.25">
      <c r="A136" s="45"/>
      <c r="B136" s="41" t="s">
        <v>738</v>
      </c>
      <c r="C136" s="39" t="s">
        <v>913</v>
      </c>
      <c r="D136" s="39" t="s">
        <v>738</v>
      </c>
      <c r="E136" s="42" t="s">
        <v>161</v>
      </c>
      <c r="F136" s="43" t="s">
        <v>9</v>
      </c>
      <c r="G136" s="38" t="s">
        <v>30</v>
      </c>
      <c r="H136" s="79" t="s">
        <v>24</v>
      </c>
      <c r="I136" s="87">
        <v>0</v>
      </c>
      <c r="J136" s="88">
        <v>18.822399999999998</v>
      </c>
      <c r="K136" s="89">
        <v>7.1738</v>
      </c>
      <c r="L136" s="90">
        <v>0</v>
      </c>
      <c r="M136" s="89">
        <v>1176.8929000000001</v>
      </c>
      <c r="N136" s="89">
        <v>487.85019999999997</v>
      </c>
      <c r="O136" s="109">
        <f>SUM(Table1[[#This Row],[2022]:[YTD 2024]])</f>
        <v>25.996199999999998</v>
      </c>
      <c r="P136" s="219">
        <f>IFERROR(((Table1[[#This Row],[2023]]-Table1[[#This Row],[2022]])/Table1[[#This Row],[2022]]),0)</f>
        <v>0</v>
      </c>
      <c r="Q136" s="219">
        <f>IFERROR(((Table1[[#This Row],[Volume 2023]]-Table1[[#This Row],[Volume 2022]])/Table1[[#This Row],[Volume 2022]]),0)</f>
        <v>0</v>
      </c>
      <c r="R136" s="219">
        <f>Table1[[#This Row],[YoY growth]]-Table1[[#This Row],[Volume growth]]</f>
        <v>0</v>
      </c>
      <c r="S136" s="46"/>
    </row>
    <row r="137" spans="1:19" hidden="1" x14ac:dyDescent="0.25">
      <c r="A137" s="45"/>
      <c r="B137" s="41" t="s">
        <v>738</v>
      </c>
      <c r="C137" s="39" t="s">
        <v>913</v>
      </c>
      <c r="D137" s="39" t="s">
        <v>738</v>
      </c>
      <c r="E137" s="42" t="s">
        <v>162</v>
      </c>
      <c r="F137" s="43" t="s">
        <v>9</v>
      </c>
      <c r="G137" s="38" t="s">
        <v>20</v>
      </c>
      <c r="H137" s="79" t="s">
        <v>26</v>
      </c>
      <c r="I137" s="87">
        <v>1.24</v>
      </c>
      <c r="J137" s="88">
        <v>2.9891000000000001</v>
      </c>
      <c r="K137" s="89">
        <v>0.81240000000000001</v>
      </c>
      <c r="L137" s="90">
        <v>69.486800000000002</v>
      </c>
      <c r="M137" s="89">
        <v>154.24979999999999</v>
      </c>
      <c r="N137" s="89">
        <v>41.637500000000003</v>
      </c>
      <c r="O137" s="109">
        <f>SUM(Table1[[#This Row],[2022]:[YTD 2024]])</f>
        <v>5.0415000000000001</v>
      </c>
      <c r="P137" s="219">
        <f>IFERROR(((Table1[[#This Row],[2023]]-Table1[[#This Row],[2022]])/Table1[[#This Row],[2022]]),0)</f>
        <v>1.4105645161290323</v>
      </c>
      <c r="Q137" s="219">
        <f>IFERROR(((Table1[[#This Row],[Volume 2023]]-Table1[[#This Row],[Volume 2022]])/Table1[[#This Row],[Volume 2022]]),0)</f>
        <v>1.2198431932395792</v>
      </c>
      <c r="R137" s="219">
        <f>Table1[[#This Row],[YoY growth]]-Table1[[#This Row],[Volume growth]]</f>
        <v>0.19072132288945309</v>
      </c>
      <c r="S137" s="46"/>
    </row>
    <row r="138" spans="1:19" hidden="1" x14ac:dyDescent="0.25">
      <c r="A138" s="45"/>
      <c r="B138" s="41" t="s">
        <v>738</v>
      </c>
      <c r="C138" s="39" t="s">
        <v>913</v>
      </c>
      <c r="D138" s="39" t="s">
        <v>738</v>
      </c>
      <c r="E138" s="42" t="s">
        <v>163</v>
      </c>
      <c r="F138" s="43" t="s">
        <v>9</v>
      </c>
      <c r="G138" s="38" t="s">
        <v>20</v>
      </c>
      <c r="H138" s="79" t="s">
        <v>103</v>
      </c>
      <c r="I138" s="87">
        <v>1.1599999999999999</v>
      </c>
      <c r="J138" s="88">
        <v>1.8923000000000001</v>
      </c>
      <c r="K138" s="89">
        <v>0</v>
      </c>
      <c r="L138" s="90">
        <v>44.862200000000001</v>
      </c>
      <c r="M138" s="89">
        <v>87.694800000000001</v>
      </c>
      <c r="N138" s="89">
        <v>0</v>
      </c>
      <c r="O138" s="109">
        <f>SUM(Table1[[#This Row],[2022]:[YTD 2024]])</f>
        <v>3.0522999999999998</v>
      </c>
      <c r="P138" s="219">
        <f>IFERROR(((Table1[[#This Row],[2023]]-Table1[[#This Row],[2022]])/Table1[[#This Row],[2022]]),0)</f>
        <v>0.63129310344827605</v>
      </c>
      <c r="Q138" s="219">
        <f>IFERROR(((Table1[[#This Row],[Volume 2023]]-Table1[[#This Row],[Volume 2022]])/Table1[[#This Row],[Volume 2022]]),0)</f>
        <v>0.95475924051874406</v>
      </c>
      <c r="R138" s="219">
        <f>Table1[[#This Row],[YoY growth]]-Table1[[#This Row],[Volume growth]]</f>
        <v>-0.32346613707046801</v>
      </c>
      <c r="S138" s="46"/>
    </row>
    <row r="139" spans="1:19" hidden="1" x14ac:dyDescent="0.25">
      <c r="A139" s="45"/>
      <c r="B139" s="41" t="s">
        <v>738</v>
      </c>
      <c r="C139" s="39" t="s">
        <v>913</v>
      </c>
      <c r="D139" s="39" t="s">
        <v>738</v>
      </c>
      <c r="E139" s="42" t="s">
        <v>820</v>
      </c>
      <c r="F139" s="43" t="s">
        <v>9</v>
      </c>
      <c r="G139" s="38" t="s">
        <v>10</v>
      </c>
      <c r="H139" s="79" t="s">
        <v>68</v>
      </c>
      <c r="I139" s="87">
        <v>0</v>
      </c>
      <c r="J139" s="88">
        <v>14.477</v>
      </c>
      <c r="K139" s="89">
        <v>3.1046999999999998</v>
      </c>
      <c r="L139" s="90">
        <v>0</v>
      </c>
      <c r="M139" s="89">
        <v>762.29949999999997</v>
      </c>
      <c r="N139" s="89">
        <v>149.91970000000001</v>
      </c>
      <c r="O139" s="109">
        <f>SUM(Table1[[#This Row],[2022]:[YTD 2024]])</f>
        <v>17.581700000000001</v>
      </c>
      <c r="P139" s="219">
        <f>IFERROR(((Table1[[#This Row],[2023]]-Table1[[#This Row],[2022]])/Table1[[#This Row],[2022]]),0)</f>
        <v>0</v>
      </c>
      <c r="Q139" s="219">
        <f>IFERROR(((Table1[[#This Row],[Volume 2023]]-Table1[[#This Row],[Volume 2022]])/Table1[[#This Row],[Volume 2022]]),0)</f>
        <v>0</v>
      </c>
      <c r="R139" s="219">
        <f>Table1[[#This Row],[YoY growth]]-Table1[[#This Row],[Volume growth]]</f>
        <v>0</v>
      </c>
      <c r="S139" s="46"/>
    </row>
    <row r="140" spans="1:19" hidden="1" x14ac:dyDescent="0.25">
      <c r="A140" s="45"/>
      <c r="B140" s="41" t="s">
        <v>738</v>
      </c>
      <c r="C140" s="39" t="s">
        <v>914</v>
      </c>
      <c r="D140" s="39" t="s">
        <v>1055</v>
      </c>
      <c r="E140" s="42" t="s">
        <v>165</v>
      </c>
      <c r="F140" s="43" t="s">
        <v>9</v>
      </c>
      <c r="G140" s="38" t="s">
        <v>30</v>
      </c>
      <c r="H140" s="79" t="s">
        <v>24</v>
      </c>
      <c r="I140" s="87">
        <v>0.25940000000000002</v>
      </c>
      <c r="J140" s="88">
        <v>47.287300000000002</v>
      </c>
      <c r="K140" s="89">
        <v>13.3363</v>
      </c>
      <c r="L140" s="90">
        <v>15.5664</v>
      </c>
      <c r="M140" s="89">
        <v>2338.1842000000001</v>
      </c>
      <c r="N140" s="89">
        <v>671.9117</v>
      </c>
      <c r="O140" s="109">
        <f>SUM(Table1[[#This Row],[2022]:[YTD 2024]])</f>
        <v>60.883000000000003</v>
      </c>
      <c r="P140" s="219">
        <f>IFERROR(((Table1[[#This Row],[2023]]-Table1[[#This Row],[2022]])/Table1[[#This Row],[2022]]),0)</f>
        <v>181.29491133384732</v>
      </c>
      <c r="Q140" s="219">
        <f>IFERROR(((Table1[[#This Row],[Volume 2023]]-Table1[[#This Row],[Volume 2022]])/Table1[[#This Row],[Volume 2022]]),0)</f>
        <v>149.20712560386474</v>
      </c>
      <c r="R140" s="219">
        <f>Table1[[#This Row],[YoY growth]]-Table1[[#This Row],[Volume growth]]</f>
        <v>32.087785729982585</v>
      </c>
      <c r="S140" s="46"/>
    </row>
    <row r="141" spans="1:19" hidden="1" x14ac:dyDescent="0.25">
      <c r="A141" s="45"/>
      <c r="B141" s="41" t="s">
        <v>738</v>
      </c>
      <c r="C141" s="39" t="s">
        <v>914</v>
      </c>
      <c r="D141" s="39" t="s">
        <v>1055</v>
      </c>
      <c r="E141" s="42" t="s">
        <v>166</v>
      </c>
      <c r="F141" s="43" t="s">
        <v>9</v>
      </c>
      <c r="G141" s="38" t="s">
        <v>30</v>
      </c>
      <c r="H141" s="79" t="s">
        <v>26</v>
      </c>
      <c r="I141" s="87">
        <v>0</v>
      </c>
      <c r="J141" s="88">
        <v>5.6702000000000004</v>
      </c>
      <c r="K141" s="89">
        <v>10.135199999999999</v>
      </c>
      <c r="L141" s="90">
        <v>0</v>
      </c>
      <c r="M141" s="89">
        <v>206.95869999999999</v>
      </c>
      <c r="N141" s="89">
        <v>365.12360000000001</v>
      </c>
      <c r="O141" s="109">
        <f>SUM(Table1[[#This Row],[2022]:[YTD 2024]])</f>
        <v>15.805399999999999</v>
      </c>
      <c r="P141" s="219">
        <f>IFERROR(((Table1[[#This Row],[2023]]-Table1[[#This Row],[2022]])/Table1[[#This Row],[2022]]),0)</f>
        <v>0</v>
      </c>
      <c r="Q141" s="219">
        <f>IFERROR(((Table1[[#This Row],[Volume 2023]]-Table1[[#This Row],[Volume 2022]])/Table1[[#This Row],[Volume 2022]]),0)</f>
        <v>0</v>
      </c>
      <c r="R141" s="219">
        <f>Table1[[#This Row],[YoY growth]]-Table1[[#This Row],[Volume growth]]</f>
        <v>0</v>
      </c>
      <c r="S141" s="46"/>
    </row>
    <row r="142" spans="1:19" hidden="1" x14ac:dyDescent="0.25">
      <c r="A142" s="45"/>
      <c r="B142" s="41" t="s">
        <v>739</v>
      </c>
      <c r="C142" s="39" t="s">
        <v>915</v>
      </c>
      <c r="D142" s="39" t="s">
        <v>1056</v>
      </c>
      <c r="E142" s="42" t="s">
        <v>167</v>
      </c>
      <c r="F142" s="43" t="s">
        <v>9</v>
      </c>
      <c r="G142" s="38" t="s">
        <v>64</v>
      </c>
      <c r="H142" s="79" t="s">
        <v>24</v>
      </c>
      <c r="I142" s="87">
        <v>0</v>
      </c>
      <c r="J142" s="88">
        <v>82.250100000000003</v>
      </c>
      <c r="K142" s="89">
        <v>55.842500000000001</v>
      </c>
      <c r="L142" s="90">
        <v>0</v>
      </c>
      <c r="M142" s="89">
        <v>5284.8972000000003</v>
      </c>
      <c r="N142" s="89">
        <v>3137.2123999999999</v>
      </c>
      <c r="O142" s="109">
        <f>SUM(Table1[[#This Row],[2022]:[YTD 2024]])</f>
        <v>138.0926</v>
      </c>
      <c r="P142" s="219">
        <f>IFERROR(((Table1[[#This Row],[2023]]-Table1[[#This Row],[2022]])/Table1[[#This Row],[2022]]),0)</f>
        <v>0</v>
      </c>
      <c r="Q142" s="219">
        <f>IFERROR(((Table1[[#This Row],[Volume 2023]]-Table1[[#This Row],[Volume 2022]])/Table1[[#This Row],[Volume 2022]]),0)</f>
        <v>0</v>
      </c>
      <c r="R142" s="219">
        <f>Table1[[#This Row],[YoY growth]]-Table1[[#This Row],[Volume growth]]</f>
        <v>0</v>
      </c>
      <c r="S142" s="46"/>
    </row>
    <row r="143" spans="1:19" hidden="1" x14ac:dyDescent="0.25">
      <c r="A143" s="45"/>
      <c r="B143" s="41" t="s">
        <v>739</v>
      </c>
      <c r="C143" s="39" t="s">
        <v>915</v>
      </c>
      <c r="D143" s="39" t="s">
        <v>1056</v>
      </c>
      <c r="E143" s="42" t="s">
        <v>168</v>
      </c>
      <c r="F143" s="43" t="s">
        <v>9</v>
      </c>
      <c r="G143" s="38" t="s">
        <v>64</v>
      </c>
      <c r="H143" s="79" t="s">
        <v>24</v>
      </c>
      <c r="I143" s="87">
        <v>0</v>
      </c>
      <c r="J143" s="88">
        <v>88.414900000000003</v>
      </c>
      <c r="K143" s="89">
        <v>45.6905</v>
      </c>
      <c r="L143" s="90">
        <v>0</v>
      </c>
      <c r="M143" s="89">
        <v>5662.4585999999999</v>
      </c>
      <c r="N143" s="89">
        <v>2576.6464000000001</v>
      </c>
      <c r="O143" s="109">
        <f>SUM(Table1[[#This Row],[2022]:[YTD 2024]])</f>
        <v>134.1054</v>
      </c>
      <c r="P143" s="219">
        <f>IFERROR(((Table1[[#This Row],[2023]]-Table1[[#This Row],[2022]])/Table1[[#This Row],[2022]]),0)</f>
        <v>0</v>
      </c>
      <c r="Q143" s="219">
        <f>IFERROR(((Table1[[#This Row],[Volume 2023]]-Table1[[#This Row],[Volume 2022]])/Table1[[#This Row],[Volume 2022]]),0)</f>
        <v>0</v>
      </c>
      <c r="R143" s="219">
        <f>Table1[[#This Row],[YoY growth]]-Table1[[#This Row],[Volume growth]]</f>
        <v>0</v>
      </c>
      <c r="S143" s="46"/>
    </row>
    <row r="144" spans="1:19" hidden="1" x14ac:dyDescent="0.25">
      <c r="A144" s="45"/>
      <c r="B144" s="41" t="s">
        <v>740</v>
      </c>
      <c r="C144" s="39" t="s">
        <v>916</v>
      </c>
      <c r="D144" s="39" t="s">
        <v>1057</v>
      </c>
      <c r="E144" s="42" t="s">
        <v>169</v>
      </c>
      <c r="F144" s="43" t="s">
        <v>9</v>
      </c>
      <c r="G144" s="38" t="s">
        <v>20</v>
      </c>
      <c r="H144" s="79" t="s">
        <v>42</v>
      </c>
      <c r="I144" s="87">
        <v>0.24010000000000001</v>
      </c>
      <c r="J144" s="88">
        <v>0</v>
      </c>
      <c r="K144" s="89">
        <v>0</v>
      </c>
      <c r="L144" s="90">
        <v>10.8056</v>
      </c>
      <c r="M144" s="89">
        <v>0</v>
      </c>
      <c r="N144" s="89">
        <v>0</v>
      </c>
      <c r="O144" s="109">
        <f>SUM(Table1[[#This Row],[2022]:[YTD 2024]])</f>
        <v>0.24010000000000001</v>
      </c>
      <c r="P144" s="219">
        <f>IFERROR(((Table1[[#This Row],[2023]]-Table1[[#This Row],[2022]])/Table1[[#This Row],[2022]]),0)</f>
        <v>-1</v>
      </c>
      <c r="Q144" s="219">
        <f>IFERROR(((Table1[[#This Row],[Volume 2023]]-Table1[[#This Row],[Volume 2022]])/Table1[[#This Row],[Volume 2022]]),0)</f>
        <v>-1</v>
      </c>
      <c r="R144" s="219">
        <f>Table1[[#This Row],[YoY growth]]-Table1[[#This Row],[Volume growth]]</f>
        <v>0</v>
      </c>
      <c r="S144" s="46"/>
    </row>
    <row r="145" spans="1:19" hidden="1" x14ac:dyDescent="0.25">
      <c r="A145" s="45"/>
      <c r="B145" s="41" t="s">
        <v>741</v>
      </c>
      <c r="C145" s="39" t="s">
        <v>917</v>
      </c>
      <c r="D145" s="39" t="s">
        <v>1058</v>
      </c>
      <c r="E145" s="42" t="s">
        <v>171</v>
      </c>
      <c r="F145" s="43" t="s">
        <v>9</v>
      </c>
      <c r="G145" s="38" t="s">
        <v>30</v>
      </c>
      <c r="H145" s="79" t="s">
        <v>11</v>
      </c>
      <c r="I145" s="87">
        <v>8.8999999999999999E-3</v>
      </c>
      <c r="J145" s="88">
        <v>1.9E-3</v>
      </c>
      <c r="K145" s="89">
        <v>0</v>
      </c>
      <c r="L145" s="90">
        <v>0.1</v>
      </c>
      <c r="M145" s="89">
        <v>0.02</v>
      </c>
      <c r="N145" s="89">
        <v>0</v>
      </c>
      <c r="O145" s="109">
        <f>SUM(Table1[[#This Row],[2022]:[YTD 2024]])</f>
        <v>1.0800000000000001E-2</v>
      </c>
      <c r="P145" s="219">
        <f>IFERROR(((Table1[[#This Row],[2023]]-Table1[[#This Row],[2022]])/Table1[[#This Row],[2022]]),0)</f>
        <v>-0.7865168539325843</v>
      </c>
      <c r="Q145" s="219">
        <f>IFERROR(((Table1[[#This Row],[Volume 2023]]-Table1[[#This Row],[Volume 2022]])/Table1[[#This Row],[Volume 2022]]),0)</f>
        <v>-0.79999999999999993</v>
      </c>
      <c r="R145" s="219">
        <f>Table1[[#This Row],[YoY growth]]-Table1[[#This Row],[Volume growth]]</f>
        <v>1.348314606741563E-2</v>
      </c>
      <c r="S145" s="46"/>
    </row>
    <row r="146" spans="1:19" hidden="1" x14ac:dyDescent="0.25">
      <c r="A146" s="45"/>
      <c r="B146" s="41" t="s">
        <v>741</v>
      </c>
      <c r="C146" s="39" t="s">
        <v>917</v>
      </c>
      <c r="D146" s="39" t="s">
        <v>1058</v>
      </c>
      <c r="E146" s="42" t="s">
        <v>172</v>
      </c>
      <c r="F146" s="43" t="s">
        <v>9</v>
      </c>
      <c r="G146" s="38" t="s">
        <v>30</v>
      </c>
      <c r="H146" s="79" t="s">
        <v>11</v>
      </c>
      <c r="I146" s="87">
        <v>3.6436000000000002</v>
      </c>
      <c r="J146" s="88">
        <v>0.20610000000000001</v>
      </c>
      <c r="K146" s="89">
        <v>0.1404</v>
      </c>
      <c r="L146" s="90">
        <v>40.526699999999998</v>
      </c>
      <c r="M146" s="89">
        <v>2.1286999999999998</v>
      </c>
      <c r="N146" s="89">
        <v>1.4401999999999999</v>
      </c>
      <c r="O146" s="109">
        <f>SUM(Table1[[#This Row],[2022]:[YTD 2024]])</f>
        <v>3.9901000000000004</v>
      </c>
      <c r="P146" s="219">
        <f>IFERROR(((Table1[[#This Row],[2023]]-Table1[[#This Row],[2022]])/Table1[[#This Row],[2022]]),0)</f>
        <v>-0.94343506422219781</v>
      </c>
      <c r="Q146" s="219">
        <f>IFERROR(((Table1[[#This Row],[Volume 2023]]-Table1[[#This Row],[Volume 2022]])/Table1[[#This Row],[Volume 2022]]),0)</f>
        <v>-0.94747413433612893</v>
      </c>
      <c r="R146" s="219">
        <f>Table1[[#This Row],[YoY growth]]-Table1[[#This Row],[Volume growth]]</f>
        <v>4.0390701139311203E-3</v>
      </c>
      <c r="S146" s="46"/>
    </row>
    <row r="147" spans="1:19" hidden="1" x14ac:dyDescent="0.25">
      <c r="A147" s="45"/>
      <c r="B147" s="41" t="s">
        <v>741</v>
      </c>
      <c r="C147" s="39" t="s">
        <v>917</v>
      </c>
      <c r="D147" s="39" t="s">
        <v>1058</v>
      </c>
      <c r="E147" s="42" t="s">
        <v>173</v>
      </c>
      <c r="F147" s="43" t="s">
        <v>9</v>
      </c>
      <c r="G147" s="38" t="s">
        <v>30</v>
      </c>
      <c r="H147" s="79" t="s">
        <v>37</v>
      </c>
      <c r="I147" s="87">
        <v>4.9200000000000001E-2</v>
      </c>
      <c r="J147" s="88">
        <v>1.14E-2</v>
      </c>
      <c r="K147" s="89">
        <v>0</v>
      </c>
      <c r="L147" s="90">
        <v>3.4851000000000001</v>
      </c>
      <c r="M147" s="89">
        <v>0.25600000000000001</v>
      </c>
      <c r="N147" s="89">
        <v>0</v>
      </c>
      <c r="O147" s="109">
        <f>SUM(Table1[[#This Row],[2022]:[YTD 2024]])</f>
        <v>6.0600000000000001E-2</v>
      </c>
      <c r="P147" s="219">
        <f>IFERROR(((Table1[[#This Row],[2023]]-Table1[[#This Row],[2022]])/Table1[[#This Row],[2022]]),0)</f>
        <v>-0.76829268292682928</v>
      </c>
      <c r="Q147" s="219">
        <f>IFERROR(((Table1[[#This Row],[Volume 2023]]-Table1[[#This Row],[Volume 2022]])/Table1[[#This Row],[Volume 2022]]),0)</f>
        <v>-0.92654443201055914</v>
      </c>
      <c r="R147" s="219">
        <f>Table1[[#This Row],[YoY growth]]-Table1[[#This Row],[Volume growth]]</f>
        <v>0.15825174908372985</v>
      </c>
      <c r="S147" s="46"/>
    </row>
    <row r="148" spans="1:19" hidden="1" x14ac:dyDescent="0.25">
      <c r="A148" s="45"/>
      <c r="B148" s="41" t="s">
        <v>741</v>
      </c>
      <c r="C148" s="39" t="s">
        <v>917</v>
      </c>
      <c r="D148" s="39" t="s">
        <v>1058</v>
      </c>
      <c r="E148" s="42" t="s">
        <v>174</v>
      </c>
      <c r="F148" s="43" t="s">
        <v>9</v>
      </c>
      <c r="G148" s="38" t="s">
        <v>30</v>
      </c>
      <c r="H148" s="79" t="s">
        <v>37</v>
      </c>
      <c r="I148" s="87">
        <v>4.9882</v>
      </c>
      <c r="J148" s="88">
        <v>0.97860000000000003</v>
      </c>
      <c r="K148" s="89">
        <v>0</v>
      </c>
      <c r="L148" s="90">
        <v>116.9594</v>
      </c>
      <c r="M148" s="89">
        <v>26.678799999999999</v>
      </c>
      <c r="N148" s="89">
        <v>0</v>
      </c>
      <c r="O148" s="109">
        <f>SUM(Table1[[#This Row],[2022]:[YTD 2024]])</f>
        <v>5.9668000000000001</v>
      </c>
      <c r="P148" s="219">
        <f>IFERROR(((Table1[[#This Row],[2023]]-Table1[[#This Row],[2022]])/Table1[[#This Row],[2022]]),0)</f>
        <v>-0.80381700813920853</v>
      </c>
      <c r="Q148" s="219">
        <f>IFERROR(((Table1[[#This Row],[Volume 2023]]-Table1[[#This Row],[Volume 2022]])/Table1[[#This Row],[Volume 2022]]),0)</f>
        <v>-0.77189691465585497</v>
      </c>
      <c r="R148" s="219">
        <f>Table1[[#This Row],[YoY growth]]-Table1[[#This Row],[Volume growth]]</f>
        <v>-3.1920093483353562E-2</v>
      </c>
      <c r="S148" s="46"/>
    </row>
    <row r="149" spans="1:19" hidden="1" x14ac:dyDescent="0.25">
      <c r="A149" s="45"/>
      <c r="B149" s="41" t="s">
        <v>742</v>
      </c>
      <c r="C149" s="39" t="s">
        <v>918</v>
      </c>
      <c r="D149" s="39" t="s">
        <v>1059</v>
      </c>
      <c r="E149" s="42" t="s">
        <v>175</v>
      </c>
      <c r="F149" s="43" t="s">
        <v>9</v>
      </c>
      <c r="G149" s="38" t="s">
        <v>30</v>
      </c>
      <c r="H149" s="79" t="s">
        <v>15</v>
      </c>
      <c r="I149" s="87">
        <v>0</v>
      </c>
      <c r="J149" s="88">
        <v>0</v>
      </c>
      <c r="K149" s="89">
        <v>0.16420000000000001</v>
      </c>
      <c r="L149" s="90">
        <v>0</v>
      </c>
      <c r="M149" s="89">
        <v>0</v>
      </c>
      <c r="N149" s="89">
        <v>5.0327000000000002</v>
      </c>
      <c r="O149" s="109">
        <f>SUM(Table1[[#This Row],[2022]:[YTD 2024]])</f>
        <v>0.16420000000000001</v>
      </c>
      <c r="P149" s="219">
        <f>IFERROR(((Table1[[#This Row],[2023]]-Table1[[#This Row],[2022]])/Table1[[#This Row],[2022]]),0)</f>
        <v>0</v>
      </c>
      <c r="Q149" s="219">
        <f>IFERROR(((Table1[[#This Row],[Volume 2023]]-Table1[[#This Row],[Volume 2022]])/Table1[[#This Row],[Volume 2022]]),0)</f>
        <v>0</v>
      </c>
      <c r="R149" s="219">
        <f>Table1[[#This Row],[YoY growth]]-Table1[[#This Row],[Volume growth]]</f>
        <v>0</v>
      </c>
      <c r="S149" s="46"/>
    </row>
    <row r="150" spans="1:19" hidden="1" x14ac:dyDescent="0.25">
      <c r="A150" s="45"/>
      <c r="B150" s="41" t="s">
        <v>742</v>
      </c>
      <c r="C150" s="39" t="s">
        <v>918</v>
      </c>
      <c r="D150" s="39" t="s">
        <v>1059</v>
      </c>
      <c r="E150" s="42" t="s">
        <v>176</v>
      </c>
      <c r="F150" s="43" t="s">
        <v>9</v>
      </c>
      <c r="G150" s="38" t="s">
        <v>30</v>
      </c>
      <c r="H150" s="79" t="s">
        <v>34</v>
      </c>
      <c r="I150" s="87">
        <v>2.3513000000000002</v>
      </c>
      <c r="J150" s="88">
        <v>13.7189</v>
      </c>
      <c r="K150" s="89">
        <v>5.1338999999999997</v>
      </c>
      <c r="L150" s="90">
        <v>93.938999999999993</v>
      </c>
      <c r="M150" s="89">
        <v>476.75330000000002</v>
      </c>
      <c r="N150" s="89">
        <v>161.36660000000001</v>
      </c>
      <c r="O150" s="109">
        <f>SUM(Table1[[#This Row],[2022]:[YTD 2024]])</f>
        <v>21.2041</v>
      </c>
      <c r="P150" s="219">
        <f>IFERROR(((Table1[[#This Row],[2023]]-Table1[[#This Row],[2022]])/Table1[[#This Row],[2022]]),0)</f>
        <v>4.8346021349891544</v>
      </c>
      <c r="Q150" s="219">
        <f>IFERROR(((Table1[[#This Row],[Volume 2023]]-Table1[[#This Row],[Volume 2022]])/Table1[[#This Row],[Volume 2022]]),0)</f>
        <v>4.0751370570263683</v>
      </c>
      <c r="R150" s="219">
        <f>Table1[[#This Row],[YoY growth]]-Table1[[#This Row],[Volume growth]]</f>
        <v>0.75946507796278606</v>
      </c>
      <c r="S150" s="46"/>
    </row>
    <row r="151" spans="1:19" hidden="1" x14ac:dyDescent="0.25">
      <c r="A151" s="45"/>
      <c r="B151" s="41" t="s">
        <v>742</v>
      </c>
      <c r="C151" s="39" t="s">
        <v>918</v>
      </c>
      <c r="D151" s="39" t="s">
        <v>1059</v>
      </c>
      <c r="E151" s="42" t="s">
        <v>177</v>
      </c>
      <c r="F151" s="43" t="s">
        <v>9</v>
      </c>
      <c r="G151" s="38" t="s">
        <v>30</v>
      </c>
      <c r="H151" s="79" t="s">
        <v>99</v>
      </c>
      <c r="I151" s="87">
        <v>7.0484</v>
      </c>
      <c r="J151" s="88">
        <v>24.545400000000001</v>
      </c>
      <c r="K151" s="89">
        <v>7.2644000000000002</v>
      </c>
      <c r="L151" s="90">
        <v>315.70249999999999</v>
      </c>
      <c r="M151" s="89">
        <v>945.68759999999997</v>
      </c>
      <c r="N151" s="89">
        <v>273.77960000000002</v>
      </c>
      <c r="O151" s="109">
        <f>SUM(Table1[[#This Row],[2022]:[YTD 2024]])</f>
        <v>38.858200000000004</v>
      </c>
      <c r="P151" s="219">
        <f>IFERROR(((Table1[[#This Row],[2023]]-Table1[[#This Row],[2022]])/Table1[[#This Row],[2022]]),0)</f>
        <v>2.4824073548606775</v>
      </c>
      <c r="Q151" s="219">
        <f>IFERROR(((Table1[[#This Row],[Volume 2023]]-Table1[[#This Row],[Volume 2022]])/Table1[[#This Row],[Volume 2022]]),0)</f>
        <v>1.9955024112891093</v>
      </c>
      <c r="R151" s="219">
        <f>Table1[[#This Row],[YoY growth]]-Table1[[#This Row],[Volume growth]]</f>
        <v>0.48690494357156822</v>
      </c>
      <c r="S151" s="46"/>
    </row>
    <row r="152" spans="1:19" hidden="1" x14ac:dyDescent="0.25">
      <c r="A152" s="45"/>
      <c r="B152" s="41" t="s">
        <v>742</v>
      </c>
      <c r="C152" s="39" t="s">
        <v>918</v>
      </c>
      <c r="D152" s="39" t="s">
        <v>1059</v>
      </c>
      <c r="E152" s="42" t="s">
        <v>178</v>
      </c>
      <c r="F152" s="43" t="s">
        <v>9</v>
      </c>
      <c r="G152" s="38" t="s">
        <v>30</v>
      </c>
      <c r="H152" s="79" t="s">
        <v>99</v>
      </c>
      <c r="I152" s="87">
        <v>6.2529000000000003</v>
      </c>
      <c r="J152" s="88">
        <v>0</v>
      </c>
      <c r="K152" s="89">
        <v>0</v>
      </c>
      <c r="L152" s="90">
        <v>300.22300000000001</v>
      </c>
      <c r="M152" s="89">
        <v>0</v>
      </c>
      <c r="N152" s="89">
        <v>0</v>
      </c>
      <c r="O152" s="109">
        <f>SUM(Table1[[#This Row],[2022]:[YTD 2024]])</f>
        <v>6.2529000000000003</v>
      </c>
      <c r="P152" s="219">
        <f>IFERROR(((Table1[[#This Row],[2023]]-Table1[[#This Row],[2022]])/Table1[[#This Row],[2022]]),0)</f>
        <v>-1</v>
      </c>
      <c r="Q152" s="219">
        <f>IFERROR(((Table1[[#This Row],[Volume 2023]]-Table1[[#This Row],[Volume 2022]])/Table1[[#This Row],[Volume 2022]]),0)</f>
        <v>-1</v>
      </c>
      <c r="R152" s="219">
        <f>Table1[[#This Row],[YoY growth]]-Table1[[#This Row],[Volume growth]]</f>
        <v>0</v>
      </c>
      <c r="S152" s="46"/>
    </row>
    <row r="153" spans="1:19" hidden="1" x14ac:dyDescent="0.25">
      <c r="A153" s="45"/>
      <c r="B153" s="41" t="s">
        <v>743</v>
      </c>
      <c r="C153" s="39" t="s">
        <v>919</v>
      </c>
      <c r="D153" s="39" t="s">
        <v>1060</v>
      </c>
      <c r="E153" s="42" t="s">
        <v>180</v>
      </c>
      <c r="F153" s="43" t="s">
        <v>9</v>
      </c>
      <c r="G153" s="38" t="s">
        <v>20</v>
      </c>
      <c r="H153" s="79" t="s">
        <v>42</v>
      </c>
      <c r="I153" s="87">
        <v>1.6668000000000001</v>
      </c>
      <c r="J153" s="88">
        <v>3.7600000000000001E-2</v>
      </c>
      <c r="K153" s="89">
        <v>0</v>
      </c>
      <c r="L153" s="90">
        <v>75.837299999999999</v>
      </c>
      <c r="M153" s="89">
        <v>1.6555</v>
      </c>
      <c r="N153" s="89">
        <v>0</v>
      </c>
      <c r="O153" s="109">
        <f>SUM(Table1[[#This Row],[2022]:[YTD 2024]])</f>
        <v>1.7044000000000001</v>
      </c>
      <c r="P153" s="219">
        <f>IFERROR(((Table1[[#This Row],[2023]]-Table1[[#This Row],[2022]])/Table1[[#This Row],[2022]]),0)</f>
        <v>-0.97744180465562747</v>
      </c>
      <c r="Q153" s="219">
        <f>IFERROR(((Table1[[#This Row],[Volume 2023]]-Table1[[#This Row],[Volume 2022]])/Table1[[#This Row],[Volume 2022]]),0)</f>
        <v>-0.97817037262666251</v>
      </c>
      <c r="R153" s="219">
        <f>Table1[[#This Row],[YoY growth]]-Table1[[#This Row],[Volume growth]]</f>
        <v>7.2856797103504345E-4</v>
      </c>
      <c r="S153" s="46"/>
    </row>
    <row r="154" spans="1:19" hidden="1" x14ac:dyDescent="0.25">
      <c r="A154" s="45"/>
      <c r="B154" s="41" t="s">
        <v>743</v>
      </c>
      <c r="C154" s="39" t="s">
        <v>919</v>
      </c>
      <c r="D154" s="39" t="s">
        <v>1060</v>
      </c>
      <c r="E154" s="42" t="s">
        <v>181</v>
      </c>
      <c r="F154" s="43" t="s">
        <v>9</v>
      </c>
      <c r="G154" s="38" t="s">
        <v>20</v>
      </c>
      <c r="H154" s="79" t="s">
        <v>42</v>
      </c>
      <c r="I154" s="87">
        <v>7.5975000000000001</v>
      </c>
      <c r="J154" s="88">
        <v>0.1353</v>
      </c>
      <c r="K154" s="89">
        <v>3.0000000000000001E-3</v>
      </c>
      <c r="L154" s="90">
        <v>283.12259999999998</v>
      </c>
      <c r="M154" s="89">
        <v>3.3016999999999999</v>
      </c>
      <c r="N154" s="89">
        <v>7.1999999999999995E-2</v>
      </c>
      <c r="O154" s="109">
        <f>SUM(Table1[[#This Row],[2022]:[YTD 2024]])</f>
        <v>7.7358000000000002</v>
      </c>
      <c r="P154" s="219">
        <f>IFERROR(((Table1[[#This Row],[2023]]-Table1[[#This Row],[2022]])/Table1[[#This Row],[2022]]),0)</f>
        <v>-0.98219151036525176</v>
      </c>
      <c r="Q154" s="219">
        <f>IFERROR(((Table1[[#This Row],[Volume 2023]]-Table1[[#This Row],[Volume 2022]])/Table1[[#This Row],[Volume 2022]]),0)</f>
        <v>-0.98833826759149579</v>
      </c>
      <c r="R154" s="219">
        <f>Table1[[#This Row],[YoY growth]]-Table1[[#This Row],[Volume growth]]</f>
        <v>6.1467572262440262E-3</v>
      </c>
      <c r="S154" s="46"/>
    </row>
    <row r="155" spans="1:19" hidden="1" x14ac:dyDescent="0.25">
      <c r="A155" s="45"/>
      <c r="B155" s="41" t="s">
        <v>744</v>
      </c>
      <c r="C155" s="39" t="s">
        <v>920</v>
      </c>
      <c r="D155" s="39" t="s">
        <v>1061</v>
      </c>
      <c r="E155" s="42" t="s">
        <v>183</v>
      </c>
      <c r="F155" s="43" t="s">
        <v>9</v>
      </c>
      <c r="G155" s="38" t="s">
        <v>30</v>
      </c>
      <c r="H155" s="79" t="s">
        <v>42</v>
      </c>
      <c r="I155" s="87">
        <v>2.5741999999999998</v>
      </c>
      <c r="J155" s="88">
        <v>0.57930000000000004</v>
      </c>
      <c r="K155" s="89">
        <v>9.0300000000000005E-2</v>
      </c>
      <c r="L155" s="90">
        <v>138.52269999999999</v>
      </c>
      <c r="M155" s="89">
        <v>28.2058</v>
      </c>
      <c r="N155" s="89">
        <v>3.9451999999999998</v>
      </c>
      <c r="O155" s="109">
        <f>SUM(Table1[[#This Row],[2022]:[YTD 2024]])</f>
        <v>3.2437999999999998</v>
      </c>
      <c r="P155" s="219">
        <f>IFERROR(((Table1[[#This Row],[2023]]-Table1[[#This Row],[2022]])/Table1[[#This Row],[2022]]),0)</f>
        <v>-0.77495921062854478</v>
      </c>
      <c r="Q155" s="219">
        <f>IFERROR(((Table1[[#This Row],[Volume 2023]]-Table1[[#This Row],[Volume 2022]])/Table1[[#This Row],[Volume 2022]]),0)</f>
        <v>-0.79638138731052743</v>
      </c>
      <c r="R155" s="219">
        <f>Table1[[#This Row],[YoY growth]]-Table1[[#This Row],[Volume growth]]</f>
        <v>2.1422176681982652E-2</v>
      </c>
      <c r="S155" s="46"/>
    </row>
    <row r="156" spans="1:19" hidden="1" x14ac:dyDescent="0.25">
      <c r="A156" s="45"/>
      <c r="B156" s="41" t="s">
        <v>744</v>
      </c>
      <c r="C156" s="39" t="s">
        <v>920</v>
      </c>
      <c r="D156" s="39" t="s">
        <v>1061</v>
      </c>
      <c r="E156" s="42" t="s">
        <v>184</v>
      </c>
      <c r="F156" s="43" t="s">
        <v>9</v>
      </c>
      <c r="G156" s="38" t="s">
        <v>10</v>
      </c>
      <c r="H156" s="79" t="s">
        <v>42</v>
      </c>
      <c r="I156" s="87">
        <v>0</v>
      </c>
      <c r="J156" s="88">
        <v>3.2000000000000002E-3</v>
      </c>
      <c r="K156" s="89">
        <v>0</v>
      </c>
      <c r="L156" s="90">
        <v>0</v>
      </c>
      <c r="M156" s="89">
        <v>0.14879999999999999</v>
      </c>
      <c r="N156" s="89">
        <v>0</v>
      </c>
      <c r="O156" s="109">
        <f>SUM(Table1[[#This Row],[2022]:[YTD 2024]])</f>
        <v>3.2000000000000002E-3</v>
      </c>
      <c r="P156" s="219">
        <f>IFERROR(((Table1[[#This Row],[2023]]-Table1[[#This Row],[2022]])/Table1[[#This Row],[2022]]),0)</f>
        <v>0</v>
      </c>
      <c r="Q156" s="219">
        <f>IFERROR(((Table1[[#This Row],[Volume 2023]]-Table1[[#This Row],[Volume 2022]])/Table1[[#This Row],[Volume 2022]]),0)</f>
        <v>0</v>
      </c>
      <c r="R156" s="219">
        <f>Table1[[#This Row],[YoY growth]]-Table1[[#This Row],[Volume growth]]</f>
        <v>0</v>
      </c>
      <c r="S156" s="46"/>
    </row>
    <row r="157" spans="1:19" hidden="1" x14ac:dyDescent="0.25">
      <c r="A157" s="45"/>
      <c r="B157" s="41" t="s">
        <v>744</v>
      </c>
      <c r="C157" s="39" t="s">
        <v>921</v>
      </c>
      <c r="D157" s="39" t="s">
        <v>1061</v>
      </c>
      <c r="E157" s="42" t="s">
        <v>186</v>
      </c>
      <c r="F157" s="43" t="s">
        <v>9</v>
      </c>
      <c r="G157" s="38" t="s">
        <v>20</v>
      </c>
      <c r="H157" s="79" t="s">
        <v>24</v>
      </c>
      <c r="I157" s="87">
        <v>29.782299999999999</v>
      </c>
      <c r="J157" s="88">
        <v>8.0821000000000005</v>
      </c>
      <c r="K157" s="89">
        <v>2.2058</v>
      </c>
      <c r="L157" s="90">
        <v>1812.3146999999999</v>
      </c>
      <c r="M157" s="89">
        <v>442.9864</v>
      </c>
      <c r="N157" s="89">
        <v>129.73259999999999</v>
      </c>
      <c r="O157" s="109">
        <f>SUM(Table1[[#This Row],[2022]:[YTD 2024]])</f>
        <v>40.0702</v>
      </c>
      <c r="P157" s="219">
        <f>IFERROR(((Table1[[#This Row],[2023]]-Table1[[#This Row],[2022]])/Table1[[#This Row],[2022]]),0)</f>
        <v>-0.72862740621107169</v>
      </c>
      <c r="Q157" s="219">
        <f>IFERROR(((Table1[[#This Row],[Volume 2023]]-Table1[[#This Row],[Volume 2022]])/Table1[[#This Row],[Volume 2022]]),0)</f>
        <v>-0.75556872103945305</v>
      </c>
      <c r="R157" s="219">
        <f>Table1[[#This Row],[YoY growth]]-Table1[[#This Row],[Volume growth]]</f>
        <v>2.6941314828381357E-2</v>
      </c>
      <c r="S157" s="46"/>
    </row>
    <row r="158" spans="1:19" hidden="1" x14ac:dyDescent="0.25">
      <c r="A158" s="45"/>
      <c r="B158" s="41" t="s">
        <v>744</v>
      </c>
      <c r="C158" s="39" t="s">
        <v>921</v>
      </c>
      <c r="D158" s="39" t="s">
        <v>1061</v>
      </c>
      <c r="E158" s="42" t="s">
        <v>187</v>
      </c>
      <c r="F158" s="43" t="s">
        <v>9</v>
      </c>
      <c r="G158" s="38" t="s">
        <v>10</v>
      </c>
      <c r="H158" s="79" t="s">
        <v>37</v>
      </c>
      <c r="I158" s="87">
        <v>0.4194</v>
      </c>
      <c r="J158" s="88">
        <v>0.27539999999999998</v>
      </c>
      <c r="K158" s="89">
        <v>7.5600000000000001E-2</v>
      </c>
      <c r="L158" s="90">
        <v>22.036999999999999</v>
      </c>
      <c r="M158" s="89">
        <v>13.908200000000001</v>
      </c>
      <c r="N158" s="89">
        <v>3.7229000000000001</v>
      </c>
      <c r="O158" s="109">
        <f>SUM(Table1[[#This Row],[2022]:[YTD 2024]])</f>
        <v>0.77039999999999997</v>
      </c>
      <c r="P158" s="219">
        <f>IFERROR(((Table1[[#This Row],[2023]]-Table1[[#This Row],[2022]])/Table1[[#This Row],[2022]]),0)</f>
        <v>-0.3433476394849786</v>
      </c>
      <c r="Q158" s="219">
        <f>IFERROR(((Table1[[#This Row],[Volume 2023]]-Table1[[#This Row],[Volume 2022]])/Table1[[#This Row],[Volume 2022]]),0)</f>
        <v>-0.36887053591686703</v>
      </c>
      <c r="R158" s="219">
        <f>Table1[[#This Row],[YoY growth]]-Table1[[#This Row],[Volume growth]]</f>
        <v>2.5522896431888431E-2</v>
      </c>
      <c r="S158" s="46"/>
    </row>
    <row r="159" spans="1:19" hidden="1" x14ac:dyDescent="0.25">
      <c r="A159" s="45"/>
      <c r="B159" s="41" t="s">
        <v>744</v>
      </c>
      <c r="C159" s="39" t="s">
        <v>921</v>
      </c>
      <c r="D159" s="39" t="s">
        <v>1061</v>
      </c>
      <c r="E159" s="42" t="s">
        <v>188</v>
      </c>
      <c r="F159" s="43" t="s">
        <v>9</v>
      </c>
      <c r="G159" s="38" t="s">
        <v>10</v>
      </c>
      <c r="H159" s="79" t="s">
        <v>37</v>
      </c>
      <c r="I159" s="87">
        <v>0</v>
      </c>
      <c r="J159" s="88">
        <v>0</v>
      </c>
      <c r="K159" s="89">
        <v>0</v>
      </c>
      <c r="L159" s="90">
        <v>0</v>
      </c>
      <c r="M159" s="89">
        <v>0</v>
      </c>
      <c r="N159" s="89">
        <v>0</v>
      </c>
      <c r="O159" s="109">
        <f>SUM(Table1[[#This Row],[2022]:[YTD 2024]])</f>
        <v>0</v>
      </c>
      <c r="P159" s="219">
        <f>IFERROR(((Table1[[#This Row],[2023]]-Table1[[#This Row],[2022]])/Table1[[#This Row],[2022]]),0)</f>
        <v>0</v>
      </c>
      <c r="Q159" s="219">
        <f>IFERROR(((Table1[[#This Row],[Volume 2023]]-Table1[[#This Row],[Volume 2022]])/Table1[[#This Row],[Volume 2022]]),0)</f>
        <v>0</v>
      </c>
      <c r="R159" s="219">
        <f>Table1[[#This Row],[YoY growth]]-Table1[[#This Row],[Volume growth]]</f>
        <v>0</v>
      </c>
      <c r="S159" s="46"/>
    </row>
    <row r="160" spans="1:19" hidden="1" x14ac:dyDescent="0.25">
      <c r="A160" s="45"/>
      <c r="B160" s="41" t="s">
        <v>744</v>
      </c>
      <c r="C160" s="39" t="s">
        <v>922</v>
      </c>
      <c r="D160" s="39" t="s">
        <v>1061</v>
      </c>
      <c r="E160" s="42" t="s">
        <v>190</v>
      </c>
      <c r="F160" s="43" t="s">
        <v>9</v>
      </c>
      <c r="G160" s="38" t="s">
        <v>20</v>
      </c>
      <c r="H160" s="79" t="s">
        <v>21</v>
      </c>
      <c r="I160" s="87">
        <v>0</v>
      </c>
      <c r="J160" s="88">
        <v>0</v>
      </c>
      <c r="K160" s="89">
        <v>0</v>
      </c>
      <c r="L160" s="90">
        <v>0</v>
      </c>
      <c r="M160" s="89">
        <v>0</v>
      </c>
      <c r="N160" s="89">
        <v>0</v>
      </c>
      <c r="O160" s="109">
        <f>SUM(Table1[[#This Row],[2022]:[YTD 2024]])</f>
        <v>0</v>
      </c>
      <c r="P160" s="219">
        <f>IFERROR(((Table1[[#This Row],[2023]]-Table1[[#This Row],[2022]])/Table1[[#This Row],[2022]]),0)</f>
        <v>0</v>
      </c>
      <c r="Q160" s="219">
        <f>IFERROR(((Table1[[#This Row],[Volume 2023]]-Table1[[#This Row],[Volume 2022]])/Table1[[#This Row],[Volume 2022]]),0)</f>
        <v>0</v>
      </c>
      <c r="R160" s="219">
        <f>Table1[[#This Row],[YoY growth]]-Table1[[#This Row],[Volume growth]]</f>
        <v>0</v>
      </c>
      <c r="S160" s="46"/>
    </row>
    <row r="161" spans="1:19" x14ac:dyDescent="0.25">
      <c r="A161" s="45"/>
      <c r="B161" s="41" t="s">
        <v>725</v>
      </c>
      <c r="C161" s="39" t="s">
        <v>894</v>
      </c>
      <c r="D161" s="39" t="s">
        <v>1044</v>
      </c>
      <c r="E161" s="42" t="s">
        <v>104</v>
      </c>
      <c r="F161" s="43" t="s">
        <v>9</v>
      </c>
      <c r="G161" s="38" t="s">
        <v>20</v>
      </c>
      <c r="H161" s="79" t="s">
        <v>105</v>
      </c>
      <c r="I161" s="87">
        <v>209.29769999999999</v>
      </c>
      <c r="J161" s="88">
        <v>236.50559999999999</v>
      </c>
      <c r="K161" s="89">
        <v>198.2927</v>
      </c>
      <c r="L161" s="90">
        <v>7336.5478999999996</v>
      </c>
      <c r="M161" s="89">
        <v>8103.1085000000003</v>
      </c>
      <c r="N161" s="89">
        <v>7048.5825999999997</v>
      </c>
      <c r="O161" s="109">
        <f>SUM(Table1[[#This Row],[2022]:[YTD 2024]])</f>
        <v>644.096</v>
      </c>
      <c r="P161" s="219">
        <f>IFERROR(((Table1[[#This Row],[2023]]-Table1[[#This Row],[2022]])/Table1[[#This Row],[2022]]),0)</f>
        <v>0.12999617291542143</v>
      </c>
      <c r="Q161" s="219">
        <f>IFERROR(((Table1[[#This Row],[Volume 2023]]-Table1[[#This Row],[Volume 2022]])/Table1[[#This Row],[Volume 2022]]),0)</f>
        <v>0.10448518982613073</v>
      </c>
      <c r="R161" s="219">
        <f>Table1[[#This Row],[YoY growth]]-Table1[[#This Row],[Volume growth]]</f>
        <v>2.5510983089290701E-2</v>
      </c>
      <c r="S161" s="46"/>
    </row>
    <row r="162" spans="1:19" hidden="1" x14ac:dyDescent="0.25">
      <c r="A162" s="45"/>
      <c r="B162" s="41" t="s">
        <v>744</v>
      </c>
      <c r="C162" s="39" t="s">
        <v>922</v>
      </c>
      <c r="D162" s="39" t="s">
        <v>1061</v>
      </c>
      <c r="E162" s="42" t="s">
        <v>192</v>
      </c>
      <c r="F162" s="43" t="s">
        <v>9</v>
      </c>
      <c r="G162" s="38" t="s">
        <v>20</v>
      </c>
      <c r="H162" s="79" t="s">
        <v>42</v>
      </c>
      <c r="I162" s="87">
        <v>11.008699999999999</v>
      </c>
      <c r="J162" s="88">
        <v>0</v>
      </c>
      <c r="K162" s="89">
        <v>0</v>
      </c>
      <c r="L162" s="90">
        <v>653.37990000000002</v>
      </c>
      <c r="M162" s="89">
        <v>0</v>
      </c>
      <c r="N162" s="89">
        <v>0</v>
      </c>
      <c r="O162" s="109">
        <f>SUM(Table1[[#This Row],[2022]:[YTD 2024]])</f>
        <v>11.008699999999999</v>
      </c>
      <c r="P162" s="219">
        <f>IFERROR(((Table1[[#This Row],[2023]]-Table1[[#This Row],[2022]])/Table1[[#This Row],[2022]]),0)</f>
        <v>-1</v>
      </c>
      <c r="Q162" s="219">
        <f>IFERROR(((Table1[[#This Row],[Volume 2023]]-Table1[[#This Row],[Volume 2022]])/Table1[[#This Row],[Volume 2022]]),0)</f>
        <v>-1</v>
      </c>
      <c r="R162" s="219">
        <f>Table1[[#This Row],[YoY growth]]-Table1[[#This Row],[Volume growth]]</f>
        <v>0</v>
      </c>
      <c r="S162" s="46"/>
    </row>
    <row r="163" spans="1:19" hidden="1" x14ac:dyDescent="0.25">
      <c r="A163" s="45"/>
      <c r="B163" s="41" t="s">
        <v>744</v>
      </c>
      <c r="C163" s="39" t="s">
        <v>922</v>
      </c>
      <c r="D163" s="39" t="s">
        <v>1061</v>
      </c>
      <c r="E163" s="42" t="s">
        <v>193</v>
      </c>
      <c r="F163" s="43" t="s">
        <v>9</v>
      </c>
      <c r="G163" s="38" t="s">
        <v>20</v>
      </c>
      <c r="H163" s="79" t="s">
        <v>42</v>
      </c>
      <c r="I163" s="87">
        <v>6.3380999999999998</v>
      </c>
      <c r="J163" s="88">
        <v>2.2010000000000001</v>
      </c>
      <c r="K163" s="89">
        <v>4.9340999999999999</v>
      </c>
      <c r="L163" s="90">
        <v>360.70839999999998</v>
      </c>
      <c r="M163" s="89">
        <v>122.7465</v>
      </c>
      <c r="N163" s="89">
        <v>260.16239999999999</v>
      </c>
      <c r="O163" s="109">
        <f>SUM(Table1[[#This Row],[2022]:[YTD 2024]])</f>
        <v>13.473199999999999</v>
      </c>
      <c r="P163" s="219">
        <f>IFERROR(((Table1[[#This Row],[2023]]-Table1[[#This Row],[2022]])/Table1[[#This Row],[2022]]),0)</f>
        <v>-0.65273504678058103</v>
      </c>
      <c r="Q163" s="219">
        <f>IFERROR(((Table1[[#This Row],[Volume 2023]]-Table1[[#This Row],[Volume 2022]])/Table1[[#This Row],[Volume 2022]]),0)</f>
        <v>-0.65970712076569327</v>
      </c>
      <c r="R163" s="219">
        <f>Table1[[#This Row],[YoY growth]]-Table1[[#This Row],[Volume growth]]</f>
        <v>6.9720739851122371E-3</v>
      </c>
      <c r="S163" s="46"/>
    </row>
    <row r="164" spans="1:19" hidden="1" x14ac:dyDescent="0.25">
      <c r="A164" s="45"/>
      <c r="B164" s="41" t="s">
        <v>744</v>
      </c>
      <c r="C164" s="39" t="s">
        <v>922</v>
      </c>
      <c r="D164" s="39" t="s">
        <v>1061</v>
      </c>
      <c r="E164" s="42" t="s">
        <v>194</v>
      </c>
      <c r="F164" s="43" t="s">
        <v>9</v>
      </c>
      <c r="G164" s="38" t="s">
        <v>20</v>
      </c>
      <c r="H164" s="79" t="s">
        <v>42</v>
      </c>
      <c r="I164" s="87">
        <v>17.2865</v>
      </c>
      <c r="J164" s="88">
        <v>3.1953</v>
      </c>
      <c r="K164" s="89">
        <v>0</v>
      </c>
      <c r="L164" s="90">
        <v>1104.6166000000001</v>
      </c>
      <c r="M164" s="89">
        <v>157.0744</v>
      </c>
      <c r="N164" s="89">
        <v>0</v>
      </c>
      <c r="O164" s="109">
        <f>SUM(Table1[[#This Row],[2022]:[YTD 2024]])</f>
        <v>20.4818</v>
      </c>
      <c r="P164" s="219">
        <f>IFERROR(((Table1[[#This Row],[2023]]-Table1[[#This Row],[2022]])/Table1[[#This Row],[2022]]),0)</f>
        <v>-0.8151563358690308</v>
      </c>
      <c r="Q164" s="219">
        <f>IFERROR(((Table1[[#This Row],[Volume 2023]]-Table1[[#This Row],[Volume 2022]])/Table1[[#This Row],[Volume 2022]]),0)</f>
        <v>-0.85780188347703634</v>
      </c>
      <c r="R164" s="219">
        <f>Table1[[#This Row],[YoY growth]]-Table1[[#This Row],[Volume growth]]</f>
        <v>4.2645547608005541E-2</v>
      </c>
      <c r="S164" s="46"/>
    </row>
    <row r="165" spans="1:19" hidden="1" x14ac:dyDescent="0.25">
      <c r="A165" s="45"/>
      <c r="B165" s="41" t="s">
        <v>744</v>
      </c>
      <c r="C165" s="39" t="s">
        <v>922</v>
      </c>
      <c r="D165" s="39" t="s">
        <v>1061</v>
      </c>
      <c r="E165" s="42" t="s">
        <v>195</v>
      </c>
      <c r="F165" s="43" t="s">
        <v>9</v>
      </c>
      <c r="G165" s="38" t="s">
        <v>10</v>
      </c>
      <c r="H165" s="79" t="s">
        <v>42</v>
      </c>
      <c r="I165" s="87">
        <v>8.3360000000000003</v>
      </c>
      <c r="J165" s="88">
        <v>4.1882999999999999</v>
      </c>
      <c r="K165" s="89">
        <v>0.16869999999999999</v>
      </c>
      <c r="L165" s="90">
        <v>355.34039999999999</v>
      </c>
      <c r="M165" s="89">
        <v>181.6489</v>
      </c>
      <c r="N165" s="89">
        <v>7.0335999999999999</v>
      </c>
      <c r="O165" s="109">
        <f>SUM(Table1[[#This Row],[2022]:[YTD 2024]])</f>
        <v>12.693</v>
      </c>
      <c r="P165" s="219">
        <f>IFERROR(((Table1[[#This Row],[2023]]-Table1[[#This Row],[2022]])/Table1[[#This Row],[2022]]),0)</f>
        <v>-0.49756477927063342</v>
      </c>
      <c r="Q165" s="219">
        <f>IFERROR(((Table1[[#This Row],[Volume 2023]]-Table1[[#This Row],[Volume 2022]])/Table1[[#This Row],[Volume 2022]]),0)</f>
        <v>-0.48880313074449178</v>
      </c>
      <c r="R165" s="219">
        <f>Table1[[#This Row],[YoY growth]]-Table1[[#This Row],[Volume growth]]</f>
        <v>-8.761648526141641E-3</v>
      </c>
      <c r="S165" s="46"/>
    </row>
    <row r="166" spans="1:19" hidden="1" x14ac:dyDescent="0.25">
      <c r="A166" s="45"/>
      <c r="B166" s="41" t="s">
        <v>744</v>
      </c>
      <c r="C166" s="39" t="s">
        <v>922</v>
      </c>
      <c r="D166" s="39" t="s">
        <v>1061</v>
      </c>
      <c r="E166" s="42" t="s">
        <v>196</v>
      </c>
      <c r="F166" s="43" t="s">
        <v>9</v>
      </c>
      <c r="G166" s="38" t="s">
        <v>30</v>
      </c>
      <c r="H166" s="79" t="s">
        <v>42</v>
      </c>
      <c r="I166" s="87">
        <v>10.51</v>
      </c>
      <c r="J166" s="88">
        <v>23.858699999999999</v>
      </c>
      <c r="K166" s="89">
        <v>12.9741</v>
      </c>
      <c r="L166" s="90">
        <v>602.08569999999997</v>
      </c>
      <c r="M166" s="89">
        <v>1188.0914</v>
      </c>
      <c r="N166" s="89">
        <v>658.29200000000003</v>
      </c>
      <c r="O166" s="109">
        <f>SUM(Table1[[#This Row],[2022]:[YTD 2024]])</f>
        <v>47.342799999999997</v>
      </c>
      <c r="P166" s="219">
        <f>IFERROR(((Table1[[#This Row],[2023]]-Table1[[#This Row],[2022]])/Table1[[#This Row],[2022]]),0)</f>
        <v>1.2700951474785918</v>
      </c>
      <c r="Q166" s="219">
        <f>IFERROR(((Table1[[#This Row],[Volume 2023]]-Table1[[#This Row],[Volume 2022]])/Table1[[#This Row],[Volume 2022]]),0)</f>
        <v>0.97329283854441329</v>
      </c>
      <c r="R166" s="219">
        <f>Table1[[#This Row],[YoY growth]]-Table1[[#This Row],[Volume growth]]</f>
        <v>0.29680230893417847</v>
      </c>
      <c r="S166" s="46"/>
    </row>
    <row r="167" spans="1:19" hidden="1" x14ac:dyDescent="0.25">
      <c r="A167" s="45"/>
      <c r="B167" s="41" t="s">
        <v>744</v>
      </c>
      <c r="C167" s="39" t="s">
        <v>922</v>
      </c>
      <c r="D167" s="39" t="s">
        <v>1061</v>
      </c>
      <c r="E167" s="42" t="s">
        <v>197</v>
      </c>
      <c r="F167" s="43" t="s">
        <v>9</v>
      </c>
      <c r="G167" s="38" t="s">
        <v>20</v>
      </c>
      <c r="H167" s="79" t="s">
        <v>42</v>
      </c>
      <c r="I167" s="87">
        <v>0.1246</v>
      </c>
      <c r="J167" s="88">
        <v>0</v>
      </c>
      <c r="K167" s="89">
        <v>4.1500000000000002E-2</v>
      </c>
      <c r="L167" s="90">
        <v>7.4763999999999999</v>
      </c>
      <c r="M167" s="89">
        <v>0</v>
      </c>
      <c r="N167" s="89">
        <v>3.0169000000000001</v>
      </c>
      <c r="O167" s="109">
        <f>SUM(Table1[[#This Row],[2022]:[YTD 2024]])</f>
        <v>0.1661</v>
      </c>
      <c r="P167" s="219">
        <f>IFERROR(((Table1[[#This Row],[2023]]-Table1[[#This Row],[2022]])/Table1[[#This Row],[2022]]),0)</f>
        <v>-1</v>
      </c>
      <c r="Q167" s="219">
        <f>IFERROR(((Table1[[#This Row],[Volume 2023]]-Table1[[#This Row],[Volume 2022]])/Table1[[#This Row],[Volume 2022]]),0)</f>
        <v>-1</v>
      </c>
      <c r="R167" s="219">
        <f>Table1[[#This Row],[YoY growth]]-Table1[[#This Row],[Volume growth]]</f>
        <v>0</v>
      </c>
      <c r="S167" s="46"/>
    </row>
    <row r="168" spans="1:19" hidden="1" x14ac:dyDescent="0.25">
      <c r="A168" s="45"/>
      <c r="B168" s="41" t="s">
        <v>744</v>
      </c>
      <c r="C168" s="39" t="s">
        <v>922</v>
      </c>
      <c r="D168" s="39" t="s">
        <v>1061</v>
      </c>
      <c r="E168" s="42" t="s">
        <v>198</v>
      </c>
      <c r="F168" s="43" t="s">
        <v>9</v>
      </c>
      <c r="G168" s="38" t="s">
        <v>20</v>
      </c>
      <c r="H168" s="79" t="s">
        <v>68</v>
      </c>
      <c r="I168" s="87">
        <v>0</v>
      </c>
      <c r="J168" s="88">
        <v>1.9545999999999999</v>
      </c>
      <c r="K168" s="89">
        <v>2.1882000000000001</v>
      </c>
      <c r="L168" s="90">
        <v>0</v>
      </c>
      <c r="M168" s="89">
        <v>80.589100000000002</v>
      </c>
      <c r="N168" s="89">
        <v>78.875</v>
      </c>
      <c r="O168" s="109">
        <f>SUM(Table1[[#This Row],[2022]:[YTD 2024]])</f>
        <v>4.1428000000000003</v>
      </c>
      <c r="P168" s="219">
        <f>IFERROR(((Table1[[#This Row],[2023]]-Table1[[#This Row],[2022]])/Table1[[#This Row],[2022]]),0)</f>
        <v>0</v>
      </c>
      <c r="Q168" s="219">
        <f>IFERROR(((Table1[[#This Row],[Volume 2023]]-Table1[[#This Row],[Volume 2022]])/Table1[[#This Row],[Volume 2022]]),0)</f>
        <v>0</v>
      </c>
      <c r="R168" s="219">
        <f>Table1[[#This Row],[YoY growth]]-Table1[[#This Row],[Volume growth]]</f>
        <v>0</v>
      </c>
      <c r="S168" s="46"/>
    </row>
    <row r="169" spans="1:19" hidden="1" x14ac:dyDescent="0.25">
      <c r="A169" s="45"/>
      <c r="B169" s="41" t="s">
        <v>744</v>
      </c>
      <c r="C169" s="39" t="s">
        <v>922</v>
      </c>
      <c r="D169" s="39" t="s">
        <v>1061</v>
      </c>
      <c r="E169" s="42" t="s">
        <v>199</v>
      </c>
      <c r="F169" s="43" t="s">
        <v>9</v>
      </c>
      <c r="G169" s="38" t="s">
        <v>64</v>
      </c>
      <c r="H169" s="79" t="s">
        <v>68</v>
      </c>
      <c r="I169" s="87">
        <v>4.02E-2</v>
      </c>
      <c r="J169" s="88">
        <v>0</v>
      </c>
      <c r="K169" s="89">
        <v>5.1000000000000004E-3</v>
      </c>
      <c r="L169" s="90">
        <v>1.9040999999999999</v>
      </c>
      <c r="M169" s="89">
        <v>0</v>
      </c>
      <c r="N169" s="89">
        <v>0.1958</v>
      </c>
      <c r="O169" s="109">
        <f>SUM(Table1[[#This Row],[2022]:[YTD 2024]])</f>
        <v>4.53E-2</v>
      </c>
      <c r="P169" s="219">
        <f>IFERROR(((Table1[[#This Row],[2023]]-Table1[[#This Row],[2022]])/Table1[[#This Row],[2022]]),0)</f>
        <v>-1</v>
      </c>
      <c r="Q169" s="219">
        <f>IFERROR(((Table1[[#This Row],[Volume 2023]]-Table1[[#This Row],[Volume 2022]])/Table1[[#This Row],[Volume 2022]]),0)</f>
        <v>-1</v>
      </c>
      <c r="R169" s="219">
        <f>Table1[[#This Row],[YoY growth]]-Table1[[#This Row],[Volume growth]]</f>
        <v>0</v>
      </c>
      <c r="S169" s="46"/>
    </row>
    <row r="170" spans="1:19" hidden="1" x14ac:dyDescent="0.25">
      <c r="A170" s="45"/>
      <c r="B170" s="41" t="s">
        <v>744</v>
      </c>
      <c r="C170" s="39" t="s">
        <v>923</v>
      </c>
      <c r="D170" s="39" t="s">
        <v>1061</v>
      </c>
      <c r="E170" s="42" t="s">
        <v>201</v>
      </c>
      <c r="F170" s="43" t="s">
        <v>9</v>
      </c>
      <c r="G170" s="38" t="s">
        <v>20</v>
      </c>
      <c r="H170" s="79" t="s">
        <v>21</v>
      </c>
      <c r="I170" s="87">
        <v>0</v>
      </c>
      <c r="J170" s="88">
        <v>6.88E-2</v>
      </c>
      <c r="K170" s="89">
        <v>1.5603</v>
      </c>
      <c r="L170" s="90">
        <v>0</v>
      </c>
      <c r="M170" s="89">
        <v>2.9011</v>
      </c>
      <c r="N170" s="89">
        <v>56.070300000000003</v>
      </c>
      <c r="O170" s="109">
        <f>SUM(Table1[[#This Row],[2022]:[YTD 2024]])</f>
        <v>1.6291</v>
      </c>
      <c r="P170" s="219">
        <f>IFERROR(((Table1[[#This Row],[2023]]-Table1[[#This Row],[2022]])/Table1[[#This Row],[2022]]),0)</f>
        <v>0</v>
      </c>
      <c r="Q170" s="219">
        <f>IFERROR(((Table1[[#This Row],[Volume 2023]]-Table1[[#This Row],[Volume 2022]])/Table1[[#This Row],[Volume 2022]]),0)</f>
        <v>0</v>
      </c>
      <c r="R170" s="219">
        <f>Table1[[#This Row],[YoY growth]]-Table1[[#This Row],[Volume growth]]</f>
        <v>0</v>
      </c>
      <c r="S170" s="46"/>
    </row>
    <row r="171" spans="1:19" x14ac:dyDescent="0.25">
      <c r="A171" s="45"/>
      <c r="B171" s="41" t="s">
        <v>749</v>
      </c>
      <c r="C171" s="39" t="s">
        <v>935</v>
      </c>
      <c r="D171" s="39" t="s">
        <v>1067</v>
      </c>
      <c r="E171" s="42" t="s">
        <v>237</v>
      </c>
      <c r="F171" s="43" t="s">
        <v>9</v>
      </c>
      <c r="G171" s="38" t="s">
        <v>10</v>
      </c>
      <c r="H171" s="79" t="s">
        <v>42</v>
      </c>
      <c r="I171" s="87">
        <v>230.74209999999999</v>
      </c>
      <c r="J171" s="88">
        <v>277.85789999999997</v>
      </c>
      <c r="K171" s="89">
        <v>133.2149</v>
      </c>
      <c r="L171" s="90">
        <v>11792.3397</v>
      </c>
      <c r="M171" s="89">
        <v>14416.314700000001</v>
      </c>
      <c r="N171" s="89">
        <v>6626.5474000000004</v>
      </c>
      <c r="O171" s="109">
        <f>SUM(Table1[[#This Row],[2022]:[YTD 2024]])</f>
        <v>641.81489999999997</v>
      </c>
      <c r="P171" s="219">
        <f>IFERROR(((Table1[[#This Row],[2023]]-Table1[[#This Row],[2022]])/Table1[[#This Row],[2022]]),0)</f>
        <v>0.20419247289506329</v>
      </c>
      <c r="Q171" s="219">
        <f>IFERROR(((Table1[[#This Row],[Volume 2023]]-Table1[[#This Row],[Volume 2022]])/Table1[[#This Row],[Volume 2022]]),0)</f>
        <v>0.22251521468636121</v>
      </c>
      <c r="R171" s="219">
        <f>Table1[[#This Row],[YoY growth]]-Table1[[#This Row],[Volume growth]]</f>
        <v>-1.832274179129792E-2</v>
      </c>
      <c r="S171" s="46"/>
    </row>
    <row r="172" spans="1:19" hidden="1" x14ac:dyDescent="0.25">
      <c r="A172" s="45"/>
      <c r="B172" s="41" t="s">
        <v>744</v>
      </c>
      <c r="C172" s="39" t="s">
        <v>925</v>
      </c>
      <c r="D172" s="39" t="s">
        <v>1061</v>
      </c>
      <c r="E172" s="42" t="s">
        <v>205</v>
      </c>
      <c r="F172" s="43" t="s">
        <v>9</v>
      </c>
      <c r="G172" s="38" t="s">
        <v>30</v>
      </c>
      <c r="H172" s="79" t="s">
        <v>42</v>
      </c>
      <c r="I172" s="87">
        <v>27.677700000000002</v>
      </c>
      <c r="J172" s="88">
        <v>22.1416</v>
      </c>
      <c r="K172" s="89">
        <v>9.0610999999999997</v>
      </c>
      <c r="L172" s="90">
        <v>1974.3932</v>
      </c>
      <c r="M172" s="89">
        <v>1482.2675999999999</v>
      </c>
      <c r="N172" s="89">
        <v>601.1807</v>
      </c>
      <c r="O172" s="109">
        <f>SUM(Table1[[#This Row],[2022]:[YTD 2024]])</f>
        <v>58.880399999999995</v>
      </c>
      <c r="P172" s="219">
        <f>IFERROR(((Table1[[#This Row],[2023]]-Table1[[#This Row],[2022]])/Table1[[#This Row],[2022]]),0)</f>
        <v>-0.2000202328950744</v>
      </c>
      <c r="Q172" s="219">
        <f>IFERROR(((Table1[[#This Row],[Volume 2023]]-Table1[[#This Row],[Volume 2022]])/Table1[[#This Row],[Volume 2022]]),0)</f>
        <v>-0.24925409994321299</v>
      </c>
      <c r="R172" s="219">
        <f>Table1[[#This Row],[YoY growth]]-Table1[[#This Row],[Volume growth]]</f>
        <v>4.9233867048138591E-2</v>
      </c>
      <c r="S172" s="46"/>
    </row>
    <row r="173" spans="1:19" hidden="1" x14ac:dyDescent="0.25">
      <c r="A173" s="45"/>
      <c r="B173" s="41" t="s">
        <v>744</v>
      </c>
      <c r="C173" s="39" t="s">
        <v>926</v>
      </c>
      <c r="D173" s="39" t="s">
        <v>1061</v>
      </c>
      <c r="E173" s="42" t="s">
        <v>821</v>
      </c>
      <c r="F173" s="43" t="s">
        <v>9</v>
      </c>
      <c r="G173" s="38" t="s">
        <v>30</v>
      </c>
      <c r="H173" s="79" t="s">
        <v>42</v>
      </c>
      <c r="I173" s="87">
        <v>0</v>
      </c>
      <c r="J173" s="88">
        <v>0</v>
      </c>
      <c r="K173" s="89">
        <v>0</v>
      </c>
      <c r="L173" s="90">
        <v>0</v>
      </c>
      <c r="M173" s="89">
        <v>0</v>
      </c>
      <c r="N173" s="89">
        <v>0</v>
      </c>
      <c r="O173" s="109">
        <f>SUM(Table1[[#This Row],[2022]:[YTD 2024]])</f>
        <v>0</v>
      </c>
      <c r="P173" s="219">
        <f>IFERROR(((Table1[[#This Row],[2023]]-Table1[[#This Row],[2022]])/Table1[[#This Row],[2022]]),0)</f>
        <v>0</v>
      </c>
      <c r="Q173" s="219">
        <f>IFERROR(((Table1[[#This Row],[Volume 2023]]-Table1[[#This Row],[Volume 2022]])/Table1[[#This Row],[Volume 2022]]),0)</f>
        <v>0</v>
      </c>
      <c r="R173" s="219">
        <f>Table1[[#This Row],[YoY growth]]-Table1[[#This Row],[Volume growth]]</f>
        <v>0</v>
      </c>
      <c r="S173" s="46"/>
    </row>
    <row r="174" spans="1:19" hidden="1" x14ac:dyDescent="0.25">
      <c r="A174" s="45"/>
      <c r="B174" s="41" t="s">
        <v>744</v>
      </c>
      <c r="C174" s="39" t="s">
        <v>927</v>
      </c>
      <c r="D174" s="39" t="s">
        <v>1061</v>
      </c>
      <c r="E174" s="42" t="s">
        <v>208</v>
      </c>
      <c r="F174" s="43" t="s">
        <v>9</v>
      </c>
      <c r="G174" s="38" t="s">
        <v>30</v>
      </c>
      <c r="H174" s="79" t="s">
        <v>24</v>
      </c>
      <c r="I174" s="87">
        <v>41.221899999999998</v>
      </c>
      <c r="J174" s="88">
        <v>44.201300000000003</v>
      </c>
      <c r="K174" s="89">
        <v>20.616900000000001</v>
      </c>
      <c r="L174" s="90">
        <v>1922.9742000000001</v>
      </c>
      <c r="M174" s="89">
        <v>2020.3897999999999</v>
      </c>
      <c r="N174" s="89">
        <v>923.72320000000002</v>
      </c>
      <c r="O174" s="109">
        <f>SUM(Table1[[#This Row],[2022]:[YTD 2024]])</f>
        <v>106.04010000000001</v>
      </c>
      <c r="P174" s="219">
        <f>IFERROR(((Table1[[#This Row],[2023]]-Table1[[#This Row],[2022]])/Table1[[#This Row],[2022]]),0)</f>
        <v>7.2277114834590483E-2</v>
      </c>
      <c r="Q174" s="219">
        <f>IFERROR(((Table1[[#This Row],[Volume 2023]]-Table1[[#This Row],[Volume 2022]])/Table1[[#This Row],[Volume 2022]]),0)</f>
        <v>5.0658817991421731E-2</v>
      </c>
      <c r="R174" s="219">
        <f>Table1[[#This Row],[YoY growth]]-Table1[[#This Row],[Volume growth]]</f>
        <v>2.1618296843168752E-2</v>
      </c>
      <c r="S174" s="46"/>
    </row>
    <row r="175" spans="1:19" hidden="1" x14ac:dyDescent="0.25">
      <c r="A175" s="45"/>
      <c r="B175" s="41" t="s">
        <v>744</v>
      </c>
      <c r="C175" s="39" t="s">
        <v>927</v>
      </c>
      <c r="D175" s="39" t="s">
        <v>1061</v>
      </c>
      <c r="E175" s="42" t="s">
        <v>209</v>
      </c>
      <c r="F175" s="43" t="s">
        <v>9</v>
      </c>
      <c r="G175" s="38" t="s">
        <v>30</v>
      </c>
      <c r="H175" s="79" t="s">
        <v>24</v>
      </c>
      <c r="I175" s="87">
        <v>41.486600000000003</v>
      </c>
      <c r="J175" s="88">
        <v>73.395700000000005</v>
      </c>
      <c r="K175" s="89">
        <v>40.033299999999997</v>
      </c>
      <c r="L175" s="90">
        <v>2454.0007999999998</v>
      </c>
      <c r="M175" s="89">
        <v>4307.1679999999997</v>
      </c>
      <c r="N175" s="89">
        <v>2180.9749000000002</v>
      </c>
      <c r="O175" s="109">
        <f>SUM(Table1[[#This Row],[2022]:[YTD 2024]])</f>
        <v>154.91560000000001</v>
      </c>
      <c r="P175" s="219">
        <f>IFERROR(((Table1[[#This Row],[2023]]-Table1[[#This Row],[2022]])/Table1[[#This Row],[2022]]),0)</f>
        <v>0.76914232547376749</v>
      </c>
      <c r="Q175" s="219">
        <f>IFERROR(((Table1[[#This Row],[Volume 2023]]-Table1[[#This Row],[Volume 2022]])/Table1[[#This Row],[Volume 2022]]),0)</f>
        <v>0.75516161200925447</v>
      </c>
      <c r="R175" s="219">
        <f>Table1[[#This Row],[YoY growth]]-Table1[[#This Row],[Volume growth]]</f>
        <v>1.3980713464513017E-2</v>
      </c>
      <c r="S175" s="46"/>
    </row>
    <row r="176" spans="1:19" hidden="1" x14ac:dyDescent="0.25">
      <c r="A176" s="45"/>
      <c r="B176" s="41" t="s">
        <v>744</v>
      </c>
      <c r="C176" s="39" t="s">
        <v>927</v>
      </c>
      <c r="D176" s="39" t="s">
        <v>1061</v>
      </c>
      <c r="E176" s="42" t="s">
        <v>210</v>
      </c>
      <c r="F176" s="43" t="s">
        <v>9</v>
      </c>
      <c r="G176" s="38" t="s">
        <v>30</v>
      </c>
      <c r="H176" s="79" t="s">
        <v>42</v>
      </c>
      <c r="I176" s="87">
        <v>0</v>
      </c>
      <c r="J176" s="88">
        <v>0</v>
      </c>
      <c r="K176" s="89">
        <v>0.36020000000000002</v>
      </c>
      <c r="L176" s="90">
        <v>0</v>
      </c>
      <c r="M176" s="89">
        <v>0</v>
      </c>
      <c r="N176" s="89">
        <v>18.523700000000002</v>
      </c>
      <c r="O176" s="109">
        <f>SUM(Table1[[#This Row],[2022]:[YTD 2024]])</f>
        <v>0.36020000000000002</v>
      </c>
      <c r="P176" s="219">
        <f>IFERROR(((Table1[[#This Row],[2023]]-Table1[[#This Row],[2022]])/Table1[[#This Row],[2022]]),0)</f>
        <v>0</v>
      </c>
      <c r="Q176" s="219">
        <f>IFERROR(((Table1[[#This Row],[Volume 2023]]-Table1[[#This Row],[Volume 2022]])/Table1[[#This Row],[Volume 2022]]),0)</f>
        <v>0</v>
      </c>
      <c r="R176" s="219">
        <f>Table1[[#This Row],[YoY growth]]-Table1[[#This Row],[Volume growth]]</f>
        <v>0</v>
      </c>
      <c r="S176" s="46"/>
    </row>
    <row r="177" spans="1:19" hidden="1" x14ac:dyDescent="0.25">
      <c r="A177" s="45"/>
      <c r="B177" s="41" t="s">
        <v>744</v>
      </c>
      <c r="C177" s="39" t="s">
        <v>927</v>
      </c>
      <c r="D177" s="39" t="s">
        <v>1061</v>
      </c>
      <c r="E177" s="42" t="s">
        <v>211</v>
      </c>
      <c r="F177" s="43" t="s">
        <v>9</v>
      </c>
      <c r="G177" s="38" t="s">
        <v>10</v>
      </c>
      <c r="H177" s="79" t="s">
        <v>42</v>
      </c>
      <c r="I177" s="87">
        <v>50.296300000000002</v>
      </c>
      <c r="J177" s="88">
        <v>34.107599999999998</v>
      </c>
      <c r="K177" s="89">
        <v>15.9543</v>
      </c>
      <c r="L177" s="90">
        <v>3350.8564000000001</v>
      </c>
      <c r="M177" s="89">
        <v>2178.5326</v>
      </c>
      <c r="N177" s="89">
        <v>866.22</v>
      </c>
      <c r="O177" s="109">
        <f>SUM(Table1[[#This Row],[2022]:[YTD 2024]])</f>
        <v>100.3582</v>
      </c>
      <c r="P177" s="219">
        <f>IFERROR(((Table1[[#This Row],[2023]]-Table1[[#This Row],[2022]])/Table1[[#This Row],[2022]]),0)</f>
        <v>-0.32186661841924763</v>
      </c>
      <c r="Q177" s="219">
        <f>IFERROR(((Table1[[#This Row],[Volume 2023]]-Table1[[#This Row],[Volume 2022]])/Table1[[#This Row],[Volume 2022]]),0)</f>
        <v>-0.34985796466837554</v>
      </c>
      <c r="R177" s="219">
        <f>Table1[[#This Row],[YoY growth]]-Table1[[#This Row],[Volume growth]]</f>
        <v>2.7991346249127913E-2</v>
      </c>
      <c r="S177" s="46"/>
    </row>
    <row r="178" spans="1:19" hidden="1" x14ac:dyDescent="0.25">
      <c r="A178" s="45"/>
      <c r="B178" s="41" t="s">
        <v>744</v>
      </c>
      <c r="C178" s="39" t="s">
        <v>927</v>
      </c>
      <c r="D178" s="39" t="s">
        <v>1061</v>
      </c>
      <c r="E178" s="42" t="s">
        <v>212</v>
      </c>
      <c r="F178" s="43" t="s">
        <v>9</v>
      </c>
      <c r="G178" s="38" t="s">
        <v>10</v>
      </c>
      <c r="H178" s="79" t="s">
        <v>42</v>
      </c>
      <c r="I178" s="87">
        <v>5.0095999999999998</v>
      </c>
      <c r="J178" s="88">
        <v>5.5152000000000001</v>
      </c>
      <c r="K178" s="89">
        <v>4.4993999999999996</v>
      </c>
      <c r="L178" s="90">
        <v>141.5444</v>
      </c>
      <c r="M178" s="89">
        <v>154.2473</v>
      </c>
      <c r="N178" s="89">
        <v>124.59650000000001</v>
      </c>
      <c r="O178" s="109">
        <f>SUM(Table1[[#This Row],[2022]:[YTD 2024]])</f>
        <v>15.024199999999999</v>
      </c>
      <c r="P178" s="219">
        <f>IFERROR(((Table1[[#This Row],[2023]]-Table1[[#This Row],[2022]])/Table1[[#This Row],[2022]]),0)</f>
        <v>0.10092622165442357</v>
      </c>
      <c r="Q178" s="219">
        <f>IFERROR(((Table1[[#This Row],[Volume 2023]]-Table1[[#This Row],[Volume 2022]])/Table1[[#This Row],[Volume 2022]]),0)</f>
        <v>8.9744984612602122E-2</v>
      </c>
      <c r="R178" s="219">
        <f>Table1[[#This Row],[YoY growth]]-Table1[[#This Row],[Volume growth]]</f>
        <v>1.1181237041821446E-2</v>
      </c>
      <c r="S178" s="46"/>
    </row>
    <row r="179" spans="1:19" hidden="1" x14ac:dyDescent="0.25">
      <c r="A179" s="45"/>
      <c r="B179" s="41" t="s">
        <v>744</v>
      </c>
      <c r="C179" s="39" t="s">
        <v>928</v>
      </c>
      <c r="D179" s="39" t="s">
        <v>1061</v>
      </c>
      <c r="E179" s="42" t="s">
        <v>214</v>
      </c>
      <c r="F179" s="43" t="s">
        <v>9</v>
      </c>
      <c r="G179" s="38" t="s">
        <v>30</v>
      </c>
      <c r="H179" s="79" t="s">
        <v>42</v>
      </c>
      <c r="I179" s="87">
        <v>4.6416000000000004</v>
      </c>
      <c r="J179" s="88">
        <v>5.1684999999999999</v>
      </c>
      <c r="K179" s="89">
        <v>0.78010000000000002</v>
      </c>
      <c r="L179" s="90">
        <v>142.55420000000001</v>
      </c>
      <c r="M179" s="89">
        <v>145.93899999999999</v>
      </c>
      <c r="N179" s="89">
        <v>21.435099999999998</v>
      </c>
      <c r="O179" s="109">
        <f>SUM(Table1[[#This Row],[2022]:[YTD 2024]])</f>
        <v>10.590199999999999</v>
      </c>
      <c r="P179" s="219">
        <f>IFERROR(((Table1[[#This Row],[2023]]-Table1[[#This Row],[2022]])/Table1[[#This Row],[2022]]),0)</f>
        <v>0.11351689072733528</v>
      </c>
      <c r="Q179" s="219">
        <f>IFERROR(((Table1[[#This Row],[Volume 2023]]-Table1[[#This Row],[Volume 2022]])/Table1[[#This Row],[Volume 2022]]),0)</f>
        <v>2.3743951423388327E-2</v>
      </c>
      <c r="R179" s="219">
        <f>Table1[[#This Row],[YoY growth]]-Table1[[#This Row],[Volume growth]]</f>
        <v>8.9772939303946961E-2</v>
      </c>
      <c r="S179" s="46"/>
    </row>
    <row r="180" spans="1:19" hidden="1" x14ac:dyDescent="0.25">
      <c r="A180" s="45"/>
      <c r="B180" s="41" t="s">
        <v>744</v>
      </c>
      <c r="C180" s="39" t="s">
        <v>912</v>
      </c>
      <c r="D180" s="39" t="s">
        <v>1061</v>
      </c>
      <c r="E180" s="42" t="s">
        <v>216</v>
      </c>
      <c r="F180" s="43" t="s">
        <v>9</v>
      </c>
      <c r="G180" s="38" t="s">
        <v>30</v>
      </c>
      <c r="H180" s="79" t="s">
        <v>24</v>
      </c>
      <c r="I180" s="87">
        <v>137.1788</v>
      </c>
      <c r="J180" s="88">
        <v>116.5658</v>
      </c>
      <c r="K180" s="89">
        <v>65.912899999999993</v>
      </c>
      <c r="L180" s="90">
        <v>7929.3796000000002</v>
      </c>
      <c r="M180" s="89">
        <v>6740.5910999999996</v>
      </c>
      <c r="N180" s="89">
        <v>3524.3125</v>
      </c>
      <c r="O180" s="109">
        <f>SUM(Table1[[#This Row],[2022]:[YTD 2024]])</f>
        <v>319.65749999999997</v>
      </c>
      <c r="P180" s="219">
        <f>IFERROR(((Table1[[#This Row],[2023]]-Table1[[#This Row],[2022]])/Table1[[#This Row],[2022]]),0)</f>
        <v>-0.15026374337725654</v>
      </c>
      <c r="Q180" s="219">
        <f>IFERROR(((Table1[[#This Row],[Volume 2023]]-Table1[[#This Row],[Volume 2022]])/Table1[[#This Row],[Volume 2022]]),0)</f>
        <v>-0.14992200650855467</v>
      </c>
      <c r="R180" s="219">
        <f>Table1[[#This Row],[YoY growth]]-Table1[[#This Row],[Volume growth]]</f>
        <v>-3.4173686870186959E-4</v>
      </c>
      <c r="S180" s="46"/>
    </row>
    <row r="181" spans="1:19" ht="24.75" hidden="1" x14ac:dyDescent="0.25">
      <c r="A181" s="45"/>
      <c r="B181" s="41" t="s">
        <v>745</v>
      </c>
      <c r="C181" s="39" t="s">
        <v>929</v>
      </c>
      <c r="D181" s="39" t="s">
        <v>1063</v>
      </c>
      <c r="E181" s="42" t="s">
        <v>218</v>
      </c>
      <c r="F181" s="43" t="s">
        <v>9</v>
      </c>
      <c r="G181" s="38" t="s">
        <v>20</v>
      </c>
      <c r="H181" s="79" t="s">
        <v>21</v>
      </c>
      <c r="I181" s="87">
        <v>14.2293</v>
      </c>
      <c r="J181" s="88">
        <v>21.789000000000001</v>
      </c>
      <c r="K181" s="89">
        <v>7.9466000000000001</v>
      </c>
      <c r="L181" s="90">
        <v>761.61429999999996</v>
      </c>
      <c r="M181" s="89">
        <v>1129.7994000000001</v>
      </c>
      <c r="N181" s="89">
        <v>412.24349999999998</v>
      </c>
      <c r="O181" s="109">
        <f>SUM(Table1[[#This Row],[2022]:[YTD 2024]])</f>
        <v>43.9649</v>
      </c>
      <c r="P181" s="219">
        <f>IFERROR(((Table1[[#This Row],[2023]]-Table1[[#This Row],[2022]])/Table1[[#This Row],[2022]]),0)</f>
        <v>0.53127701292403706</v>
      </c>
      <c r="Q181" s="219">
        <f>IFERROR(((Table1[[#This Row],[Volume 2023]]-Table1[[#This Row],[Volume 2022]])/Table1[[#This Row],[Volume 2022]]),0)</f>
        <v>0.48342724132149328</v>
      </c>
      <c r="R181" s="219">
        <f>Table1[[#This Row],[YoY growth]]-Table1[[#This Row],[Volume growth]]</f>
        <v>4.7849771602543778E-2</v>
      </c>
      <c r="S181" s="46"/>
    </row>
    <row r="182" spans="1:19" hidden="1" x14ac:dyDescent="0.25">
      <c r="A182" s="45"/>
      <c r="B182" s="41" t="s">
        <v>746</v>
      </c>
      <c r="C182" s="39" t="s">
        <v>930</v>
      </c>
      <c r="D182" s="39" t="s">
        <v>1064</v>
      </c>
      <c r="E182" s="42" t="s">
        <v>220</v>
      </c>
      <c r="F182" s="43" t="s">
        <v>9</v>
      </c>
      <c r="G182" s="38" t="s">
        <v>64</v>
      </c>
      <c r="H182" s="79" t="s">
        <v>42</v>
      </c>
      <c r="I182" s="87">
        <v>7.4866999999999999</v>
      </c>
      <c r="J182" s="88">
        <v>1.5100000000000001E-2</v>
      </c>
      <c r="K182" s="89">
        <v>0</v>
      </c>
      <c r="L182" s="90">
        <v>509.18150000000003</v>
      </c>
      <c r="M182" s="89">
        <v>0.77590000000000003</v>
      </c>
      <c r="N182" s="89">
        <v>0</v>
      </c>
      <c r="O182" s="109">
        <f>SUM(Table1[[#This Row],[2022]:[YTD 2024]])</f>
        <v>7.5018000000000002</v>
      </c>
      <c r="P182" s="219">
        <f>IFERROR(((Table1[[#This Row],[2023]]-Table1[[#This Row],[2022]])/Table1[[#This Row],[2022]]),0)</f>
        <v>-0.99798309001295626</v>
      </c>
      <c r="Q182" s="219">
        <f>IFERROR(((Table1[[#This Row],[Volume 2023]]-Table1[[#This Row],[Volume 2022]])/Table1[[#This Row],[Volume 2022]]),0)</f>
        <v>-0.99847618187227938</v>
      </c>
      <c r="R182" s="219">
        <f>Table1[[#This Row],[YoY growth]]-Table1[[#This Row],[Volume growth]]</f>
        <v>4.9309185932311372E-4</v>
      </c>
      <c r="S182" s="46"/>
    </row>
    <row r="183" spans="1:19" hidden="1" x14ac:dyDescent="0.25">
      <c r="A183" s="45"/>
      <c r="B183" s="41" t="s">
        <v>747</v>
      </c>
      <c r="C183" s="39" t="s">
        <v>931</v>
      </c>
      <c r="D183" s="39" t="s">
        <v>1065</v>
      </c>
      <c r="E183" s="42" t="s">
        <v>222</v>
      </c>
      <c r="F183" s="43" t="s">
        <v>9</v>
      </c>
      <c r="G183" s="38" t="s">
        <v>64</v>
      </c>
      <c r="H183" s="79" t="s">
        <v>123</v>
      </c>
      <c r="I183" s="87">
        <v>0</v>
      </c>
      <c r="J183" s="88">
        <v>0</v>
      </c>
      <c r="K183" s="89">
        <v>0</v>
      </c>
      <c r="L183" s="90">
        <v>0</v>
      </c>
      <c r="M183" s="89">
        <v>0</v>
      </c>
      <c r="N183" s="89">
        <v>0</v>
      </c>
      <c r="O183" s="109">
        <f>SUM(Table1[[#This Row],[2022]:[YTD 2024]])</f>
        <v>0</v>
      </c>
      <c r="P183" s="219">
        <f>IFERROR(((Table1[[#This Row],[2023]]-Table1[[#This Row],[2022]])/Table1[[#This Row],[2022]]),0)</f>
        <v>0</v>
      </c>
      <c r="Q183" s="219">
        <f>IFERROR(((Table1[[#This Row],[Volume 2023]]-Table1[[#This Row],[Volume 2022]])/Table1[[#This Row],[Volume 2022]]),0)</f>
        <v>0</v>
      </c>
      <c r="R183" s="219">
        <f>Table1[[#This Row],[YoY growth]]-Table1[[#This Row],[Volume growth]]</f>
        <v>0</v>
      </c>
      <c r="S183" s="46"/>
    </row>
    <row r="184" spans="1:19" hidden="1" x14ac:dyDescent="0.25">
      <c r="A184" s="45"/>
      <c r="B184" s="41" t="s">
        <v>747</v>
      </c>
      <c r="C184" s="39" t="s">
        <v>931</v>
      </c>
      <c r="D184" s="39" t="s">
        <v>1065</v>
      </c>
      <c r="E184" s="42" t="s">
        <v>223</v>
      </c>
      <c r="F184" s="43" t="s">
        <v>9</v>
      </c>
      <c r="G184" s="38" t="s">
        <v>64</v>
      </c>
      <c r="H184" s="79" t="s">
        <v>123</v>
      </c>
      <c r="I184" s="87">
        <v>1.3945000000000001</v>
      </c>
      <c r="J184" s="88">
        <v>0</v>
      </c>
      <c r="K184" s="89">
        <v>0</v>
      </c>
      <c r="L184" s="90">
        <v>67.202299999999994</v>
      </c>
      <c r="M184" s="89">
        <v>0</v>
      </c>
      <c r="N184" s="89">
        <v>0</v>
      </c>
      <c r="O184" s="109">
        <f>SUM(Table1[[#This Row],[2022]:[YTD 2024]])</f>
        <v>1.3945000000000001</v>
      </c>
      <c r="P184" s="219">
        <f>IFERROR(((Table1[[#This Row],[2023]]-Table1[[#This Row],[2022]])/Table1[[#This Row],[2022]]),0)</f>
        <v>-1</v>
      </c>
      <c r="Q184" s="219">
        <f>IFERROR(((Table1[[#This Row],[Volume 2023]]-Table1[[#This Row],[Volume 2022]])/Table1[[#This Row],[Volume 2022]]),0)</f>
        <v>-1</v>
      </c>
      <c r="R184" s="219">
        <f>Table1[[#This Row],[YoY growth]]-Table1[[#This Row],[Volume growth]]</f>
        <v>0</v>
      </c>
      <c r="S184" s="46"/>
    </row>
    <row r="185" spans="1:19" hidden="1" x14ac:dyDescent="0.25">
      <c r="A185" s="45"/>
      <c r="B185" s="41" t="s">
        <v>747</v>
      </c>
      <c r="C185" s="39" t="s">
        <v>931</v>
      </c>
      <c r="D185" s="39" t="s">
        <v>1065</v>
      </c>
      <c r="E185" s="42" t="s">
        <v>224</v>
      </c>
      <c r="F185" s="43" t="s">
        <v>9</v>
      </c>
      <c r="G185" s="38" t="s">
        <v>30</v>
      </c>
      <c r="H185" s="79" t="s">
        <v>42</v>
      </c>
      <c r="I185" s="87">
        <v>7.7927999999999997</v>
      </c>
      <c r="J185" s="88">
        <v>0</v>
      </c>
      <c r="K185" s="89">
        <v>0</v>
      </c>
      <c r="L185" s="90">
        <v>362.96660000000003</v>
      </c>
      <c r="M185" s="89">
        <v>0</v>
      </c>
      <c r="N185" s="89">
        <v>0</v>
      </c>
      <c r="O185" s="109">
        <f>SUM(Table1[[#This Row],[2022]:[YTD 2024]])</f>
        <v>7.7927999999999997</v>
      </c>
      <c r="P185" s="219">
        <f>IFERROR(((Table1[[#This Row],[2023]]-Table1[[#This Row],[2022]])/Table1[[#This Row],[2022]]),0)</f>
        <v>-1</v>
      </c>
      <c r="Q185" s="219">
        <f>IFERROR(((Table1[[#This Row],[Volume 2023]]-Table1[[#This Row],[Volume 2022]])/Table1[[#This Row],[Volume 2022]]),0)</f>
        <v>-1</v>
      </c>
      <c r="R185" s="219">
        <f>Table1[[#This Row],[YoY growth]]-Table1[[#This Row],[Volume growth]]</f>
        <v>0</v>
      </c>
      <c r="S185" s="46"/>
    </row>
    <row r="186" spans="1:19" hidden="1" x14ac:dyDescent="0.25">
      <c r="A186" s="45"/>
      <c r="B186" s="41" t="s">
        <v>748</v>
      </c>
      <c r="C186" s="39" t="s">
        <v>932</v>
      </c>
      <c r="D186" s="39" t="s">
        <v>1066</v>
      </c>
      <c r="E186" s="42" t="s">
        <v>226</v>
      </c>
      <c r="F186" s="43" t="s">
        <v>9</v>
      </c>
      <c r="G186" s="38" t="s">
        <v>10</v>
      </c>
      <c r="H186" s="79" t="s">
        <v>42</v>
      </c>
      <c r="I186" s="87">
        <v>63.770400000000002</v>
      </c>
      <c r="J186" s="88">
        <v>23.340299999999999</v>
      </c>
      <c r="K186" s="89">
        <v>11.8607</v>
      </c>
      <c r="L186" s="90">
        <v>2545.3452000000002</v>
      </c>
      <c r="M186" s="89">
        <v>949.45609999999999</v>
      </c>
      <c r="N186" s="89">
        <v>459.19099999999997</v>
      </c>
      <c r="O186" s="109">
        <f>SUM(Table1[[#This Row],[2022]:[YTD 2024]])</f>
        <v>98.971400000000003</v>
      </c>
      <c r="P186" s="219">
        <f>IFERROR(((Table1[[#This Row],[2023]]-Table1[[#This Row],[2022]])/Table1[[#This Row],[2022]]),0)</f>
        <v>-0.63399476873282901</v>
      </c>
      <c r="Q186" s="219">
        <f>IFERROR(((Table1[[#This Row],[Volume 2023]]-Table1[[#This Row],[Volume 2022]])/Table1[[#This Row],[Volume 2022]]),0)</f>
        <v>-0.62698336555686052</v>
      </c>
      <c r="R186" s="219">
        <f>Table1[[#This Row],[YoY growth]]-Table1[[#This Row],[Volume growth]]</f>
        <v>-7.0114031759684892E-3</v>
      </c>
      <c r="S186" s="46"/>
    </row>
    <row r="187" spans="1:19" hidden="1" x14ac:dyDescent="0.25">
      <c r="A187" s="45"/>
      <c r="B187" s="41" t="s">
        <v>748</v>
      </c>
      <c r="C187" s="39" t="s">
        <v>932</v>
      </c>
      <c r="D187" s="39" t="s">
        <v>1066</v>
      </c>
      <c r="E187" s="42" t="s">
        <v>227</v>
      </c>
      <c r="F187" s="43" t="s">
        <v>9</v>
      </c>
      <c r="G187" s="38" t="s">
        <v>30</v>
      </c>
      <c r="H187" s="79" t="s">
        <v>42</v>
      </c>
      <c r="I187" s="87">
        <v>12.7019</v>
      </c>
      <c r="J187" s="88">
        <v>13.0259</v>
      </c>
      <c r="K187" s="89">
        <v>5.5613999999999999</v>
      </c>
      <c r="L187" s="90">
        <v>553.99599999999998</v>
      </c>
      <c r="M187" s="89">
        <v>562.68320000000006</v>
      </c>
      <c r="N187" s="89">
        <v>225.62440000000001</v>
      </c>
      <c r="O187" s="109">
        <f>SUM(Table1[[#This Row],[2022]:[YTD 2024]])</f>
        <v>31.289200000000001</v>
      </c>
      <c r="P187" s="219">
        <f>IFERROR(((Table1[[#This Row],[2023]]-Table1[[#This Row],[2022]])/Table1[[#This Row],[2022]]),0)</f>
        <v>2.5507994866909661E-2</v>
      </c>
      <c r="Q187" s="219">
        <f>IFERROR(((Table1[[#This Row],[Volume 2023]]-Table1[[#This Row],[Volume 2022]])/Table1[[#This Row],[Volume 2022]]),0)</f>
        <v>1.5680979646062562E-2</v>
      </c>
      <c r="R187" s="219">
        <f>Table1[[#This Row],[YoY growth]]-Table1[[#This Row],[Volume growth]]</f>
        <v>9.827015220847099E-3</v>
      </c>
      <c r="S187" s="46"/>
    </row>
    <row r="188" spans="1:19" hidden="1" x14ac:dyDescent="0.25">
      <c r="A188" s="45"/>
      <c r="B188" s="41" t="s">
        <v>748</v>
      </c>
      <c r="C188" s="39" t="s">
        <v>933</v>
      </c>
      <c r="D188" s="39" t="s">
        <v>1066</v>
      </c>
      <c r="E188" s="42" t="s">
        <v>229</v>
      </c>
      <c r="F188" s="43" t="s">
        <v>9</v>
      </c>
      <c r="G188" s="38" t="s">
        <v>20</v>
      </c>
      <c r="H188" s="79" t="s">
        <v>42</v>
      </c>
      <c r="I188" s="87">
        <v>0.59</v>
      </c>
      <c r="J188" s="88">
        <v>0</v>
      </c>
      <c r="K188" s="89">
        <v>0</v>
      </c>
      <c r="L188" s="90">
        <v>18.470099999999999</v>
      </c>
      <c r="M188" s="89">
        <v>0</v>
      </c>
      <c r="N188" s="89">
        <v>0</v>
      </c>
      <c r="O188" s="109">
        <f>SUM(Table1[[#This Row],[2022]:[YTD 2024]])</f>
        <v>0.59</v>
      </c>
      <c r="P188" s="219">
        <f>IFERROR(((Table1[[#This Row],[2023]]-Table1[[#This Row],[2022]])/Table1[[#This Row],[2022]]),0)</f>
        <v>-1</v>
      </c>
      <c r="Q188" s="219">
        <f>IFERROR(((Table1[[#This Row],[Volume 2023]]-Table1[[#This Row],[Volume 2022]])/Table1[[#This Row],[Volume 2022]]),0)</f>
        <v>-1</v>
      </c>
      <c r="R188" s="219">
        <f>Table1[[#This Row],[YoY growth]]-Table1[[#This Row],[Volume growth]]</f>
        <v>0</v>
      </c>
      <c r="S188" s="46"/>
    </row>
    <row r="189" spans="1:19" hidden="1" x14ac:dyDescent="0.25">
      <c r="A189" s="45"/>
      <c r="B189" s="41" t="s">
        <v>748</v>
      </c>
      <c r="C189" s="39" t="s">
        <v>933</v>
      </c>
      <c r="D189" s="39" t="s">
        <v>1066</v>
      </c>
      <c r="E189" s="42" t="s">
        <v>230</v>
      </c>
      <c r="F189" s="43" t="s">
        <v>9</v>
      </c>
      <c r="G189" s="38" t="s">
        <v>30</v>
      </c>
      <c r="H189" s="79" t="s">
        <v>42</v>
      </c>
      <c r="I189" s="87">
        <v>0.59</v>
      </c>
      <c r="J189" s="88">
        <v>0</v>
      </c>
      <c r="K189" s="89">
        <v>0</v>
      </c>
      <c r="L189" s="90">
        <v>18.470099999999999</v>
      </c>
      <c r="M189" s="89">
        <v>0</v>
      </c>
      <c r="N189" s="89">
        <v>0</v>
      </c>
      <c r="O189" s="109">
        <f>SUM(Table1[[#This Row],[2022]:[YTD 2024]])</f>
        <v>0.59</v>
      </c>
      <c r="P189" s="219">
        <f>IFERROR(((Table1[[#This Row],[2023]]-Table1[[#This Row],[2022]])/Table1[[#This Row],[2022]]),0)</f>
        <v>-1</v>
      </c>
      <c r="Q189" s="219">
        <f>IFERROR(((Table1[[#This Row],[Volume 2023]]-Table1[[#This Row],[Volume 2022]])/Table1[[#This Row],[Volume 2022]]),0)</f>
        <v>-1</v>
      </c>
      <c r="R189" s="219">
        <f>Table1[[#This Row],[YoY growth]]-Table1[[#This Row],[Volume growth]]</f>
        <v>0</v>
      </c>
      <c r="S189" s="46"/>
    </row>
    <row r="190" spans="1:19" hidden="1" x14ac:dyDescent="0.25">
      <c r="A190" s="45"/>
      <c r="B190" s="41" t="s">
        <v>749</v>
      </c>
      <c r="C190" s="39" t="s">
        <v>934</v>
      </c>
      <c r="D190" s="39" t="s">
        <v>1067</v>
      </c>
      <c r="E190" s="42" t="s">
        <v>232</v>
      </c>
      <c r="F190" s="43" t="s">
        <v>9</v>
      </c>
      <c r="G190" s="38" t="s">
        <v>69</v>
      </c>
      <c r="H190" s="79" t="s">
        <v>15</v>
      </c>
      <c r="I190" s="87">
        <v>0</v>
      </c>
      <c r="J190" s="88">
        <v>1.1446000000000001</v>
      </c>
      <c r="K190" s="89">
        <v>0.29039999999999999</v>
      </c>
      <c r="L190" s="90">
        <v>0</v>
      </c>
      <c r="M190" s="89">
        <v>11.6808</v>
      </c>
      <c r="N190" s="89">
        <v>3.3864000000000001</v>
      </c>
      <c r="O190" s="109">
        <f>SUM(Table1[[#This Row],[2022]:[YTD 2024]])</f>
        <v>1.4350000000000001</v>
      </c>
      <c r="P190" s="219">
        <f>IFERROR(((Table1[[#This Row],[2023]]-Table1[[#This Row],[2022]])/Table1[[#This Row],[2022]]),0)</f>
        <v>0</v>
      </c>
      <c r="Q190" s="219">
        <f>IFERROR(((Table1[[#This Row],[Volume 2023]]-Table1[[#This Row],[Volume 2022]])/Table1[[#This Row],[Volume 2022]]),0)</f>
        <v>0</v>
      </c>
      <c r="R190" s="219">
        <f>Table1[[#This Row],[YoY growth]]-Table1[[#This Row],[Volume growth]]</f>
        <v>0</v>
      </c>
      <c r="S190" s="46"/>
    </row>
    <row r="191" spans="1:19" hidden="1" x14ac:dyDescent="0.25">
      <c r="A191" s="45"/>
      <c r="B191" s="41" t="s">
        <v>749</v>
      </c>
      <c r="C191" s="39" t="s">
        <v>934</v>
      </c>
      <c r="D191" s="39" t="s">
        <v>1067</v>
      </c>
      <c r="E191" s="42" t="s">
        <v>233</v>
      </c>
      <c r="F191" s="43" t="s">
        <v>9</v>
      </c>
      <c r="G191" s="38" t="s">
        <v>69</v>
      </c>
      <c r="H191" s="79" t="s">
        <v>15</v>
      </c>
      <c r="I191" s="87">
        <v>0</v>
      </c>
      <c r="J191" s="88">
        <v>0.49220000000000003</v>
      </c>
      <c r="K191" s="89">
        <v>0.1164</v>
      </c>
      <c r="L191" s="90">
        <v>0</v>
      </c>
      <c r="M191" s="89">
        <v>4.2202000000000002</v>
      </c>
      <c r="N191" s="89">
        <v>0.85</v>
      </c>
      <c r="O191" s="109">
        <f>SUM(Table1[[#This Row],[2022]:[YTD 2024]])</f>
        <v>0.60860000000000003</v>
      </c>
      <c r="P191" s="219">
        <f>IFERROR(((Table1[[#This Row],[2023]]-Table1[[#This Row],[2022]])/Table1[[#This Row],[2022]]),0)</f>
        <v>0</v>
      </c>
      <c r="Q191" s="219">
        <f>IFERROR(((Table1[[#This Row],[Volume 2023]]-Table1[[#This Row],[Volume 2022]])/Table1[[#This Row],[Volume 2022]]),0)</f>
        <v>0</v>
      </c>
      <c r="R191" s="219">
        <f>Table1[[#This Row],[YoY growth]]-Table1[[#This Row],[Volume growth]]</f>
        <v>0</v>
      </c>
      <c r="S191" s="46"/>
    </row>
    <row r="192" spans="1:19" hidden="1" x14ac:dyDescent="0.25">
      <c r="A192" s="45"/>
      <c r="B192" s="41" t="s">
        <v>749</v>
      </c>
      <c r="C192" s="39" t="s">
        <v>934</v>
      </c>
      <c r="D192" s="39" t="s">
        <v>1067</v>
      </c>
      <c r="E192" s="42" t="s">
        <v>234</v>
      </c>
      <c r="F192" s="43" t="s">
        <v>9</v>
      </c>
      <c r="G192" s="38" t="s">
        <v>20</v>
      </c>
      <c r="H192" s="79" t="s">
        <v>15</v>
      </c>
      <c r="I192" s="87">
        <v>0</v>
      </c>
      <c r="J192" s="88">
        <v>1.4152</v>
      </c>
      <c r="K192" s="89">
        <v>0.3513</v>
      </c>
      <c r="L192" s="90">
        <v>0</v>
      </c>
      <c r="M192" s="89">
        <v>20.5671</v>
      </c>
      <c r="N192" s="89">
        <v>6.5918999999999999</v>
      </c>
      <c r="O192" s="109">
        <f>SUM(Table1[[#This Row],[2022]:[YTD 2024]])</f>
        <v>1.7665</v>
      </c>
      <c r="P192" s="219">
        <f>IFERROR(((Table1[[#This Row],[2023]]-Table1[[#This Row],[2022]])/Table1[[#This Row],[2022]]),0)</f>
        <v>0</v>
      </c>
      <c r="Q192" s="219">
        <f>IFERROR(((Table1[[#This Row],[Volume 2023]]-Table1[[#This Row],[Volume 2022]])/Table1[[#This Row],[Volume 2022]]),0)</f>
        <v>0</v>
      </c>
      <c r="R192" s="219">
        <f>Table1[[#This Row],[YoY growth]]-Table1[[#This Row],[Volume growth]]</f>
        <v>0</v>
      </c>
      <c r="S192" s="46"/>
    </row>
    <row r="193" spans="1:19" hidden="1" x14ac:dyDescent="0.25">
      <c r="A193" s="45"/>
      <c r="B193" s="41" t="s">
        <v>749</v>
      </c>
      <c r="C193" s="39" t="s">
        <v>935</v>
      </c>
      <c r="D193" s="39" t="s">
        <v>1067</v>
      </c>
      <c r="E193" s="42" t="s">
        <v>236</v>
      </c>
      <c r="F193" s="43" t="s">
        <v>9</v>
      </c>
      <c r="G193" s="38" t="s">
        <v>10</v>
      </c>
      <c r="H193" s="79" t="s">
        <v>24</v>
      </c>
      <c r="I193" s="87">
        <v>6.1999999999999998E-3</v>
      </c>
      <c r="J193" s="88">
        <v>21.155899999999999</v>
      </c>
      <c r="K193" s="89">
        <v>10.029400000000001</v>
      </c>
      <c r="L193" s="90">
        <v>0.32569999999999999</v>
      </c>
      <c r="M193" s="89">
        <v>1092.0349000000001</v>
      </c>
      <c r="N193" s="89">
        <v>489.28280000000001</v>
      </c>
      <c r="O193" s="109">
        <f>SUM(Table1[[#This Row],[2022]:[YTD 2024]])</f>
        <v>31.191499999999998</v>
      </c>
      <c r="P193" s="219">
        <f>IFERROR(((Table1[[#This Row],[2023]]-Table1[[#This Row],[2022]])/Table1[[#This Row],[2022]]),0)</f>
        <v>3411.2419354838707</v>
      </c>
      <c r="Q193" s="219">
        <f>IFERROR(((Table1[[#This Row],[Volume 2023]]-Table1[[#This Row],[Volume 2022]])/Table1[[#This Row],[Volume 2022]]),0)</f>
        <v>3351.8857844642312</v>
      </c>
      <c r="R193" s="219">
        <f>Table1[[#This Row],[YoY growth]]-Table1[[#This Row],[Volume growth]]</f>
        <v>59.356151019639583</v>
      </c>
      <c r="S193" s="46"/>
    </row>
    <row r="194" spans="1:19" x14ac:dyDescent="0.25">
      <c r="A194" s="45"/>
      <c r="B194" s="41" t="s">
        <v>791</v>
      </c>
      <c r="C194" s="39" t="s">
        <v>985</v>
      </c>
      <c r="D194" s="39" t="s">
        <v>1112</v>
      </c>
      <c r="E194" s="42" t="s">
        <v>546</v>
      </c>
      <c r="F194" s="43" t="s">
        <v>9</v>
      </c>
      <c r="G194" s="38" t="s">
        <v>30</v>
      </c>
      <c r="H194" s="79" t="s">
        <v>17</v>
      </c>
      <c r="I194" s="87">
        <v>299.24509999999998</v>
      </c>
      <c r="J194" s="88">
        <v>239.40260000000001</v>
      </c>
      <c r="K194" s="89">
        <v>70.132900000000006</v>
      </c>
      <c r="L194" s="90">
        <v>8505.4575000000004</v>
      </c>
      <c r="M194" s="89">
        <v>6543.0663999999997</v>
      </c>
      <c r="N194" s="89">
        <v>1626.3281999999999</v>
      </c>
      <c r="O194" s="109">
        <f>SUM(Table1[[#This Row],[2022]:[YTD 2024]])</f>
        <v>608.78060000000005</v>
      </c>
      <c r="P194" s="219">
        <f>IFERROR(((Table1[[#This Row],[2023]]-Table1[[#This Row],[2022]])/Table1[[#This Row],[2022]]),0)</f>
        <v>-0.1999782118403943</v>
      </c>
      <c r="Q194" s="219">
        <f>IFERROR(((Table1[[#This Row],[Volume 2023]]-Table1[[#This Row],[Volume 2022]])/Table1[[#This Row],[Volume 2022]]),0)</f>
        <v>-0.23072140446295814</v>
      </c>
      <c r="R194" s="219">
        <f>Table1[[#This Row],[YoY growth]]-Table1[[#This Row],[Volume growth]]</f>
        <v>3.0743192622563836E-2</v>
      </c>
      <c r="S194" s="46"/>
    </row>
    <row r="195" spans="1:19" hidden="1" x14ac:dyDescent="0.25">
      <c r="A195" s="45"/>
      <c r="B195" s="41" t="s">
        <v>750</v>
      </c>
      <c r="C195" s="39" t="s">
        <v>936</v>
      </c>
      <c r="D195" s="39" t="s">
        <v>1068</v>
      </c>
      <c r="E195" s="42" t="s">
        <v>239</v>
      </c>
      <c r="F195" s="43" t="s">
        <v>9</v>
      </c>
      <c r="G195" s="38" t="s">
        <v>64</v>
      </c>
      <c r="H195" s="79" t="s">
        <v>32</v>
      </c>
      <c r="I195" s="87">
        <v>0</v>
      </c>
      <c r="J195" s="88">
        <v>0</v>
      </c>
      <c r="K195" s="89">
        <v>0</v>
      </c>
      <c r="L195" s="90">
        <v>0</v>
      </c>
      <c r="M195" s="89">
        <v>0</v>
      </c>
      <c r="N195" s="89">
        <v>0</v>
      </c>
      <c r="O195" s="109">
        <f>SUM(Table1[[#This Row],[2022]:[YTD 2024]])</f>
        <v>0</v>
      </c>
      <c r="P195" s="219">
        <f>IFERROR(((Table1[[#This Row],[2023]]-Table1[[#This Row],[2022]])/Table1[[#This Row],[2022]]),0)</f>
        <v>0</v>
      </c>
      <c r="Q195" s="219">
        <f>IFERROR(((Table1[[#This Row],[Volume 2023]]-Table1[[#This Row],[Volume 2022]])/Table1[[#This Row],[Volume 2022]]),0)</f>
        <v>0</v>
      </c>
      <c r="R195" s="219">
        <f>Table1[[#This Row],[YoY growth]]-Table1[[#This Row],[Volume growth]]</f>
        <v>0</v>
      </c>
      <c r="S195" s="46"/>
    </row>
    <row r="196" spans="1:19" hidden="1" x14ac:dyDescent="0.25">
      <c r="A196" s="45"/>
      <c r="B196" s="41" t="s">
        <v>750</v>
      </c>
      <c r="C196" s="39" t="s">
        <v>936</v>
      </c>
      <c r="D196" s="39" t="s">
        <v>1068</v>
      </c>
      <c r="E196" s="42" t="s">
        <v>240</v>
      </c>
      <c r="F196" s="43" t="s">
        <v>9</v>
      </c>
      <c r="G196" s="38" t="s">
        <v>20</v>
      </c>
      <c r="H196" s="79" t="s">
        <v>15</v>
      </c>
      <c r="I196" s="87">
        <v>0.37059999999999998</v>
      </c>
      <c r="J196" s="88">
        <v>0.24890000000000001</v>
      </c>
      <c r="K196" s="89">
        <v>0</v>
      </c>
      <c r="L196" s="90">
        <v>9.2727000000000004</v>
      </c>
      <c r="M196" s="89">
        <v>7.0415000000000001</v>
      </c>
      <c r="N196" s="89">
        <v>0</v>
      </c>
      <c r="O196" s="109">
        <f>SUM(Table1[[#This Row],[2022]:[YTD 2024]])</f>
        <v>0.61949999999999994</v>
      </c>
      <c r="P196" s="219">
        <f>IFERROR(((Table1[[#This Row],[2023]]-Table1[[#This Row],[2022]])/Table1[[#This Row],[2022]]),0)</f>
        <v>-0.32838640043173228</v>
      </c>
      <c r="Q196" s="219">
        <f>IFERROR(((Table1[[#This Row],[Volume 2023]]-Table1[[#This Row],[Volume 2022]])/Table1[[#This Row],[Volume 2022]]),0)</f>
        <v>-0.24062031554994773</v>
      </c>
      <c r="R196" s="219">
        <f>Table1[[#This Row],[YoY growth]]-Table1[[#This Row],[Volume growth]]</f>
        <v>-8.7766084881784556E-2</v>
      </c>
      <c r="S196" s="46"/>
    </row>
    <row r="197" spans="1:19" hidden="1" x14ac:dyDescent="0.25">
      <c r="A197" s="45"/>
      <c r="B197" s="41" t="s">
        <v>750</v>
      </c>
      <c r="C197" s="39" t="s">
        <v>936</v>
      </c>
      <c r="D197" s="39" t="s">
        <v>1068</v>
      </c>
      <c r="E197" s="42" t="s">
        <v>241</v>
      </c>
      <c r="F197" s="43" t="s">
        <v>9</v>
      </c>
      <c r="G197" s="38" t="s">
        <v>20</v>
      </c>
      <c r="H197" s="79" t="s">
        <v>99</v>
      </c>
      <c r="I197" s="87">
        <v>29.4162</v>
      </c>
      <c r="J197" s="88">
        <v>107.9663</v>
      </c>
      <c r="K197" s="89">
        <v>52.6723</v>
      </c>
      <c r="L197" s="90">
        <v>866.39819999999997</v>
      </c>
      <c r="M197" s="89">
        <v>3176.0981999999999</v>
      </c>
      <c r="N197" s="89">
        <v>1396.3396</v>
      </c>
      <c r="O197" s="109">
        <f>SUM(Table1[[#This Row],[2022]:[YTD 2024]])</f>
        <v>190.0548</v>
      </c>
      <c r="P197" s="219">
        <f>IFERROR(((Table1[[#This Row],[2023]]-Table1[[#This Row],[2022]])/Table1[[#This Row],[2022]]),0)</f>
        <v>2.6703007186516272</v>
      </c>
      <c r="Q197" s="219">
        <f>IFERROR(((Table1[[#This Row],[Volume 2023]]-Table1[[#This Row],[Volume 2022]])/Table1[[#This Row],[Volume 2022]]),0)</f>
        <v>2.6658642642609367</v>
      </c>
      <c r="R197" s="219">
        <f>Table1[[#This Row],[YoY growth]]-Table1[[#This Row],[Volume growth]]</f>
        <v>4.4364543906905141E-3</v>
      </c>
      <c r="S197" s="46"/>
    </row>
    <row r="198" spans="1:19" hidden="1" x14ac:dyDescent="0.25">
      <c r="A198" s="45"/>
      <c r="B198" s="41" t="s">
        <v>750</v>
      </c>
      <c r="C198" s="39" t="s">
        <v>936</v>
      </c>
      <c r="D198" s="39" t="s">
        <v>1068</v>
      </c>
      <c r="E198" s="42" t="s">
        <v>242</v>
      </c>
      <c r="F198" s="43" t="s">
        <v>9</v>
      </c>
      <c r="G198" s="38" t="s">
        <v>20</v>
      </c>
      <c r="H198" s="79" t="s">
        <v>99</v>
      </c>
      <c r="I198" s="87">
        <v>2.2702</v>
      </c>
      <c r="J198" s="88">
        <v>6.8476999999999997</v>
      </c>
      <c r="K198" s="89">
        <v>4.3963000000000001</v>
      </c>
      <c r="L198" s="90">
        <v>71.277600000000007</v>
      </c>
      <c r="M198" s="89">
        <v>210.60059999999999</v>
      </c>
      <c r="N198" s="89">
        <v>121.2728</v>
      </c>
      <c r="O198" s="109">
        <f>SUM(Table1[[#This Row],[2022]:[YTD 2024]])</f>
        <v>13.514199999999999</v>
      </c>
      <c r="P198" s="219">
        <f>IFERROR(((Table1[[#This Row],[2023]]-Table1[[#This Row],[2022]])/Table1[[#This Row],[2022]]),0)</f>
        <v>2.0163421724958153</v>
      </c>
      <c r="Q198" s="219">
        <f>IFERROR(((Table1[[#This Row],[Volume 2023]]-Table1[[#This Row],[Volume 2022]])/Table1[[#This Row],[Volume 2022]]),0)</f>
        <v>1.9546533553318288</v>
      </c>
      <c r="R198" s="219">
        <f>Table1[[#This Row],[YoY growth]]-Table1[[#This Row],[Volume growth]]</f>
        <v>6.1688817163986442E-2</v>
      </c>
      <c r="S198" s="46"/>
    </row>
    <row r="199" spans="1:19" x14ac:dyDescent="0.25">
      <c r="A199" s="45"/>
      <c r="B199" s="41" t="s">
        <v>791</v>
      </c>
      <c r="C199" s="39" t="s">
        <v>985</v>
      </c>
      <c r="D199" s="39" t="s">
        <v>1112</v>
      </c>
      <c r="E199" s="42" t="s">
        <v>483</v>
      </c>
      <c r="F199" s="43" t="s">
        <v>9</v>
      </c>
      <c r="G199" s="38" t="s">
        <v>30</v>
      </c>
      <c r="H199" s="79" t="s">
        <v>256</v>
      </c>
      <c r="I199" s="87">
        <v>195.73400000000001</v>
      </c>
      <c r="J199" s="88">
        <v>242.5813</v>
      </c>
      <c r="K199" s="89">
        <v>163.20820000000001</v>
      </c>
      <c r="L199" s="90">
        <v>3936.1988000000001</v>
      </c>
      <c r="M199" s="89">
        <v>5003.2757000000001</v>
      </c>
      <c r="N199" s="89">
        <v>3062.0891000000001</v>
      </c>
      <c r="O199" s="109">
        <f>SUM(Table1[[#This Row],[2022]:[YTD 2024]])</f>
        <v>601.52350000000001</v>
      </c>
      <c r="P199" s="219">
        <f>IFERROR(((Table1[[#This Row],[2023]]-Table1[[#This Row],[2022]])/Table1[[#This Row],[2022]]),0)</f>
        <v>0.23934165755566222</v>
      </c>
      <c r="Q199" s="219">
        <f>IFERROR(((Table1[[#This Row],[Volume 2023]]-Table1[[#This Row],[Volume 2022]])/Table1[[#This Row],[Volume 2022]]),0)</f>
        <v>0.27109324356279974</v>
      </c>
      <c r="R199" s="219">
        <f>Table1[[#This Row],[YoY growth]]-Table1[[#This Row],[Volume growth]]</f>
        <v>-3.1751586007137511E-2</v>
      </c>
      <c r="S199" s="46"/>
    </row>
    <row r="200" spans="1:19" hidden="1" x14ac:dyDescent="0.25">
      <c r="A200" s="45"/>
      <c r="B200" s="41" t="s">
        <v>750</v>
      </c>
      <c r="C200" s="39" t="s">
        <v>936</v>
      </c>
      <c r="D200" s="39" t="s">
        <v>1068</v>
      </c>
      <c r="E200" s="42" t="s">
        <v>244</v>
      </c>
      <c r="F200" s="43" t="s">
        <v>9</v>
      </c>
      <c r="G200" s="38" t="s">
        <v>20</v>
      </c>
      <c r="H200" s="79" t="s">
        <v>99</v>
      </c>
      <c r="I200" s="87">
        <v>2.9716999999999998</v>
      </c>
      <c r="J200" s="88">
        <v>0.47810000000000002</v>
      </c>
      <c r="K200" s="89">
        <v>0.26490000000000002</v>
      </c>
      <c r="L200" s="90">
        <v>93.2804</v>
      </c>
      <c r="M200" s="89">
        <v>14.5885</v>
      </c>
      <c r="N200" s="89">
        <v>7.5808999999999997</v>
      </c>
      <c r="O200" s="109">
        <f>SUM(Table1[[#This Row],[2022]:[YTD 2024]])</f>
        <v>3.7146999999999997</v>
      </c>
      <c r="P200" s="219">
        <f>IFERROR(((Table1[[#This Row],[2023]]-Table1[[#This Row],[2022]])/Table1[[#This Row],[2022]]),0)</f>
        <v>-0.83911565770434426</v>
      </c>
      <c r="Q200" s="219">
        <f>IFERROR(((Table1[[#This Row],[Volume 2023]]-Table1[[#This Row],[Volume 2022]])/Table1[[#This Row],[Volume 2022]]),0)</f>
        <v>-0.84360594508599884</v>
      </c>
      <c r="R200" s="219">
        <f>Table1[[#This Row],[YoY growth]]-Table1[[#This Row],[Volume growth]]</f>
        <v>4.4902873816545785E-3</v>
      </c>
      <c r="S200" s="46"/>
    </row>
    <row r="201" spans="1:19" hidden="1" x14ac:dyDescent="0.25">
      <c r="A201" s="45"/>
      <c r="B201" s="41" t="s">
        <v>750</v>
      </c>
      <c r="C201" s="39" t="s">
        <v>936</v>
      </c>
      <c r="D201" s="39" t="s">
        <v>1068</v>
      </c>
      <c r="E201" s="42" t="s">
        <v>245</v>
      </c>
      <c r="F201" s="43" t="s">
        <v>9</v>
      </c>
      <c r="G201" s="38" t="s">
        <v>20</v>
      </c>
      <c r="H201" s="79" t="s">
        <v>123</v>
      </c>
      <c r="I201" s="87">
        <v>0.21840000000000001</v>
      </c>
      <c r="J201" s="88">
        <v>0</v>
      </c>
      <c r="K201" s="89">
        <v>0</v>
      </c>
      <c r="L201" s="90">
        <v>7.3784000000000001</v>
      </c>
      <c r="M201" s="89">
        <v>0</v>
      </c>
      <c r="N201" s="89">
        <v>0</v>
      </c>
      <c r="O201" s="109">
        <f>SUM(Table1[[#This Row],[2022]:[YTD 2024]])</f>
        <v>0.21840000000000001</v>
      </c>
      <c r="P201" s="219">
        <f>IFERROR(((Table1[[#This Row],[2023]]-Table1[[#This Row],[2022]])/Table1[[#This Row],[2022]]),0)</f>
        <v>-1</v>
      </c>
      <c r="Q201" s="219">
        <f>IFERROR(((Table1[[#This Row],[Volume 2023]]-Table1[[#This Row],[Volume 2022]])/Table1[[#This Row],[Volume 2022]]),0)</f>
        <v>-1</v>
      </c>
      <c r="R201" s="219">
        <f>Table1[[#This Row],[YoY growth]]-Table1[[#This Row],[Volume growth]]</f>
        <v>0</v>
      </c>
      <c r="S201" s="46"/>
    </row>
    <row r="202" spans="1:19" hidden="1" x14ac:dyDescent="0.25">
      <c r="A202" s="45"/>
      <c r="B202" s="41" t="s">
        <v>750</v>
      </c>
      <c r="C202" s="39" t="s">
        <v>936</v>
      </c>
      <c r="D202" s="39" t="s">
        <v>1068</v>
      </c>
      <c r="E202" s="42" t="s">
        <v>246</v>
      </c>
      <c r="F202" s="43" t="s">
        <v>9</v>
      </c>
      <c r="G202" s="38" t="s">
        <v>10</v>
      </c>
      <c r="H202" s="79" t="s">
        <v>123</v>
      </c>
      <c r="I202" s="87">
        <v>0.50360000000000005</v>
      </c>
      <c r="J202" s="88">
        <v>0</v>
      </c>
      <c r="K202" s="89">
        <v>0</v>
      </c>
      <c r="L202" s="90">
        <v>14.988200000000001</v>
      </c>
      <c r="M202" s="89">
        <v>0</v>
      </c>
      <c r="N202" s="89">
        <v>0</v>
      </c>
      <c r="O202" s="109">
        <f>SUM(Table1[[#This Row],[2022]:[YTD 2024]])</f>
        <v>0.50360000000000005</v>
      </c>
      <c r="P202" s="219">
        <f>IFERROR(((Table1[[#This Row],[2023]]-Table1[[#This Row],[2022]])/Table1[[#This Row],[2022]]),0)</f>
        <v>-1</v>
      </c>
      <c r="Q202" s="219">
        <f>IFERROR(((Table1[[#This Row],[Volume 2023]]-Table1[[#This Row],[Volume 2022]])/Table1[[#This Row],[Volume 2022]]),0)</f>
        <v>-1</v>
      </c>
      <c r="R202" s="219">
        <f>Table1[[#This Row],[YoY growth]]-Table1[[#This Row],[Volume growth]]</f>
        <v>0</v>
      </c>
      <c r="S202" s="46"/>
    </row>
    <row r="203" spans="1:19" hidden="1" x14ac:dyDescent="0.25">
      <c r="A203" s="45"/>
      <c r="B203" s="41" t="s">
        <v>751</v>
      </c>
      <c r="C203" s="39" t="s">
        <v>937</v>
      </c>
      <c r="D203" s="39" t="s">
        <v>1069</v>
      </c>
      <c r="E203" s="42" t="s">
        <v>248</v>
      </c>
      <c r="F203" s="43" t="s">
        <v>9</v>
      </c>
      <c r="G203" s="38" t="s">
        <v>249</v>
      </c>
      <c r="H203" s="79" t="s">
        <v>11</v>
      </c>
      <c r="I203" s="87">
        <v>0.17610000000000001</v>
      </c>
      <c r="J203" s="88">
        <v>1.0699999999999999E-2</v>
      </c>
      <c r="K203" s="89">
        <v>0</v>
      </c>
      <c r="L203" s="90">
        <v>3.1602000000000001</v>
      </c>
      <c r="M203" s="89">
        <v>0.19450000000000001</v>
      </c>
      <c r="N203" s="89">
        <v>0</v>
      </c>
      <c r="O203" s="109">
        <f>SUM(Table1[[#This Row],[2022]:[YTD 2024]])</f>
        <v>0.18679999999999999</v>
      </c>
      <c r="P203" s="219">
        <f>IFERROR(((Table1[[#This Row],[2023]]-Table1[[#This Row],[2022]])/Table1[[#This Row],[2022]]),0)</f>
        <v>-0.93923906871095975</v>
      </c>
      <c r="Q203" s="219">
        <f>IFERROR(((Table1[[#This Row],[Volume 2023]]-Table1[[#This Row],[Volume 2022]])/Table1[[#This Row],[Volume 2022]]),0)</f>
        <v>-0.93845326245174354</v>
      </c>
      <c r="R203" s="219">
        <f>Table1[[#This Row],[YoY growth]]-Table1[[#This Row],[Volume growth]]</f>
        <v>-7.8580625921620406E-4</v>
      </c>
      <c r="S203" s="46"/>
    </row>
    <row r="204" spans="1:19" hidden="1" x14ac:dyDescent="0.25">
      <c r="A204" s="45"/>
      <c r="B204" s="41" t="s">
        <v>751</v>
      </c>
      <c r="C204" s="39" t="s">
        <v>937</v>
      </c>
      <c r="D204" s="39" t="s">
        <v>1069</v>
      </c>
      <c r="E204" s="42" t="s">
        <v>250</v>
      </c>
      <c r="F204" s="43" t="s">
        <v>9</v>
      </c>
      <c r="G204" s="38" t="s">
        <v>249</v>
      </c>
      <c r="H204" s="79" t="s">
        <v>11</v>
      </c>
      <c r="I204" s="87">
        <v>0.50239999999999996</v>
      </c>
      <c r="J204" s="88">
        <v>6.6451000000000002</v>
      </c>
      <c r="K204" s="89">
        <v>0</v>
      </c>
      <c r="L204" s="90">
        <v>10.56</v>
      </c>
      <c r="M204" s="89">
        <v>115.3312</v>
      </c>
      <c r="N204" s="89">
        <v>0</v>
      </c>
      <c r="O204" s="109">
        <f>SUM(Table1[[#This Row],[2022]:[YTD 2024]])</f>
        <v>7.1475</v>
      </c>
      <c r="P204" s="219">
        <f>IFERROR(((Table1[[#This Row],[2023]]-Table1[[#This Row],[2022]])/Table1[[#This Row],[2022]]),0)</f>
        <v>12.226711783439493</v>
      </c>
      <c r="Q204" s="219">
        <f>IFERROR(((Table1[[#This Row],[Volume 2023]]-Table1[[#This Row],[Volume 2022]])/Table1[[#This Row],[Volume 2022]]),0)</f>
        <v>9.9215151515151501</v>
      </c>
      <c r="R204" s="219">
        <f>Table1[[#This Row],[YoY growth]]-Table1[[#This Row],[Volume growth]]</f>
        <v>2.3051966319243427</v>
      </c>
      <c r="S204" s="46"/>
    </row>
    <row r="205" spans="1:19" hidden="1" x14ac:dyDescent="0.25">
      <c r="A205" s="45"/>
      <c r="B205" s="41" t="s">
        <v>751</v>
      </c>
      <c r="C205" s="39" t="s">
        <v>937</v>
      </c>
      <c r="D205" s="39" t="s">
        <v>1069</v>
      </c>
      <c r="E205" s="42" t="s">
        <v>251</v>
      </c>
      <c r="F205" s="43" t="s">
        <v>9</v>
      </c>
      <c r="G205" s="38" t="s">
        <v>249</v>
      </c>
      <c r="H205" s="79" t="s">
        <v>34</v>
      </c>
      <c r="I205" s="87">
        <v>0.31990000000000002</v>
      </c>
      <c r="J205" s="88">
        <v>0</v>
      </c>
      <c r="K205" s="89">
        <v>0</v>
      </c>
      <c r="L205" s="90">
        <v>7.3638000000000003</v>
      </c>
      <c r="M205" s="89">
        <v>0</v>
      </c>
      <c r="N205" s="89">
        <v>0</v>
      </c>
      <c r="O205" s="109">
        <f>SUM(Table1[[#This Row],[2022]:[YTD 2024]])</f>
        <v>0.31990000000000002</v>
      </c>
      <c r="P205" s="219">
        <f>IFERROR(((Table1[[#This Row],[2023]]-Table1[[#This Row],[2022]])/Table1[[#This Row],[2022]]),0)</f>
        <v>-1</v>
      </c>
      <c r="Q205" s="219">
        <f>IFERROR(((Table1[[#This Row],[Volume 2023]]-Table1[[#This Row],[Volume 2022]])/Table1[[#This Row],[Volume 2022]]),0)</f>
        <v>-1</v>
      </c>
      <c r="R205" s="219">
        <f>Table1[[#This Row],[YoY growth]]-Table1[[#This Row],[Volume growth]]</f>
        <v>0</v>
      </c>
      <c r="S205" s="46"/>
    </row>
    <row r="206" spans="1:19" hidden="1" x14ac:dyDescent="0.25">
      <c r="A206" s="45"/>
      <c r="B206" s="41" t="s">
        <v>751</v>
      </c>
      <c r="C206" s="39" t="s">
        <v>937</v>
      </c>
      <c r="D206" s="39" t="s">
        <v>1069</v>
      </c>
      <c r="E206" s="42" t="s">
        <v>252</v>
      </c>
      <c r="F206" s="43" t="s">
        <v>9</v>
      </c>
      <c r="G206" s="38" t="s">
        <v>249</v>
      </c>
      <c r="H206" s="79" t="s">
        <v>34</v>
      </c>
      <c r="I206" s="87">
        <v>3.0116000000000001</v>
      </c>
      <c r="J206" s="88">
        <v>0</v>
      </c>
      <c r="K206" s="89">
        <v>0</v>
      </c>
      <c r="L206" s="90">
        <v>62.468000000000004</v>
      </c>
      <c r="M206" s="89">
        <v>0</v>
      </c>
      <c r="N206" s="89">
        <v>0</v>
      </c>
      <c r="O206" s="109">
        <f>SUM(Table1[[#This Row],[2022]:[YTD 2024]])</f>
        <v>3.0116000000000001</v>
      </c>
      <c r="P206" s="219">
        <f>IFERROR(((Table1[[#This Row],[2023]]-Table1[[#This Row],[2022]])/Table1[[#This Row],[2022]]),0)</f>
        <v>-1</v>
      </c>
      <c r="Q206" s="219">
        <f>IFERROR(((Table1[[#This Row],[Volume 2023]]-Table1[[#This Row],[Volume 2022]])/Table1[[#This Row],[Volume 2022]]),0)</f>
        <v>-1</v>
      </c>
      <c r="R206" s="219">
        <f>Table1[[#This Row],[YoY growth]]-Table1[[#This Row],[Volume growth]]</f>
        <v>0</v>
      </c>
      <c r="S206" s="46"/>
    </row>
    <row r="207" spans="1:19" hidden="1" x14ac:dyDescent="0.25">
      <c r="A207" s="45"/>
      <c r="B207" s="41" t="s">
        <v>752</v>
      </c>
      <c r="C207" s="39" t="s">
        <v>938</v>
      </c>
      <c r="D207" s="39" t="s">
        <v>1070</v>
      </c>
      <c r="E207" s="42" t="s">
        <v>254</v>
      </c>
      <c r="F207" s="43" t="s">
        <v>9</v>
      </c>
      <c r="G207" s="38" t="s">
        <v>20</v>
      </c>
      <c r="H207" s="79" t="s">
        <v>13</v>
      </c>
      <c r="I207" s="87">
        <v>1.7111000000000001</v>
      </c>
      <c r="J207" s="88">
        <v>0.48920000000000002</v>
      </c>
      <c r="K207" s="89">
        <v>7.6600000000000001E-2</v>
      </c>
      <c r="L207" s="90">
        <v>14.330299999999999</v>
      </c>
      <c r="M207" s="89">
        <v>3.8454999999999999</v>
      </c>
      <c r="N207" s="89">
        <v>0.62309999999999999</v>
      </c>
      <c r="O207" s="109">
        <f>SUM(Table1[[#This Row],[2022]:[YTD 2024]])</f>
        <v>2.2768999999999999</v>
      </c>
      <c r="P207" s="219">
        <f>IFERROR(((Table1[[#This Row],[2023]]-Table1[[#This Row],[2022]])/Table1[[#This Row],[2022]]),0)</f>
        <v>-0.71410203962363383</v>
      </c>
      <c r="Q207" s="219">
        <f>IFERROR(((Table1[[#This Row],[Volume 2023]]-Table1[[#This Row],[Volume 2022]])/Table1[[#This Row],[Volume 2022]]),0)</f>
        <v>-0.73165251250846108</v>
      </c>
      <c r="R207" s="219">
        <f>Table1[[#This Row],[YoY growth]]-Table1[[#This Row],[Volume growth]]</f>
        <v>1.7550472884827251E-2</v>
      </c>
      <c r="S207" s="46"/>
    </row>
    <row r="208" spans="1:19" hidden="1" x14ac:dyDescent="0.25">
      <c r="A208" s="45"/>
      <c r="B208" s="41" t="s">
        <v>752</v>
      </c>
      <c r="C208" s="39" t="s">
        <v>938</v>
      </c>
      <c r="D208" s="39" t="s">
        <v>1070</v>
      </c>
      <c r="E208" s="42" t="s">
        <v>255</v>
      </c>
      <c r="F208" s="43" t="s">
        <v>9</v>
      </c>
      <c r="G208" s="38" t="s">
        <v>64</v>
      </c>
      <c r="H208" s="79" t="s">
        <v>256</v>
      </c>
      <c r="I208" s="87">
        <v>88.057900000000004</v>
      </c>
      <c r="J208" s="88">
        <v>26.767399999999999</v>
      </c>
      <c r="K208" s="89">
        <v>2.3372999999999999</v>
      </c>
      <c r="L208" s="90">
        <v>2166.7952</v>
      </c>
      <c r="M208" s="89">
        <v>614.64589999999998</v>
      </c>
      <c r="N208" s="89">
        <v>48.202599999999997</v>
      </c>
      <c r="O208" s="109">
        <f>SUM(Table1[[#This Row],[2022]:[YTD 2024]])</f>
        <v>117.1626</v>
      </c>
      <c r="P208" s="219">
        <f>IFERROR(((Table1[[#This Row],[2023]]-Table1[[#This Row],[2022]])/Table1[[#This Row],[2022]]),0)</f>
        <v>-0.69602500173181514</v>
      </c>
      <c r="Q208" s="219">
        <f>IFERROR(((Table1[[#This Row],[Volume 2023]]-Table1[[#This Row],[Volume 2022]])/Table1[[#This Row],[Volume 2022]]),0)</f>
        <v>-0.71633410485679494</v>
      </c>
      <c r="R208" s="219">
        <f>Table1[[#This Row],[YoY growth]]-Table1[[#This Row],[Volume growth]]</f>
        <v>2.0309103124979799E-2</v>
      </c>
      <c r="S208" s="46"/>
    </row>
    <row r="209" spans="1:19" hidden="1" x14ac:dyDescent="0.25">
      <c r="A209" s="45"/>
      <c r="B209" s="41" t="s">
        <v>752</v>
      </c>
      <c r="C209" s="39" t="s">
        <v>938</v>
      </c>
      <c r="D209" s="39" t="s">
        <v>1070</v>
      </c>
      <c r="E209" s="42" t="s">
        <v>257</v>
      </c>
      <c r="F209" s="43" t="s">
        <v>9</v>
      </c>
      <c r="G209" s="38" t="s">
        <v>10</v>
      </c>
      <c r="H209" s="79" t="s">
        <v>34</v>
      </c>
      <c r="I209" s="87">
        <v>1.0826</v>
      </c>
      <c r="J209" s="88">
        <v>0.79220000000000002</v>
      </c>
      <c r="K209" s="89">
        <v>0</v>
      </c>
      <c r="L209" s="90">
        <v>19.760000000000002</v>
      </c>
      <c r="M209" s="89">
        <v>17.024000000000001</v>
      </c>
      <c r="N209" s="89">
        <v>0</v>
      </c>
      <c r="O209" s="109">
        <f>SUM(Table1[[#This Row],[2022]:[YTD 2024]])</f>
        <v>1.8748</v>
      </c>
      <c r="P209" s="219">
        <f>IFERROR(((Table1[[#This Row],[2023]]-Table1[[#This Row],[2022]])/Table1[[#This Row],[2022]]),0)</f>
        <v>-0.26824311841862181</v>
      </c>
      <c r="Q209" s="219">
        <f>IFERROR(((Table1[[#This Row],[Volume 2023]]-Table1[[#This Row],[Volume 2022]])/Table1[[#This Row],[Volume 2022]]),0)</f>
        <v>-0.1384615384615385</v>
      </c>
      <c r="R209" s="219">
        <f>Table1[[#This Row],[YoY growth]]-Table1[[#This Row],[Volume growth]]</f>
        <v>-0.12978157995708331</v>
      </c>
      <c r="S209" s="46"/>
    </row>
    <row r="210" spans="1:19" hidden="1" x14ac:dyDescent="0.25">
      <c r="A210" s="45"/>
      <c r="B210" s="41" t="s">
        <v>752</v>
      </c>
      <c r="C210" s="39" t="s">
        <v>938</v>
      </c>
      <c r="D210" s="39" t="s">
        <v>1070</v>
      </c>
      <c r="E210" s="42" t="s">
        <v>258</v>
      </c>
      <c r="F210" s="43" t="s">
        <v>9</v>
      </c>
      <c r="G210" s="38" t="s">
        <v>20</v>
      </c>
      <c r="H210" s="79" t="s">
        <v>34</v>
      </c>
      <c r="I210" s="87">
        <v>0.44109999999999999</v>
      </c>
      <c r="J210" s="88">
        <v>0.41260000000000002</v>
      </c>
      <c r="K210" s="89">
        <v>4.5600000000000002E-2</v>
      </c>
      <c r="L210" s="90">
        <v>8.4567999999999994</v>
      </c>
      <c r="M210" s="89">
        <v>6.601</v>
      </c>
      <c r="N210" s="89">
        <v>0.72929999999999995</v>
      </c>
      <c r="O210" s="109">
        <f>SUM(Table1[[#This Row],[2022]:[YTD 2024]])</f>
        <v>0.89929999999999999</v>
      </c>
      <c r="P210" s="219">
        <f>IFERROR(((Table1[[#This Row],[2023]]-Table1[[#This Row],[2022]])/Table1[[#This Row],[2022]]),0)</f>
        <v>-6.4611199274540856E-2</v>
      </c>
      <c r="Q210" s="219">
        <f>IFERROR(((Table1[[#This Row],[Volume 2023]]-Table1[[#This Row],[Volume 2022]])/Table1[[#This Row],[Volume 2022]]),0)</f>
        <v>-0.21944470721786014</v>
      </c>
      <c r="R210" s="219">
        <f>Table1[[#This Row],[YoY growth]]-Table1[[#This Row],[Volume growth]]</f>
        <v>0.15483350794331929</v>
      </c>
      <c r="S210" s="46"/>
    </row>
    <row r="211" spans="1:19" hidden="1" x14ac:dyDescent="0.25">
      <c r="A211" s="45"/>
      <c r="B211" s="41" t="s">
        <v>752</v>
      </c>
      <c r="C211" s="39" t="s">
        <v>938</v>
      </c>
      <c r="D211" s="39" t="s">
        <v>1070</v>
      </c>
      <c r="E211" s="42" t="s">
        <v>259</v>
      </c>
      <c r="F211" s="43" t="s">
        <v>9</v>
      </c>
      <c r="G211" s="38" t="s">
        <v>64</v>
      </c>
      <c r="H211" s="79" t="s">
        <v>34</v>
      </c>
      <c r="I211" s="87">
        <v>2.1700000000000001E-2</v>
      </c>
      <c r="J211" s="88">
        <v>0</v>
      </c>
      <c r="K211" s="89">
        <v>0</v>
      </c>
      <c r="L211" s="90">
        <v>0.48470000000000002</v>
      </c>
      <c r="M211" s="89">
        <v>0</v>
      </c>
      <c r="N211" s="89">
        <v>0</v>
      </c>
      <c r="O211" s="109">
        <f>SUM(Table1[[#This Row],[2022]:[YTD 2024]])</f>
        <v>2.1700000000000001E-2</v>
      </c>
      <c r="P211" s="219">
        <f>IFERROR(((Table1[[#This Row],[2023]]-Table1[[#This Row],[2022]])/Table1[[#This Row],[2022]]),0)</f>
        <v>-1</v>
      </c>
      <c r="Q211" s="219">
        <f>IFERROR(((Table1[[#This Row],[Volume 2023]]-Table1[[#This Row],[Volume 2022]])/Table1[[#This Row],[Volume 2022]]),0)</f>
        <v>-1</v>
      </c>
      <c r="R211" s="219">
        <f>Table1[[#This Row],[YoY growth]]-Table1[[#This Row],[Volume growth]]</f>
        <v>0</v>
      </c>
      <c r="S211" s="46"/>
    </row>
    <row r="212" spans="1:19" hidden="1" x14ac:dyDescent="0.25">
      <c r="A212" s="45"/>
      <c r="B212" s="41" t="s">
        <v>752</v>
      </c>
      <c r="C212" s="39" t="s">
        <v>938</v>
      </c>
      <c r="D212" s="39" t="s">
        <v>1070</v>
      </c>
      <c r="E212" s="42" t="s">
        <v>260</v>
      </c>
      <c r="F212" s="43" t="s">
        <v>9</v>
      </c>
      <c r="G212" s="38" t="s">
        <v>20</v>
      </c>
      <c r="H212" s="79" t="s">
        <v>34</v>
      </c>
      <c r="I212" s="87">
        <v>1.675</v>
      </c>
      <c r="J212" s="88">
        <v>2.4634999999999998</v>
      </c>
      <c r="K212" s="89">
        <v>0.86060000000000003</v>
      </c>
      <c r="L212" s="90">
        <v>31.331099999999999</v>
      </c>
      <c r="M212" s="89">
        <v>43.584000000000003</v>
      </c>
      <c r="N212" s="89">
        <v>15.645899999999999</v>
      </c>
      <c r="O212" s="109">
        <f>SUM(Table1[[#This Row],[2022]:[YTD 2024]])</f>
        <v>4.9990999999999994</v>
      </c>
      <c r="P212" s="219">
        <f>IFERROR(((Table1[[#This Row],[2023]]-Table1[[#This Row],[2022]])/Table1[[#This Row],[2022]]),0)</f>
        <v>0.47074626865671626</v>
      </c>
      <c r="Q212" s="219">
        <f>IFERROR(((Table1[[#This Row],[Volume 2023]]-Table1[[#This Row],[Volume 2022]])/Table1[[#This Row],[Volume 2022]]),0)</f>
        <v>0.39107787469957977</v>
      </c>
      <c r="R212" s="219">
        <f>Table1[[#This Row],[YoY growth]]-Table1[[#This Row],[Volume growth]]</f>
        <v>7.9668393957136485E-2</v>
      </c>
      <c r="S212" s="46"/>
    </row>
    <row r="213" spans="1:19" hidden="1" x14ac:dyDescent="0.25">
      <c r="A213" s="45"/>
      <c r="B213" s="41" t="s">
        <v>752</v>
      </c>
      <c r="C213" s="39" t="s">
        <v>938</v>
      </c>
      <c r="D213" s="39" t="s">
        <v>1070</v>
      </c>
      <c r="E213" s="42" t="s">
        <v>261</v>
      </c>
      <c r="F213" s="43" t="s">
        <v>9</v>
      </c>
      <c r="G213" s="38" t="s">
        <v>20</v>
      </c>
      <c r="H213" s="79" t="s">
        <v>34</v>
      </c>
      <c r="I213" s="87">
        <v>9.3126999999999995</v>
      </c>
      <c r="J213" s="88">
        <v>6.4108999999999998</v>
      </c>
      <c r="K213" s="89">
        <v>5.0708000000000002</v>
      </c>
      <c r="L213" s="90">
        <v>206.11410000000001</v>
      </c>
      <c r="M213" s="89">
        <v>126.16</v>
      </c>
      <c r="N213" s="89">
        <v>101.6622</v>
      </c>
      <c r="O213" s="109">
        <f>SUM(Table1[[#This Row],[2022]:[YTD 2024]])</f>
        <v>20.7944</v>
      </c>
      <c r="P213" s="219">
        <f>IFERROR(((Table1[[#This Row],[2023]]-Table1[[#This Row],[2022]])/Table1[[#This Row],[2022]]),0)</f>
        <v>-0.31159599256928711</v>
      </c>
      <c r="Q213" s="219">
        <f>IFERROR(((Table1[[#This Row],[Volume 2023]]-Table1[[#This Row],[Volume 2022]])/Table1[[#This Row],[Volume 2022]]),0)</f>
        <v>-0.38791184106279003</v>
      </c>
      <c r="R213" s="219">
        <f>Table1[[#This Row],[YoY growth]]-Table1[[#This Row],[Volume growth]]</f>
        <v>7.6315848493502925E-2</v>
      </c>
      <c r="S213" s="46"/>
    </row>
    <row r="214" spans="1:19" hidden="1" x14ac:dyDescent="0.25">
      <c r="A214" s="45"/>
      <c r="B214" s="41" t="s">
        <v>752</v>
      </c>
      <c r="C214" s="39" t="s">
        <v>938</v>
      </c>
      <c r="D214" s="39" t="s">
        <v>1070</v>
      </c>
      <c r="E214" s="42" t="s">
        <v>262</v>
      </c>
      <c r="F214" s="43" t="s">
        <v>9</v>
      </c>
      <c r="G214" s="38" t="s">
        <v>20</v>
      </c>
      <c r="H214" s="79" t="s">
        <v>34</v>
      </c>
      <c r="I214" s="87">
        <v>11.1845</v>
      </c>
      <c r="J214" s="88">
        <v>11.7105</v>
      </c>
      <c r="K214" s="89">
        <v>3.9420000000000002</v>
      </c>
      <c r="L214" s="90">
        <v>216.30410000000001</v>
      </c>
      <c r="M214" s="89">
        <v>238.77709999999999</v>
      </c>
      <c r="N214" s="89">
        <v>77.523899999999998</v>
      </c>
      <c r="O214" s="109">
        <f>SUM(Table1[[#This Row],[2022]:[YTD 2024]])</f>
        <v>26.837</v>
      </c>
      <c r="P214" s="219">
        <f>IFERROR(((Table1[[#This Row],[2023]]-Table1[[#This Row],[2022]])/Table1[[#This Row],[2022]]),0)</f>
        <v>4.7029371004515159E-2</v>
      </c>
      <c r="Q214" s="219">
        <f>IFERROR(((Table1[[#This Row],[Volume 2023]]-Table1[[#This Row],[Volume 2022]])/Table1[[#This Row],[Volume 2022]]),0)</f>
        <v>0.1038953954178399</v>
      </c>
      <c r="R214" s="219">
        <f>Table1[[#This Row],[YoY growth]]-Table1[[#This Row],[Volume growth]]</f>
        <v>-5.6866024413324744E-2</v>
      </c>
      <c r="S214" s="46"/>
    </row>
    <row r="215" spans="1:19" hidden="1" x14ac:dyDescent="0.25">
      <c r="A215" s="45"/>
      <c r="B215" s="41" t="s">
        <v>753</v>
      </c>
      <c r="C215" s="39" t="s">
        <v>939</v>
      </c>
      <c r="D215" s="39" t="s">
        <v>1071</v>
      </c>
      <c r="E215" s="42" t="s">
        <v>264</v>
      </c>
      <c r="F215" s="43" t="s">
        <v>9</v>
      </c>
      <c r="G215" s="38" t="s">
        <v>69</v>
      </c>
      <c r="H215" s="79" t="s">
        <v>42</v>
      </c>
      <c r="I215" s="87">
        <v>6.6299999999999998E-2</v>
      </c>
      <c r="J215" s="88">
        <v>0.12959999999999999</v>
      </c>
      <c r="K215" s="89">
        <v>7.1499999999999994E-2</v>
      </c>
      <c r="L215" s="90">
        <v>0.504</v>
      </c>
      <c r="M215" s="89">
        <v>0.91539999999999999</v>
      </c>
      <c r="N215" s="89">
        <v>0.52459999999999996</v>
      </c>
      <c r="O215" s="109">
        <f>SUM(Table1[[#This Row],[2022]:[YTD 2024]])</f>
        <v>0.26739999999999997</v>
      </c>
      <c r="P215" s="219">
        <f>IFERROR(((Table1[[#This Row],[2023]]-Table1[[#This Row],[2022]])/Table1[[#This Row],[2022]]),0)</f>
        <v>0.9547511312217194</v>
      </c>
      <c r="Q215" s="219">
        <f>IFERROR(((Table1[[#This Row],[Volume 2023]]-Table1[[#This Row],[Volume 2022]])/Table1[[#This Row],[Volume 2022]]),0)</f>
        <v>0.81626984126984126</v>
      </c>
      <c r="R215" s="219">
        <f>Table1[[#This Row],[YoY growth]]-Table1[[#This Row],[Volume growth]]</f>
        <v>0.13848128995187814</v>
      </c>
      <c r="S215" s="46"/>
    </row>
    <row r="216" spans="1:19" hidden="1" x14ac:dyDescent="0.25">
      <c r="A216" s="45"/>
      <c r="B216" s="41" t="s">
        <v>754</v>
      </c>
      <c r="C216" s="39" t="s">
        <v>940</v>
      </c>
      <c r="D216" s="39" t="s">
        <v>1072</v>
      </c>
      <c r="E216" s="42" t="s">
        <v>266</v>
      </c>
      <c r="F216" s="43" t="s">
        <v>9</v>
      </c>
      <c r="G216" s="38" t="s">
        <v>10</v>
      </c>
      <c r="H216" s="79" t="s">
        <v>13</v>
      </c>
      <c r="I216" s="87">
        <v>0.61529999999999996</v>
      </c>
      <c r="J216" s="88">
        <v>0.502</v>
      </c>
      <c r="K216" s="89">
        <v>4.99E-2</v>
      </c>
      <c r="L216" s="90">
        <v>4.0616000000000003</v>
      </c>
      <c r="M216" s="89">
        <v>3.2562000000000002</v>
      </c>
      <c r="N216" s="89">
        <v>0.25269999999999998</v>
      </c>
      <c r="O216" s="109">
        <f>SUM(Table1[[#This Row],[2022]:[YTD 2024]])</f>
        <v>1.1672</v>
      </c>
      <c r="P216" s="219">
        <f>IFERROR(((Table1[[#This Row],[2023]]-Table1[[#This Row],[2022]])/Table1[[#This Row],[2022]]),0)</f>
        <v>-0.18413781895010559</v>
      </c>
      <c r="Q216" s="219">
        <f>IFERROR(((Table1[[#This Row],[Volume 2023]]-Table1[[#This Row],[Volume 2022]])/Table1[[#This Row],[Volume 2022]]),0)</f>
        <v>-0.19829623793578888</v>
      </c>
      <c r="R216" s="219">
        <f>Table1[[#This Row],[YoY growth]]-Table1[[#This Row],[Volume growth]]</f>
        <v>1.4158418985683291E-2</v>
      </c>
      <c r="S216" s="46"/>
    </row>
    <row r="217" spans="1:19" hidden="1" x14ac:dyDescent="0.25">
      <c r="A217" s="45"/>
      <c r="B217" s="41" t="s">
        <v>754</v>
      </c>
      <c r="C217" s="39" t="s">
        <v>940</v>
      </c>
      <c r="D217" s="39" t="s">
        <v>1072</v>
      </c>
      <c r="E217" s="42" t="s">
        <v>267</v>
      </c>
      <c r="F217" s="43" t="s">
        <v>9</v>
      </c>
      <c r="G217" s="38" t="s">
        <v>10</v>
      </c>
      <c r="H217" s="79" t="s">
        <v>268</v>
      </c>
      <c r="I217" s="87">
        <v>18.4224</v>
      </c>
      <c r="J217" s="88">
        <v>21.849599999999999</v>
      </c>
      <c r="K217" s="89">
        <v>15.9329</v>
      </c>
      <c r="L217" s="90">
        <v>154.90440000000001</v>
      </c>
      <c r="M217" s="89">
        <v>191.65379999999999</v>
      </c>
      <c r="N217" s="89">
        <v>151.1</v>
      </c>
      <c r="O217" s="109">
        <f>SUM(Table1[[#This Row],[2022]:[YTD 2024]])</f>
        <v>56.204899999999995</v>
      </c>
      <c r="P217" s="219">
        <f>IFERROR(((Table1[[#This Row],[2023]]-Table1[[#This Row],[2022]])/Table1[[#This Row],[2022]]),0)</f>
        <v>0.18603439291297547</v>
      </c>
      <c r="Q217" s="219">
        <f>IFERROR(((Table1[[#This Row],[Volume 2023]]-Table1[[#This Row],[Volume 2022]])/Table1[[#This Row],[Volume 2022]]),0)</f>
        <v>0.2372392262582598</v>
      </c>
      <c r="R217" s="219">
        <f>Table1[[#This Row],[YoY growth]]-Table1[[#This Row],[Volume growth]]</f>
        <v>-5.1204833345284334E-2</v>
      </c>
      <c r="S217" s="46"/>
    </row>
    <row r="218" spans="1:19" hidden="1" x14ac:dyDescent="0.25">
      <c r="A218" s="45"/>
      <c r="B218" s="41" t="s">
        <v>754</v>
      </c>
      <c r="C218" s="39" t="s">
        <v>940</v>
      </c>
      <c r="D218" s="39" t="s">
        <v>1072</v>
      </c>
      <c r="E218" s="42" t="s">
        <v>269</v>
      </c>
      <c r="F218" s="43" t="s">
        <v>9</v>
      </c>
      <c r="G218" s="38" t="s">
        <v>10</v>
      </c>
      <c r="H218" s="79" t="s">
        <v>270</v>
      </c>
      <c r="I218" s="87">
        <v>1.851</v>
      </c>
      <c r="J218" s="88">
        <v>2.4146999999999998</v>
      </c>
      <c r="K218" s="89">
        <v>0.80920000000000003</v>
      </c>
      <c r="L218" s="90">
        <v>10.083500000000001</v>
      </c>
      <c r="M218" s="89">
        <v>14.928100000000001</v>
      </c>
      <c r="N218" s="89">
        <v>5.5830000000000002</v>
      </c>
      <c r="O218" s="109">
        <f>SUM(Table1[[#This Row],[2022]:[YTD 2024]])</f>
        <v>5.0748999999999995</v>
      </c>
      <c r="P218" s="219">
        <f>IFERROR(((Table1[[#This Row],[2023]]-Table1[[#This Row],[2022]])/Table1[[#This Row],[2022]]),0)</f>
        <v>0.30453808752025924</v>
      </c>
      <c r="Q218" s="219">
        <f>IFERROR(((Table1[[#This Row],[Volume 2023]]-Table1[[#This Row],[Volume 2022]])/Table1[[#This Row],[Volume 2022]]),0)</f>
        <v>0.48044825705360233</v>
      </c>
      <c r="R218" s="219">
        <f>Table1[[#This Row],[YoY growth]]-Table1[[#This Row],[Volume growth]]</f>
        <v>-0.1759101695333431</v>
      </c>
      <c r="S218" s="46"/>
    </row>
    <row r="219" spans="1:19" x14ac:dyDescent="0.25">
      <c r="A219" s="45"/>
      <c r="B219" s="41" t="s">
        <v>791</v>
      </c>
      <c r="C219" s="39" t="s">
        <v>985</v>
      </c>
      <c r="D219" s="39" t="s">
        <v>1112</v>
      </c>
      <c r="E219" s="42" t="s">
        <v>547</v>
      </c>
      <c r="F219" s="43" t="s">
        <v>9</v>
      </c>
      <c r="G219" s="38" t="s">
        <v>64</v>
      </c>
      <c r="H219" s="79" t="s">
        <v>17</v>
      </c>
      <c r="I219" s="87">
        <v>228.9504</v>
      </c>
      <c r="J219" s="88">
        <v>220.107</v>
      </c>
      <c r="K219" s="89">
        <v>99.616699999999994</v>
      </c>
      <c r="L219" s="90">
        <v>6068.1558999999997</v>
      </c>
      <c r="M219" s="89">
        <v>5788.4287000000004</v>
      </c>
      <c r="N219" s="89">
        <v>2377.8838000000001</v>
      </c>
      <c r="O219" s="109">
        <f>SUM(Table1[[#This Row],[2022]:[YTD 2024]])</f>
        <v>548.67410000000007</v>
      </c>
      <c r="P219" s="219">
        <f>IFERROR(((Table1[[#This Row],[2023]]-Table1[[#This Row],[2022]])/Table1[[#This Row],[2022]]),0)</f>
        <v>-3.8625833368275408E-2</v>
      </c>
      <c r="Q219" s="219">
        <f>IFERROR(((Table1[[#This Row],[Volume 2023]]-Table1[[#This Row],[Volume 2022]])/Table1[[#This Row],[Volume 2022]]),0)</f>
        <v>-4.6097563182251028E-2</v>
      </c>
      <c r="R219" s="219">
        <f>Table1[[#This Row],[YoY growth]]-Table1[[#This Row],[Volume growth]]</f>
        <v>7.4717298139756194E-3</v>
      </c>
      <c r="S219" s="46"/>
    </row>
    <row r="220" spans="1:19" hidden="1" x14ac:dyDescent="0.25">
      <c r="A220" s="45"/>
      <c r="B220" s="41" t="s">
        <v>754</v>
      </c>
      <c r="C220" s="39" t="s">
        <v>940</v>
      </c>
      <c r="D220" s="39" t="s">
        <v>1072</v>
      </c>
      <c r="E220" s="42" t="s">
        <v>272</v>
      </c>
      <c r="F220" s="43" t="s">
        <v>9</v>
      </c>
      <c r="G220" s="38" t="s">
        <v>10</v>
      </c>
      <c r="H220" s="79" t="s">
        <v>99</v>
      </c>
      <c r="I220" s="87">
        <v>1.278</v>
      </c>
      <c r="J220" s="88">
        <v>13.6012</v>
      </c>
      <c r="K220" s="89">
        <v>11.1342</v>
      </c>
      <c r="L220" s="90">
        <v>10.3644</v>
      </c>
      <c r="M220" s="89">
        <v>118.5029</v>
      </c>
      <c r="N220" s="89">
        <v>94.131399999999999</v>
      </c>
      <c r="O220" s="109">
        <f>SUM(Table1[[#This Row],[2022]:[YTD 2024]])</f>
        <v>26.013400000000001</v>
      </c>
      <c r="P220" s="219">
        <f>IFERROR(((Table1[[#This Row],[2023]]-Table1[[#This Row],[2022]])/Table1[[#This Row],[2022]]),0)</f>
        <v>9.6425665101721432</v>
      </c>
      <c r="Q220" s="219">
        <f>IFERROR(((Table1[[#This Row],[Volume 2023]]-Table1[[#This Row],[Volume 2022]])/Table1[[#This Row],[Volume 2022]]),0)</f>
        <v>10.433647871560341</v>
      </c>
      <c r="R220" s="219">
        <f>Table1[[#This Row],[YoY growth]]-Table1[[#This Row],[Volume growth]]</f>
        <v>-0.79108136138819773</v>
      </c>
      <c r="S220" s="46"/>
    </row>
    <row r="221" spans="1:19" hidden="1" x14ac:dyDescent="0.25">
      <c r="A221" s="45"/>
      <c r="B221" s="41" t="s">
        <v>755</v>
      </c>
      <c r="C221" s="39" t="s">
        <v>941</v>
      </c>
      <c r="D221" s="39" t="s">
        <v>1073</v>
      </c>
      <c r="E221" s="42" t="s">
        <v>822</v>
      </c>
      <c r="F221" s="43" t="s">
        <v>9</v>
      </c>
      <c r="G221" s="38" t="s">
        <v>10</v>
      </c>
      <c r="H221" s="79" t="s">
        <v>34</v>
      </c>
      <c r="I221" s="87">
        <v>0</v>
      </c>
      <c r="J221" s="88">
        <v>0.2286</v>
      </c>
      <c r="K221" s="89">
        <v>8.4099999999999994E-2</v>
      </c>
      <c r="L221" s="90">
        <v>0</v>
      </c>
      <c r="M221" s="89">
        <v>3.6671999999999998</v>
      </c>
      <c r="N221" s="89">
        <v>1.3489</v>
      </c>
      <c r="O221" s="109">
        <f>SUM(Table1[[#This Row],[2022]:[YTD 2024]])</f>
        <v>0.31269999999999998</v>
      </c>
      <c r="P221" s="219">
        <f>IFERROR(((Table1[[#This Row],[2023]]-Table1[[#This Row],[2022]])/Table1[[#This Row],[2022]]),0)</f>
        <v>0</v>
      </c>
      <c r="Q221" s="219">
        <f>IFERROR(((Table1[[#This Row],[Volume 2023]]-Table1[[#This Row],[Volume 2022]])/Table1[[#This Row],[Volume 2022]]),0)</f>
        <v>0</v>
      </c>
      <c r="R221" s="219">
        <f>Table1[[#This Row],[YoY growth]]-Table1[[#This Row],[Volume growth]]</f>
        <v>0</v>
      </c>
      <c r="S221" s="46"/>
    </row>
    <row r="222" spans="1:19" hidden="1" x14ac:dyDescent="0.25">
      <c r="A222" s="45"/>
      <c r="B222" s="41" t="s">
        <v>755</v>
      </c>
      <c r="C222" s="39" t="s">
        <v>942</v>
      </c>
      <c r="D222" s="39" t="s">
        <v>1073</v>
      </c>
      <c r="E222" s="42" t="s">
        <v>275</v>
      </c>
      <c r="F222" s="43" t="s">
        <v>9</v>
      </c>
      <c r="G222" s="38" t="s">
        <v>10</v>
      </c>
      <c r="H222" s="79" t="s">
        <v>34</v>
      </c>
      <c r="I222" s="87">
        <v>0</v>
      </c>
      <c r="J222" s="88">
        <v>0.22009999999999999</v>
      </c>
      <c r="K222" s="89">
        <v>0.1012</v>
      </c>
      <c r="L222" s="90">
        <v>0</v>
      </c>
      <c r="M222" s="89">
        <v>3.5211000000000001</v>
      </c>
      <c r="N222" s="89">
        <v>1.6187</v>
      </c>
      <c r="O222" s="109">
        <f>SUM(Table1[[#This Row],[2022]:[YTD 2024]])</f>
        <v>0.32129999999999997</v>
      </c>
      <c r="P222" s="219">
        <f>IFERROR(((Table1[[#This Row],[2023]]-Table1[[#This Row],[2022]])/Table1[[#This Row],[2022]]),0)</f>
        <v>0</v>
      </c>
      <c r="Q222" s="219">
        <f>IFERROR(((Table1[[#This Row],[Volume 2023]]-Table1[[#This Row],[Volume 2022]])/Table1[[#This Row],[Volume 2022]]),0)</f>
        <v>0</v>
      </c>
      <c r="R222" s="219">
        <f>Table1[[#This Row],[YoY growth]]-Table1[[#This Row],[Volume growth]]</f>
        <v>0</v>
      </c>
      <c r="S222" s="46"/>
    </row>
    <row r="223" spans="1:19" hidden="1" x14ac:dyDescent="0.25">
      <c r="A223" s="45"/>
      <c r="B223" s="41" t="s">
        <v>756</v>
      </c>
      <c r="C223" s="39" t="s">
        <v>943</v>
      </c>
      <c r="D223" s="39" t="s">
        <v>1074</v>
      </c>
      <c r="E223" s="42" t="s">
        <v>277</v>
      </c>
      <c r="F223" s="43" t="s">
        <v>9</v>
      </c>
      <c r="G223" s="38" t="s">
        <v>249</v>
      </c>
      <c r="H223" s="79" t="s">
        <v>11</v>
      </c>
      <c r="I223" s="87">
        <v>0.3851</v>
      </c>
      <c r="J223" s="88">
        <v>0.10680000000000001</v>
      </c>
      <c r="K223" s="89">
        <v>0</v>
      </c>
      <c r="L223" s="90">
        <v>4.9682000000000004</v>
      </c>
      <c r="M223" s="89">
        <v>1.3105</v>
      </c>
      <c r="N223" s="89">
        <v>0</v>
      </c>
      <c r="O223" s="109">
        <f>SUM(Table1[[#This Row],[2022]:[YTD 2024]])</f>
        <v>0.4919</v>
      </c>
      <c r="P223" s="219">
        <f>IFERROR(((Table1[[#This Row],[2023]]-Table1[[#This Row],[2022]])/Table1[[#This Row],[2022]]),0)</f>
        <v>-0.72266943650999738</v>
      </c>
      <c r="Q223" s="219">
        <f>IFERROR(((Table1[[#This Row],[Volume 2023]]-Table1[[#This Row],[Volume 2022]])/Table1[[#This Row],[Volume 2022]]),0)</f>
        <v>-0.73622237430055149</v>
      </c>
      <c r="R223" s="219">
        <f>Table1[[#This Row],[YoY growth]]-Table1[[#This Row],[Volume growth]]</f>
        <v>1.3552937790554109E-2</v>
      </c>
      <c r="S223" s="46"/>
    </row>
    <row r="224" spans="1:19" hidden="1" x14ac:dyDescent="0.25">
      <c r="A224" s="45"/>
      <c r="B224" s="41" t="s">
        <v>756</v>
      </c>
      <c r="C224" s="39" t="s">
        <v>943</v>
      </c>
      <c r="D224" s="39" t="s">
        <v>1074</v>
      </c>
      <c r="E224" s="42" t="s">
        <v>278</v>
      </c>
      <c r="F224" s="43" t="s">
        <v>9</v>
      </c>
      <c r="G224" s="38" t="s">
        <v>64</v>
      </c>
      <c r="H224" s="79" t="s">
        <v>34</v>
      </c>
      <c r="I224" s="87">
        <v>1.0960000000000001</v>
      </c>
      <c r="J224" s="88">
        <v>0.3664</v>
      </c>
      <c r="K224" s="89">
        <v>5.7799999999999997E-2</v>
      </c>
      <c r="L224" s="90">
        <v>13.8332</v>
      </c>
      <c r="M224" s="89">
        <v>3.4159999999999999</v>
      </c>
      <c r="N224" s="89">
        <v>0.48</v>
      </c>
      <c r="O224" s="109">
        <f>SUM(Table1[[#This Row],[2022]:[YTD 2024]])</f>
        <v>1.5202000000000002</v>
      </c>
      <c r="P224" s="219">
        <f>IFERROR(((Table1[[#This Row],[2023]]-Table1[[#This Row],[2022]])/Table1[[#This Row],[2022]]),0)</f>
        <v>-0.66569343065693432</v>
      </c>
      <c r="Q224" s="219">
        <f>IFERROR(((Table1[[#This Row],[Volume 2023]]-Table1[[#This Row],[Volume 2022]])/Table1[[#This Row],[Volume 2022]]),0)</f>
        <v>-0.75305786079865822</v>
      </c>
      <c r="R224" s="219">
        <f>Table1[[#This Row],[YoY growth]]-Table1[[#This Row],[Volume growth]]</f>
        <v>8.7364430141723903E-2</v>
      </c>
      <c r="S224" s="46"/>
    </row>
    <row r="225" spans="1:19" hidden="1" x14ac:dyDescent="0.25">
      <c r="A225" s="45"/>
      <c r="B225" s="41" t="s">
        <v>756</v>
      </c>
      <c r="C225" s="39" t="s">
        <v>943</v>
      </c>
      <c r="D225" s="39" t="s">
        <v>1074</v>
      </c>
      <c r="E225" s="42" t="s">
        <v>279</v>
      </c>
      <c r="F225" s="43" t="s">
        <v>9</v>
      </c>
      <c r="G225" s="38" t="s">
        <v>64</v>
      </c>
      <c r="H225" s="79" t="s">
        <v>34</v>
      </c>
      <c r="I225" s="87">
        <v>8.1957000000000004</v>
      </c>
      <c r="J225" s="88">
        <v>0.14119999999999999</v>
      </c>
      <c r="K225" s="89">
        <v>1.1000000000000001E-3</v>
      </c>
      <c r="L225" s="90">
        <v>213.62710000000001</v>
      </c>
      <c r="M225" s="89">
        <v>2.6021999999999998</v>
      </c>
      <c r="N225" s="89">
        <v>1.6E-2</v>
      </c>
      <c r="O225" s="109">
        <f>SUM(Table1[[#This Row],[2022]:[YTD 2024]])</f>
        <v>8.3379999999999992</v>
      </c>
      <c r="P225" s="219">
        <f>IFERROR(((Table1[[#This Row],[2023]]-Table1[[#This Row],[2022]])/Table1[[#This Row],[2022]]),0)</f>
        <v>-0.98277145332308413</v>
      </c>
      <c r="Q225" s="219">
        <f>IFERROR(((Table1[[#This Row],[Volume 2023]]-Table1[[#This Row],[Volume 2022]])/Table1[[#This Row],[Volume 2022]]),0)</f>
        <v>-0.98781896117112478</v>
      </c>
      <c r="R225" s="219">
        <f>Table1[[#This Row],[YoY growth]]-Table1[[#This Row],[Volume growth]]</f>
        <v>5.0475078480406443E-3</v>
      </c>
      <c r="S225" s="46"/>
    </row>
    <row r="226" spans="1:19" hidden="1" x14ac:dyDescent="0.25">
      <c r="A226" s="45"/>
      <c r="B226" s="41" t="s">
        <v>756</v>
      </c>
      <c r="C226" s="39" t="s">
        <v>943</v>
      </c>
      <c r="D226" s="39" t="s">
        <v>1074</v>
      </c>
      <c r="E226" s="42" t="s">
        <v>280</v>
      </c>
      <c r="F226" s="43" t="s">
        <v>9</v>
      </c>
      <c r="G226" s="38" t="s">
        <v>249</v>
      </c>
      <c r="H226" s="79" t="s">
        <v>34</v>
      </c>
      <c r="I226" s="87">
        <v>2.8999999999999998E-3</v>
      </c>
      <c r="J226" s="88">
        <v>0</v>
      </c>
      <c r="K226" s="89">
        <v>0</v>
      </c>
      <c r="L226" s="90">
        <v>0.17960000000000001</v>
      </c>
      <c r="M226" s="89">
        <v>0</v>
      </c>
      <c r="N226" s="89">
        <v>0</v>
      </c>
      <c r="O226" s="109">
        <f>SUM(Table1[[#This Row],[2022]:[YTD 2024]])</f>
        <v>2.8999999999999998E-3</v>
      </c>
      <c r="P226" s="219">
        <f>IFERROR(((Table1[[#This Row],[2023]]-Table1[[#This Row],[2022]])/Table1[[#This Row],[2022]]),0)</f>
        <v>-1</v>
      </c>
      <c r="Q226" s="219">
        <f>IFERROR(((Table1[[#This Row],[Volume 2023]]-Table1[[#This Row],[Volume 2022]])/Table1[[#This Row],[Volume 2022]]),0)</f>
        <v>-1</v>
      </c>
      <c r="R226" s="219">
        <f>Table1[[#This Row],[YoY growth]]-Table1[[#This Row],[Volume growth]]</f>
        <v>0</v>
      </c>
      <c r="S226" s="46"/>
    </row>
    <row r="227" spans="1:19" hidden="1" x14ac:dyDescent="0.25">
      <c r="A227" s="45"/>
      <c r="B227" s="41" t="s">
        <v>756</v>
      </c>
      <c r="C227" s="39" t="s">
        <v>943</v>
      </c>
      <c r="D227" s="39" t="s">
        <v>1074</v>
      </c>
      <c r="E227" s="42" t="s">
        <v>281</v>
      </c>
      <c r="F227" s="43" t="s">
        <v>9</v>
      </c>
      <c r="G227" s="38" t="s">
        <v>249</v>
      </c>
      <c r="H227" s="79" t="s">
        <v>34</v>
      </c>
      <c r="I227" s="87">
        <v>0</v>
      </c>
      <c r="J227" s="88">
        <v>0</v>
      </c>
      <c r="K227" s="89">
        <v>0</v>
      </c>
      <c r="L227" s="90">
        <v>0</v>
      </c>
      <c r="M227" s="89">
        <v>0</v>
      </c>
      <c r="N227" s="89">
        <v>0</v>
      </c>
      <c r="O227" s="109">
        <f>SUM(Table1[[#This Row],[2022]:[YTD 2024]])</f>
        <v>0</v>
      </c>
      <c r="P227" s="219">
        <f>IFERROR(((Table1[[#This Row],[2023]]-Table1[[#This Row],[2022]])/Table1[[#This Row],[2022]]),0)</f>
        <v>0</v>
      </c>
      <c r="Q227" s="219">
        <f>IFERROR(((Table1[[#This Row],[Volume 2023]]-Table1[[#This Row],[Volume 2022]])/Table1[[#This Row],[Volume 2022]]),0)</f>
        <v>0</v>
      </c>
      <c r="R227" s="219">
        <f>Table1[[#This Row],[YoY growth]]-Table1[[#This Row],[Volume growth]]</f>
        <v>0</v>
      </c>
      <c r="S227" s="46"/>
    </row>
    <row r="228" spans="1:19" hidden="1" x14ac:dyDescent="0.25">
      <c r="A228" s="45"/>
      <c r="B228" s="41" t="s">
        <v>756</v>
      </c>
      <c r="C228" s="39" t="s">
        <v>943</v>
      </c>
      <c r="D228" s="39" t="s">
        <v>1074</v>
      </c>
      <c r="E228" s="42" t="s">
        <v>282</v>
      </c>
      <c r="F228" s="43" t="s">
        <v>9</v>
      </c>
      <c r="G228" s="38" t="s">
        <v>10</v>
      </c>
      <c r="H228" s="79" t="s">
        <v>34</v>
      </c>
      <c r="I228" s="87">
        <v>0.22670000000000001</v>
      </c>
      <c r="J228" s="88">
        <v>0</v>
      </c>
      <c r="K228" s="89">
        <v>0</v>
      </c>
      <c r="L228" s="90">
        <v>4.5189000000000004</v>
      </c>
      <c r="M228" s="89">
        <v>0</v>
      </c>
      <c r="N228" s="89">
        <v>0</v>
      </c>
      <c r="O228" s="109">
        <f>SUM(Table1[[#This Row],[2022]:[YTD 2024]])</f>
        <v>0.22670000000000001</v>
      </c>
      <c r="P228" s="219">
        <f>IFERROR(((Table1[[#This Row],[2023]]-Table1[[#This Row],[2022]])/Table1[[#This Row],[2022]]),0)</f>
        <v>-1</v>
      </c>
      <c r="Q228" s="219">
        <f>IFERROR(((Table1[[#This Row],[Volume 2023]]-Table1[[#This Row],[Volume 2022]])/Table1[[#This Row],[Volume 2022]]),0)</f>
        <v>-1</v>
      </c>
      <c r="R228" s="219">
        <f>Table1[[#This Row],[YoY growth]]-Table1[[#This Row],[Volume growth]]</f>
        <v>0</v>
      </c>
      <c r="S228" s="46"/>
    </row>
    <row r="229" spans="1:19" hidden="1" x14ac:dyDescent="0.25">
      <c r="A229" s="45"/>
      <c r="B229" s="41" t="s">
        <v>756</v>
      </c>
      <c r="C229" s="39" t="s">
        <v>943</v>
      </c>
      <c r="D229" s="39" t="s">
        <v>1074</v>
      </c>
      <c r="E229" s="42" t="s">
        <v>283</v>
      </c>
      <c r="F229" s="43" t="s">
        <v>9</v>
      </c>
      <c r="G229" s="38" t="s">
        <v>249</v>
      </c>
      <c r="H229" s="79" t="s">
        <v>42</v>
      </c>
      <c r="I229" s="87">
        <v>24.499500000000001</v>
      </c>
      <c r="J229" s="88">
        <v>1.3658999999999999</v>
      </c>
      <c r="K229" s="89">
        <v>5.9999999999999995E-4</v>
      </c>
      <c r="L229" s="90">
        <v>789.96360000000004</v>
      </c>
      <c r="M229" s="89">
        <v>36.531500000000001</v>
      </c>
      <c r="N229" s="89">
        <v>2.06E-2</v>
      </c>
      <c r="O229" s="109">
        <f>SUM(Table1[[#This Row],[2022]:[YTD 2024]])</f>
        <v>25.866</v>
      </c>
      <c r="P229" s="219">
        <f>IFERROR(((Table1[[#This Row],[2023]]-Table1[[#This Row],[2022]])/Table1[[#This Row],[2022]]),0)</f>
        <v>-0.94424784179268961</v>
      </c>
      <c r="Q229" s="219">
        <f>IFERROR(((Table1[[#This Row],[Volume 2023]]-Table1[[#This Row],[Volume 2022]])/Table1[[#This Row],[Volume 2022]]),0)</f>
        <v>-0.95375546417581769</v>
      </c>
      <c r="R229" s="219">
        <f>Table1[[#This Row],[YoY growth]]-Table1[[#This Row],[Volume growth]]</f>
        <v>9.5076223831280782E-3</v>
      </c>
      <c r="S229" s="46"/>
    </row>
    <row r="230" spans="1:19" hidden="1" x14ac:dyDescent="0.25">
      <c r="A230" s="45"/>
      <c r="B230" s="41" t="s">
        <v>756</v>
      </c>
      <c r="C230" s="39" t="s">
        <v>943</v>
      </c>
      <c r="D230" s="39" t="s">
        <v>1074</v>
      </c>
      <c r="E230" s="42" t="s">
        <v>284</v>
      </c>
      <c r="F230" s="43" t="s">
        <v>9</v>
      </c>
      <c r="G230" s="38" t="s">
        <v>64</v>
      </c>
      <c r="H230" s="79" t="s">
        <v>42</v>
      </c>
      <c r="I230" s="87">
        <v>0</v>
      </c>
      <c r="J230" s="88">
        <v>2.8000000000000001E-2</v>
      </c>
      <c r="K230" s="89">
        <v>0</v>
      </c>
      <c r="L230" s="90">
        <v>0</v>
      </c>
      <c r="M230" s="89">
        <v>0.80640000000000001</v>
      </c>
      <c r="N230" s="89">
        <v>0</v>
      </c>
      <c r="O230" s="109">
        <f>SUM(Table1[[#This Row],[2022]:[YTD 2024]])</f>
        <v>2.8000000000000001E-2</v>
      </c>
      <c r="P230" s="219">
        <f>IFERROR(((Table1[[#This Row],[2023]]-Table1[[#This Row],[2022]])/Table1[[#This Row],[2022]]),0)</f>
        <v>0</v>
      </c>
      <c r="Q230" s="219">
        <f>IFERROR(((Table1[[#This Row],[Volume 2023]]-Table1[[#This Row],[Volume 2022]])/Table1[[#This Row],[Volume 2022]]),0)</f>
        <v>0</v>
      </c>
      <c r="R230" s="219">
        <f>Table1[[#This Row],[YoY growth]]-Table1[[#This Row],[Volume growth]]</f>
        <v>0</v>
      </c>
      <c r="S230" s="46"/>
    </row>
    <row r="231" spans="1:19" hidden="1" x14ac:dyDescent="0.25">
      <c r="A231" s="45"/>
      <c r="B231" s="41" t="s">
        <v>757</v>
      </c>
      <c r="C231" s="39" t="s">
        <v>944</v>
      </c>
      <c r="D231" s="39" t="s">
        <v>1075</v>
      </c>
      <c r="E231" s="42" t="s">
        <v>286</v>
      </c>
      <c r="F231" s="43" t="s">
        <v>9</v>
      </c>
      <c r="G231" s="38" t="s">
        <v>20</v>
      </c>
      <c r="H231" s="79" t="s">
        <v>42</v>
      </c>
      <c r="I231" s="87">
        <v>0</v>
      </c>
      <c r="J231" s="88">
        <v>10.2052</v>
      </c>
      <c r="K231" s="89">
        <v>14.4321</v>
      </c>
      <c r="L231" s="90">
        <v>0</v>
      </c>
      <c r="M231" s="89">
        <v>569.2527</v>
      </c>
      <c r="N231" s="89">
        <v>716.4248</v>
      </c>
      <c r="O231" s="109">
        <f>SUM(Table1[[#This Row],[2022]:[YTD 2024]])</f>
        <v>24.6373</v>
      </c>
      <c r="P231" s="219">
        <f>IFERROR(((Table1[[#This Row],[2023]]-Table1[[#This Row],[2022]])/Table1[[#This Row],[2022]]),0)</f>
        <v>0</v>
      </c>
      <c r="Q231" s="219">
        <f>IFERROR(((Table1[[#This Row],[Volume 2023]]-Table1[[#This Row],[Volume 2022]])/Table1[[#This Row],[Volume 2022]]),0)</f>
        <v>0</v>
      </c>
      <c r="R231" s="219">
        <f>Table1[[#This Row],[YoY growth]]-Table1[[#This Row],[Volume growth]]</f>
        <v>0</v>
      </c>
      <c r="S231" s="46"/>
    </row>
    <row r="232" spans="1:19" ht="24.75" hidden="1" x14ac:dyDescent="0.25">
      <c r="A232" s="45"/>
      <c r="B232" s="41" t="s">
        <v>758</v>
      </c>
      <c r="C232" s="39" t="s">
        <v>945</v>
      </c>
      <c r="D232" s="39" t="s">
        <v>1076</v>
      </c>
      <c r="E232" s="42" t="s">
        <v>288</v>
      </c>
      <c r="F232" s="43" t="s">
        <v>9</v>
      </c>
      <c r="G232" s="38" t="s">
        <v>20</v>
      </c>
      <c r="H232" s="79" t="s">
        <v>42</v>
      </c>
      <c r="I232" s="87">
        <v>0</v>
      </c>
      <c r="J232" s="88">
        <v>0</v>
      </c>
      <c r="K232" s="89">
        <v>0</v>
      </c>
      <c r="L232" s="90">
        <v>0</v>
      </c>
      <c r="M232" s="89">
        <v>0</v>
      </c>
      <c r="N232" s="89">
        <v>0</v>
      </c>
      <c r="O232" s="109">
        <f>SUM(Table1[[#This Row],[2022]:[YTD 2024]])</f>
        <v>0</v>
      </c>
      <c r="P232" s="219">
        <f>IFERROR(((Table1[[#This Row],[2023]]-Table1[[#This Row],[2022]])/Table1[[#This Row],[2022]]),0)</f>
        <v>0</v>
      </c>
      <c r="Q232" s="219">
        <f>IFERROR(((Table1[[#This Row],[Volume 2023]]-Table1[[#This Row],[Volume 2022]])/Table1[[#This Row],[Volume 2022]]),0)</f>
        <v>0</v>
      </c>
      <c r="R232" s="219">
        <f>Table1[[#This Row],[YoY growth]]-Table1[[#This Row],[Volume growth]]</f>
        <v>0</v>
      </c>
      <c r="S232" s="46"/>
    </row>
    <row r="233" spans="1:19" hidden="1" x14ac:dyDescent="0.25">
      <c r="A233" s="45"/>
      <c r="B233" s="41" t="s">
        <v>759</v>
      </c>
      <c r="C233" s="39" t="s">
        <v>946</v>
      </c>
      <c r="D233" s="39" t="s">
        <v>1077</v>
      </c>
      <c r="E233" s="42" t="s">
        <v>290</v>
      </c>
      <c r="F233" s="43" t="s">
        <v>9</v>
      </c>
      <c r="G233" s="38" t="s">
        <v>10</v>
      </c>
      <c r="H233" s="79" t="s">
        <v>26</v>
      </c>
      <c r="I233" s="87">
        <v>1.1900000000000001E-2</v>
      </c>
      <c r="J233" s="88">
        <v>0</v>
      </c>
      <c r="K233" s="89">
        <v>0</v>
      </c>
      <c r="L233" s="90">
        <v>0.14000000000000001</v>
      </c>
      <c r="M233" s="89">
        <v>0</v>
      </c>
      <c r="N233" s="89">
        <v>0</v>
      </c>
      <c r="O233" s="109">
        <f>SUM(Table1[[#This Row],[2022]:[YTD 2024]])</f>
        <v>1.1900000000000001E-2</v>
      </c>
      <c r="P233" s="219">
        <f>IFERROR(((Table1[[#This Row],[2023]]-Table1[[#This Row],[2022]])/Table1[[#This Row],[2022]]),0)</f>
        <v>-1</v>
      </c>
      <c r="Q233" s="219">
        <f>IFERROR(((Table1[[#This Row],[Volume 2023]]-Table1[[#This Row],[Volume 2022]])/Table1[[#This Row],[Volume 2022]]),0)</f>
        <v>-1</v>
      </c>
      <c r="R233" s="219">
        <f>Table1[[#This Row],[YoY growth]]-Table1[[#This Row],[Volume growth]]</f>
        <v>0</v>
      </c>
      <c r="S233" s="46"/>
    </row>
    <row r="234" spans="1:19" hidden="1" x14ac:dyDescent="0.25">
      <c r="A234" s="45"/>
      <c r="B234" s="41" t="s">
        <v>759</v>
      </c>
      <c r="C234" s="39" t="s">
        <v>946</v>
      </c>
      <c r="D234" s="39" t="s">
        <v>1077</v>
      </c>
      <c r="E234" s="42" t="s">
        <v>291</v>
      </c>
      <c r="F234" s="43" t="s">
        <v>9</v>
      </c>
      <c r="G234" s="38" t="s">
        <v>20</v>
      </c>
      <c r="H234" s="79" t="s">
        <v>17</v>
      </c>
      <c r="I234" s="87">
        <v>0</v>
      </c>
      <c r="J234" s="88">
        <v>0</v>
      </c>
      <c r="K234" s="89">
        <v>0</v>
      </c>
      <c r="L234" s="90">
        <v>0</v>
      </c>
      <c r="M234" s="89">
        <v>0</v>
      </c>
      <c r="N234" s="89">
        <v>0</v>
      </c>
      <c r="O234" s="109">
        <f>SUM(Table1[[#This Row],[2022]:[YTD 2024]])</f>
        <v>0</v>
      </c>
      <c r="P234" s="219">
        <f>IFERROR(((Table1[[#This Row],[2023]]-Table1[[#This Row],[2022]])/Table1[[#This Row],[2022]]),0)</f>
        <v>0</v>
      </c>
      <c r="Q234" s="219">
        <f>IFERROR(((Table1[[#This Row],[Volume 2023]]-Table1[[#This Row],[Volume 2022]])/Table1[[#This Row],[Volume 2022]]),0)</f>
        <v>0</v>
      </c>
      <c r="R234" s="219">
        <f>Table1[[#This Row],[YoY growth]]-Table1[[#This Row],[Volume growth]]</f>
        <v>0</v>
      </c>
      <c r="S234" s="46"/>
    </row>
    <row r="235" spans="1:19" hidden="1" x14ac:dyDescent="0.25">
      <c r="A235" s="45"/>
      <c r="B235" s="41" t="s">
        <v>760</v>
      </c>
      <c r="C235" s="39" t="s">
        <v>947</v>
      </c>
      <c r="D235" s="39" t="s">
        <v>948</v>
      </c>
      <c r="E235" s="42" t="s">
        <v>293</v>
      </c>
      <c r="F235" s="43" t="s">
        <v>9</v>
      </c>
      <c r="G235" s="38" t="s">
        <v>20</v>
      </c>
      <c r="H235" s="79" t="s">
        <v>32</v>
      </c>
      <c r="I235" s="87">
        <v>0</v>
      </c>
      <c r="J235" s="88">
        <v>0</v>
      </c>
      <c r="K235" s="89">
        <v>0.69599999999999995</v>
      </c>
      <c r="L235" s="90">
        <v>0</v>
      </c>
      <c r="M235" s="89">
        <v>0</v>
      </c>
      <c r="N235" s="89">
        <v>11.551500000000001</v>
      </c>
      <c r="O235" s="109">
        <f>SUM(Table1[[#This Row],[2022]:[YTD 2024]])</f>
        <v>0.69599999999999995</v>
      </c>
      <c r="P235" s="219">
        <f>IFERROR(((Table1[[#This Row],[2023]]-Table1[[#This Row],[2022]])/Table1[[#This Row],[2022]]),0)</f>
        <v>0</v>
      </c>
      <c r="Q235" s="219">
        <f>IFERROR(((Table1[[#This Row],[Volume 2023]]-Table1[[#This Row],[Volume 2022]])/Table1[[#This Row],[Volume 2022]]),0)</f>
        <v>0</v>
      </c>
      <c r="R235" s="219">
        <f>Table1[[#This Row],[YoY growth]]-Table1[[#This Row],[Volume growth]]</f>
        <v>0</v>
      </c>
      <c r="S235" s="46"/>
    </row>
    <row r="236" spans="1:19" hidden="1" x14ac:dyDescent="0.25">
      <c r="A236" s="45"/>
      <c r="B236" s="41" t="s">
        <v>760</v>
      </c>
      <c r="C236" s="39" t="s">
        <v>947</v>
      </c>
      <c r="D236" s="39" t="s">
        <v>948</v>
      </c>
      <c r="E236" s="42" t="s">
        <v>294</v>
      </c>
      <c r="F236" s="43" t="s">
        <v>9</v>
      </c>
      <c r="G236" s="38" t="s">
        <v>20</v>
      </c>
      <c r="H236" s="79" t="s">
        <v>68</v>
      </c>
      <c r="I236" s="87">
        <v>0.33289999999999997</v>
      </c>
      <c r="J236" s="88">
        <v>2.7199999999999998E-2</v>
      </c>
      <c r="K236" s="89">
        <v>0.74419999999999997</v>
      </c>
      <c r="L236" s="90">
        <v>16.585699999999999</v>
      </c>
      <c r="M236" s="89">
        <v>2.2242999999999999</v>
      </c>
      <c r="N236" s="89">
        <v>24.0091</v>
      </c>
      <c r="O236" s="109">
        <f>SUM(Table1[[#This Row],[2022]:[YTD 2024]])</f>
        <v>1.1042999999999998</v>
      </c>
      <c r="P236" s="219">
        <f>IFERROR(((Table1[[#This Row],[2023]]-Table1[[#This Row],[2022]])/Table1[[#This Row],[2022]]),0)</f>
        <v>-0.91829378191649147</v>
      </c>
      <c r="Q236" s="219">
        <f>IFERROR(((Table1[[#This Row],[Volume 2023]]-Table1[[#This Row],[Volume 2022]])/Table1[[#This Row],[Volume 2022]]),0)</f>
        <v>-0.86589049602971235</v>
      </c>
      <c r="R236" s="219">
        <f>Table1[[#This Row],[YoY growth]]-Table1[[#This Row],[Volume growth]]</f>
        <v>-5.2403285886779116E-2</v>
      </c>
      <c r="S236" s="46"/>
    </row>
    <row r="237" spans="1:19" hidden="1" x14ac:dyDescent="0.25">
      <c r="A237" s="45"/>
      <c r="B237" s="41" t="s">
        <v>761</v>
      </c>
      <c r="C237" s="39" t="s">
        <v>949</v>
      </c>
      <c r="D237" s="39" t="s">
        <v>1078</v>
      </c>
      <c r="E237" s="42" t="s">
        <v>296</v>
      </c>
      <c r="F237" s="43" t="s">
        <v>9</v>
      </c>
      <c r="G237" s="38" t="s">
        <v>20</v>
      </c>
      <c r="H237" s="79" t="s">
        <v>24</v>
      </c>
      <c r="I237" s="87">
        <v>0</v>
      </c>
      <c r="J237" s="88">
        <v>3.2099999999999997E-2</v>
      </c>
      <c r="K237" s="89">
        <v>0.19070000000000001</v>
      </c>
      <c r="L237" s="90">
        <v>0</v>
      </c>
      <c r="M237" s="89">
        <v>1.7567999999999999</v>
      </c>
      <c r="N237" s="89">
        <v>7.8956</v>
      </c>
      <c r="O237" s="109">
        <f>SUM(Table1[[#This Row],[2022]:[YTD 2024]])</f>
        <v>0.2228</v>
      </c>
      <c r="P237" s="219">
        <f>IFERROR(((Table1[[#This Row],[2023]]-Table1[[#This Row],[2022]])/Table1[[#This Row],[2022]]),0)</f>
        <v>0</v>
      </c>
      <c r="Q237" s="219">
        <f>IFERROR(((Table1[[#This Row],[Volume 2023]]-Table1[[#This Row],[Volume 2022]])/Table1[[#This Row],[Volume 2022]]),0)</f>
        <v>0</v>
      </c>
      <c r="R237" s="219">
        <f>Table1[[#This Row],[YoY growth]]-Table1[[#This Row],[Volume growth]]</f>
        <v>0</v>
      </c>
      <c r="S237" s="46"/>
    </row>
    <row r="238" spans="1:19" hidden="1" x14ac:dyDescent="0.25">
      <c r="A238" s="45"/>
      <c r="B238" s="41" t="s">
        <v>761</v>
      </c>
      <c r="C238" s="39" t="s">
        <v>949</v>
      </c>
      <c r="D238" s="39" t="s">
        <v>1078</v>
      </c>
      <c r="E238" s="42" t="s">
        <v>297</v>
      </c>
      <c r="F238" s="43" t="s">
        <v>9</v>
      </c>
      <c r="G238" s="38" t="s">
        <v>30</v>
      </c>
      <c r="H238" s="79" t="s">
        <v>103</v>
      </c>
      <c r="I238" s="87">
        <v>0</v>
      </c>
      <c r="J238" s="88">
        <v>0</v>
      </c>
      <c r="K238" s="89">
        <v>2.2185000000000001</v>
      </c>
      <c r="L238" s="90">
        <v>0</v>
      </c>
      <c r="M238" s="89">
        <v>0</v>
      </c>
      <c r="N238" s="89">
        <v>128.51750000000001</v>
      </c>
      <c r="O238" s="109">
        <f>SUM(Table1[[#This Row],[2022]:[YTD 2024]])</f>
        <v>2.2185000000000001</v>
      </c>
      <c r="P238" s="219">
        <f>IFERROR(((Table1[[#This Row],[2023]]-Table1[[#This Row],[2022]])/Table1[[#This Row],[2022]]),0)</f>
        <v>0</v>
      </c>
      <c r="Q238" s="219">
        <f>IFERROR(((Table1[[#This Row],[Volume 2023]]-Table1[[#This Row],[Volume 2022]])/Table1[[#This Row],[Volume 2022]]),0)</f>
        <v>0</v>
      </c>
      <c r="R238" s="219">
        <f>Table1[[#This Row],[YoY growth]]-Table1[[#This Row],[Volume growth]]</f>
        <v>0</v>
      </c>
      <c r="S238" s="46"/>
    </row>
    <row r="239" spans="1:19" hidden="1" x14ac:dyDescent="0.25">
      <c r="A239" s="45"/>
      <c r="B239" s="41" t="s">
        <v>761</v>
      </c>
      <c r="C239" s="39" t="s">
        <v>949</v>
      </c>
      <c r="D239" s="39" t="s">
        <v>1078</v>
      </c>
      <c r="E239" s="42" t="s">
        <v>298</v>
      </c>
      <c r="F239" s="43" t="s">
        <v>9</v>
      </c>
      <c r="G239" s="38" t="s">
        <v>20</v>
      </c>
      <c r="H239" s="79" t="s">
        <v>103</v>
      </c>
      <c r="I239" s="87">
        <v>0</v>
      </c>
      <c r="J239" s="88">
        <v>7.0191999999999997</v>
      </c>
      <c r="K239" s="89">
        <v>7.8216999999999999</v>
      </c>
      <c r="L239" s="90">
        <v>0</v>
      </c>
      <c r="M239" s="89">
        <v>471.142</v>
      </c>
      <c r="N239" s="89">
        <v>503.7824</v>
      </c>
      <c r="O239" s="109">
        <f>SUM(Table1[[#This Row],[2022]:[YTD 2024]])</f>
        <v>14.8409</v>
      </c>
      <c r="P239" s="219">
        <f>IFERROR(((Table1[[#This Row],[2023]]-Table1[[#This Row],[2022]])/Table1[[#This Row],[2022]]),0)</f>
        <v>0</v>
      </c>
      <c r="Q239" s="219">
        <f>IFERROR(((Table1[[#This Row],[Volume 2023]]-Table1[[#This Row],[Volume 2022]])/Table1[[#This Row],[Volume 2022]]),0)</f>
        <v>0</v>
      </c>
      <c r="R239" s="219">
        <f>Table1[[#This Row],[YoY growth]]-Table1[[#This Row],[Volume growth]]</f>
        <v>0</v>
      </c>
      <c r="S239" s="46"/>
    </row>
    <row r="240" spans="1:19" hidden="1" x14ac:dyDescent="0.25">
      <c r="A240" s="45"/>
      <c r="B240" s="41" t="s">
        <v>761</v>
      </c>
      <c r="C240" s="39" t="s">
        <v>949</v>
      </c>
      <c r="D240" s="39" t="s">
        <v>1078</v>
      </c>
      <c r="E240" s="42" t="s">
        <v>299</v>
      </c>
      <c r="F240" s="43" t="s">
        <v>9</v>
      </c>
      <c r="G240" s="38" t="s">
        <v>20</v>
      </c>
      <c r="H240" s="79" t="s">
        <v>42</v>
      </c>
      <c r="I240" s="87">
        <v>8.5007999999999999</v>
      </c>
      <c r="J240" s="88">
        <v>1.8512999999999999</v>
      </c>
      <c r="K240" s="89">
        <v>0.35020000000000001</v>
      </c>
      <c r="L240" s="90">
        <v>288.41750000000002</v>
      </c>
      <c r="M240" s="89">
        <v>66.691299999999998</v>
      </c>
      <c r="N240" s="89">
        <v>13.4161</v>
      </c>
      <c r="O240" s="109">
        <f>SUM(Table1[[#This Row],[2022]:[YTD 2024]])</f>
        <v>10.702299999999999</v>
      </c>
      <c r="P240" s="219">
        <f>IFERROR(((Table1[[#This Row],[2023]]-Table1[[#This Row],[2022]])/Table1[[#This Row],[2022]]),0)</f>
        <v>-0.78222049689440987</v>
      </c>
      <c r="Q240" s="219">
        <f>IFERROR(((Table1[[#This Row],[Volume 2023]]-Table1[[#This Row],[Volume 2022]])/Table1[[#This Row],[Volume 2022]]),0)</f>
        <v>-0.76876819194397006</v>
      </c>
      <c r="R240" s="219">
        <f>Table1[[#This Row],[YoY growth]]-Table1[[#This Row],[Volume growth]]</f>
        <v>-1.3452304950439808E-2</v>
      </c>
      <c r="S240" s="46"/>
    </row>
    <row r="241" spans="1:19" hidden="1" x14ac:dyDescent="0.25">
      <c r="A241" s="45"/>
      <c r="B241" s="41" t="s">
        <v>761</v>
      </c>
      <c r="C241" s="39" t="s">
        <v>949</v>
      </c>
      <c r="D241" s="39" t="s">
        <v>1078</v>
      </c>
      <c r="E241" s="42" t="s">
        <v>300</v>
      </c>
      <c r="F241" s="43" t="s">
        <v>9</v>
      </c>
      <c r="G241" s="38" t="s">
        <v>20</v>
      </c>
      <c r="H241" s="79" t="s">
        <v>42</v>
      </c>
      <c r="I241" s="87">
        <v>32.951099999999997</v>
      </c>
      <c r="J241" s="88">
        <v>14.947100000000001</v>
      </c>
      <c r="K241" s="89">
        <v>4.2103999999999999</v>
      </c>
      <c r="L241" s="90">
        <v>1259.2874999999999</v>
      </c>
      <c r="M241" s="89">
        <v>556.85670000000005</v>
      </c>
      <c r="N241" s="89">
        <v>163.69149999999999</v>
      </c>
      <c r="O241" s="109">
        <f>SUM(Table1[[#This Row],[2022]:[YTD 2024]])</f>
        <v>52.108599999999996</v>
      </c>
      <c r="P241" s="219">
        <f>IFERROR(((Table1[[#This Row],[2023]]-Table1[[#This Row],[2022]])/Table1[[#This Row],[2022]]),0)</f>
        <v>-0.54638540139782887</v>
      </c>
      <c r="Q241" s="219">
        <f>IFERROR(((Table1[[#This Row],[Volume 2023]]-Table1[[#This Row],[Volume 2022]])/Table1[[#This Row],[Volume 2022]]),0)</f>
        <v>-0.55780018462821235</v>
      </c>
      <c r="R241" s="219">
        <f>Table1[[#This Row],[YoY growth]]-Table1[[#This Row],[Volume growth]]</f>
        <v>1.1414783230383474E-2</v>
      </c>
      <c r="S241" s="46"/>
    </row>
    <row r="242" spans="1:19" hidden="1" x14ac:dyDescent="0.25">
      <c r="A242" s="45"/>
      <c r="B242" s="41" t="s">
        <v>762</v>
      </c>
      <c r="C242" s="39" t="s">
        <v>950</v>
      </c>
      <c r="D242" s="39" t="s">
        <v>1079</v>
      </c>
      <c r="E242" s="42" t="s">
        <v>823</v>
      </c>
      <c r="F242" s="43" t="s">
        <v>9</v>
      </c>
      <c r="G242" s="38" t="s">
        <v>30</v>
      </c>
      <c r="H242" s="79" t="s">
        <v>118</v>
      </c>
      <c r="I242" s="87">
        <v>0</v>
      </c>
      <c r="J242" s="88">
        <v>0</v>
      </c>
      <c r="K242" s="89">
        <v>0</v>
      </c>
      <c r="L242" s="90">
        <v>0</v>
      </c>
      <c r="M242" s="89">
        <v>0</v>
      </c>
      <c r="N242" s="89">
        <v>0</v>
      </c>
      <c r="O242" s="109">
        <f>SUM(Table1[[#This Row],[2022]:[YTD 2024]])</f>
        <v>0</v>
      </c>
      <c r="P242" s="219">
        <f>IFERROR(((Table1[[#This Row],[2023]]-Table1[[#This Row],[2022]])/Table1[[#This Row],[2022]]),0)</f>
        <v>0</v>
      </c>
      <c r="Q242" s="219">
        <f>IFERROR(((Table1[[#This Row],[Volume 2023]]-Table1[[#This Row],[Volume 2022]])/Table1[[#This Row],[Volume 2022]]),0)</f>
        <v>0</v>
      </c>
      <c r="R242" s="219">
        <f>Table1[[#This Row],[YoY growth]]-Table1[[#This Row],[Volume growth]]</f>
        <v>0</v>
      </c>
      <c r="S242" s="46"/>
    </row>
    <row r="243" spans="1:19" hidden="1" x14ac:dyDescent="0.25">
      <c r="A243" s="45"/>
      <c r="B243" s="41" t="s">
        <v>762</v>
      </c>
      <c r="C243" s="39" t="s">
        <v>950</v>
      </c>
      <c r="D243" s="39" t="s">
        <v>1079</v>
      </c>
      <c r="E243" s="42" t="s">
        <v>302</v>
      </c>
      <c r="F243" s="43" t="s">
        <v>9</v>
      </c>
      <c r="G243" s="38" t="s">
        <v>30</v>
      </c>
      <c r="H243" s="79" t="s">
        <v>34</v>
      </c>
      <c r="I243" s="87">
        <v>53.822000000000003</v>
      </c>
      <c r="J243" s="88">
        <v>66.983199999999997</v>
      </c>
      <c r="K243" s="89">
        <v>42.143000000000001</v>
      </c>
      <c r="L243" s="90">
        <v>1325.5655999999999</v>
      </c>
      <c r="M243" s="89">
        <v>1594.76</v>
      </c>
      <c r="N243" s="89">
        <v>1015.3249</v>
      </c>
      <c r="O243" s="109">
        <f>SUM(Table1[[#This Row],[2022]:[YTD 2024]])</f>
        <v>162.94819999999999</v>
      </c>
      <c r="P243" s="219">
        <f>IFERROR(((Table1[[#This Row],[2023]]-Table1[[#This Row],[2022]])/Table1[[#This Row],[2022]]),0)</f>
        <v>0.24453197577198901</v>
      </c>
      <c r="Q243" s="219">
        <f>IFERROR(((Table1[[#This Row],[Volume 2023]]-Table1[[#This Row],[Volume 2022]])/Table1[[#This Row],[Volume 2022]]),0)</f>
        <v>0.20307889703836621</v>
      </c>
      <c r="R243" s="219">
        <f>Table1[[#This Row],[YoY growth]]-Table1[[#This Row],[Volume growth]]</f>
        <v>4.1453078733622806E-2</v>
      </c>
      <c r="S243" s="46"/>
    </row>
    <row r="244" spans="1:19" hidden="1" x14ac:dyDescent="0.25">
      <c r="A244" s="45"/>
      <c r="B244" s="41" t="s">
        <v>762</v>
      </c>
      <c r="C244" s="39" t="s">
        <v>950</v>
      </c>
      <c r="D244" s="39" t="s">
        <v>1079</v>
      </c>
      <c r="E244" s="42" t="s">
        <v>303</v>
      </c>
      <c r="F244" s="43" t="s">
        <v>9</v>
      </c>
      <c r="G244" s="38" t="s">
        <v>30</v>
      </c>
      <c r="H244" s="79" t="s">
        <v>34</v>
      </c>
      <c r="I244" s="87">
        <v>81.760300000000001</v>
      </c>
      <c r="J244" s="88">
        <v>83.135000000000005</v>
      </c>
      <c r="K244" s="89">
        <v>53.412599999999998</v>
      </c>
      <c r="L244" s="90">
        <v>1959.0420999999999</v>
      </c>
      <c r="M244" s="89">
        <v>1973.6881000000001</v>
      </c>
      <c r="N244" s="89">
        <v>1284.8007</v>
      </c>
      <c r="O244" s="109">
        <f>SUM(Table1[[#This Row],[2022]:[YTD 2024]])</f>
        <v>218.30790000000002</v>
      </c>
      <c r="P244" s="219">
        <f>IFERROR(((Table1[[#This Row],[2023]]-Table1[[#This Row],[2022]])/Table1[[#This Row],[2022]]),0)</f>
        <v>1.681378370676238E-2</v>
      </c>
      <c r="Q244" s="219">
        <f>IFERROR(((Table1[[#This Row],[Volume 2023]]-Table1[[#This Row],[Volume 2022]])/Table1[[#This Row],[Volume 2022]]),0)</f>
        <v>7.4761027340863101E-3</v>
      </c>
      <c r="R244" s="219">
        <f>Table1[[#This Row],[YoY growth]]-Table1[[#This Row],[Volume growth]]</f>
        <v>9.3376809726760691E-3</v>
      </c>
      <c r="S244" s="46"/>
    </row>
    <row r="245" spans="1:19" hidden="1" x14ac:dyDescent="0.25">
      <c r="A245" s="45"/>
      <c r="B245" s="41" t="s">
        <v>762</v>
      </c>
      <c r="C245" s="39" t="s">
        <v>950</v>
      </c>
      <c r="D245" s="39" t="s">
        <v>1079</v>
      </c>
      <c r="E245" s="42" t="s">
        <v>304</v>
      </c>
      <c r="F245" s="43" t="s">
        <v>9</v>
      </c>
      <c r="G245" s="38" t="s">
        <v>30</v>
      </c>
      <c r="H245" s="79" t="s">
        <v>34</v>
      </c>
      <c r="I245" s="87">
        <v>24.3629</v>
      </c>
      <c r="J245" s="88">
        <v>18.871200000000002</v>
      </c>
      <c r="K245" s="89">
        <v>0.95489999999999997</v>
      </c>
      <c r="L245" s="90">
        <v>571.42309999999998</v>
      </c>
      <c r="M245" s="89">
        <v>430.0342</v>
      </c>
      <c r="N245" s="89">
        <v>21.356300000000001</v>
      </c>
      <c r="O245" s="109">
        <f>SUM(Table1[[#This Row],[2022]:[YTD 2024]])</f>
        <v>44.189</v>
      </c>
      <c r="P245" s="219">
        <f>IFERROR(((Table1[[#This Row],[2023]]-Table1[[#This Row],[2022]])/Table1[[#This Row],[2022]]),0)</f>
        <v>-0.22541240985268576</v>
      </c>
      <c r="Q245" s="219">
        <f>IFERROR(((Table1[[#This Row],[Volume 2023]]-Table1[[#This Row],[Volume 2022]])/Table1[[#This Row],[Volume 2022]]),0)</f>
        <v>-0.2474329441704404</v>
      </c>
      <c r="R245" s="219">
        <f>Table1[[#This Row],[YoY growth]]-Table1[[#This Row],[Volume growth]]</f>
        <v>2.2020534317754636E-2</v>
      </c>
      <c r="S245" s="46"/>
    </row>
    <row r="246" spans="1:19" hidden="1" x14ac:dyDescent="0.25">
      <c r="A246" s="45"/>
      <c r="B246" s="41" t="s">
        <v>762</v>
      </c>
      <c r="C246" s="39" t="s">
        <v>950</v>
      </c>
      <c r="D246" s="39" t="s">
        <v>1079</v>
      </c>
      <c r="E246" s="42" t="s">
        <v>305</v>
      </c>
      <c r="F246" s="43" t="s">
        <v>9</v>
      </c>
      <c r="G246" s="38" t="s">
        <v>30</v>
      </c>
      <c r="H246" s="79" t="s">
        <v>34</v>
      </c>
      <c r="I246" s="87">
        <v>0</v>
      </c>
      <c r="J246" s="88">
        <v>0</v>
      </c>
      <c r="K246" s="89">
        <v>0</v>
      </c>
      <c r="L246" s="90">
        <v>0</v>
      </c>
      <c r="M246" s="89">
        <v>0</v>
      </c>
      <c r="N246" s="89">
        <v>0</v>
      </c>
      <c r="O246" s="109">
        <f>SUM(Table1[[#This Row],[2022]:[YTD 2024]])</f>
        <v>0</v>
      </c>
      <c r="P246" s="219">
        <f>IFERROR(((Table1[[#This Row],[2023]]-Table1[[#This Row],[2022]])/Table1[[#This Row],[2022]]),0)</f>
        <v>0</v>
      </c>
      <c r="Q246" s="219">
        <f>IFERROR(((Table1[[#This Row],[Volume 2023]]-Table1[[#This Row],[Volume 2022]])/Table1[[#This Row],[Volume 2022]]),0)</f>
        <v>0</v>
      </c>
      <c r="R246" s="219">
        <f>Table1[[#This Row],[YoY growth]]-Table1[[#This Row],[Volume growth]]</f>
        <v>0</v>
      </c>
      <c r="S246" s="46"/>
    </row>
    <row r="247" spans="1:19" hidden="1" x14ac:dyDescent="0.25">
      <c r="A247" s="45"/>
      <c r="B247" s="41" t="s">
        <v>762</v>
      </c>
      <c r="C247" s="39" t="s">
        <v>950</v>
      </c>
      <c r="D247" s="39" t="s">
        <v>1079</v>
      </c>
      <c r="E247" s="42" t="s">
        <v>306</v>
      </c>
      <c r="F247" s="43" t="s">
        <v>9</v>
      </c>
      <c r="G247" s="38" t="s">
        <v>10</v>
      </c>
      <c r="H247" s="79" t="s">
        <v>34</v>
      </c>
      <c r="I247" s="87">
        <v>6.2572999999999999</v>
      </c>
      <c r="J247" s="88">
        <v>18.031600000000001</v>
      </c>
      <c r="K247" s="89">
        <v>4.2451999999999996</v>
      </c>
      <c r="L247" s="90">
        <v>140.29249999999999</v>
      </c>
      <c r="M247" s="89">
        <v>398.21929999999998</v>
      </c>
      <c r="N247" s="89">
        <v>95.220100000000002</v>
      </c>
      <c r="O247" s="109">
        <f>SUM(Table1[[#This Row],[2022]:[YTD 2024]])</f>
        <v>28.534100000000002</v>
      </c>
      <c r="P247" s="219">
        <f>IFERROR(((Table1[[#This Row],[2023]]-Table1[[#This Row],[2022]])/Table1[[#This Row],[2022]]),0)</f>
        <v>1.8816901858629123</v>
      </c>
      <c r="Q247" s="219">
        <f>IFERROR(((Table1[[#This Row],[Volume 2023]]-Table1[[#This Row],[Volume 2022]])/Table1[[#This Row],[Volume 2022]]),0)</f>
        <v>1.8384931482438476</v>
      </c>
      <c r="R247" s="219">
        <f>Table1[[#This Row],[YoY growth]]-Table1[[#This Row],[Volume growth]]</f>
        <v>4.3197037619064682E-2</v>
      </c>
      <c r="S247" s="46"/>
    </row>
    <row r="248" spans="1:19" hidden="1" x14ac:dyDescent="0.25">
      <c r="A248" s="45"/>
      <c r="B248" s="41" t="s">
        <v>762</v>
      </c>
      <c r="C248" s="39" t="s">
        <v>950</v>
      </c>
      <c r="D248" s="39" t="s">
        <v>1079</v>
      </c>
      <c r="E248" s="42" t="s">
        <v>307</v>
      </c>
      <c r="F248" s="43" t="s">
        <v>9</v>
      </c>
      <c r="G248" s="38" t="s">
        <v>20</v>
      </c>
      <c r="H248" s="79" t="s">
        <v>37</v>
      </c>
      <c r="I248" s="87">
        <v>0</v>
      </c>
      <c r="J248" s="88">
        <v>0</v>
      </c>
      <c r="K248" s="89">
        <v>0.16520000000000001</v>
      </c>
      <c r="L248" s="90">
        <v>0</v>
      </c>
      <c r="M248" s="89">
        <v>0</v>
      </c>
      <c r="N248" s="89">
        <v>4.4053000000000004</v>
      </c>
      <c r="O248" s="109">
        <f>SUM(Table1[[#This Row],[2022]:[YTD 2024]])</f>
        <v>0.16520000000000001</v>
      </c>
      <c r="P248" s="219">
        <f>IFERROR(((Table1[[#This Row],[2023]]-Table1[[#This Row],[2022]])/Table1[[#This Row],[2022]]),0)</f>
        <v>0</v>
      </c>
      <c r="Q248" s="219">
        <f>IFERROR(((Table1[[#This Row],[Volume 2023]]-Table1[[#This Row],[Volume 2022]])/Table1[[#This Row],[Volume 2022]]),0)</f>
        <v>0</v>
      </c>
      <c r="R248" s="219">
        <f>Table1[[#This Row],[YoY growth]]-Table1[[#This Row],[Volume growth]]</f>
        <v>0</v>
      </c>
      <c r="S248" s="46"/>
    </row>
    <row r="249" spans="1:19" hidden="1" x14ac:dyDescent="0.25">
      <c r="A249" s="45"/>
      <c r="B249" s="41" t="s">
        <v>762</v>
      </c>
      <c r="C249" s="39" t="s">
        <v>950</v>
      </c>
      <c r="D249" s="39" t="s">
        <v>1079</v>
      </c>
      <c r="E249" s="42" t="s">
        <v>308</v>
      </c>
      <c r="F249" s="43" t="s">
        <v>9</v>
      </c>
      <c r="G249" s="38" t="s">
        <v>10</v>
      </c>
      <c r="H249" s="79" t="s">
        <v>37</v>
      </c>
      <c r="I249" s="87">
        <v>2.9600000000000001E-2</v>
      </c>
      <c r="J249" s="88">
        <v>0</v>
      </c>
      <c r="K249" s="89">
        <v>0</v>
      </c>
      <c r="L249" s="90">
        <v>0.8246</v>
      </c>
      <c r="M249" s="89">
        <v>0</v>
      </c>
      <c r="N249" s="89">
        <v>0</v>
      </c>
      <c r="O249" s="109">
        <f>SUM(Table1[[#This Row],[2022]:[YTD 2024]])</f>
        <v>2.9600000000000001E-2</v>
      </c>
      <c r="P249" s="219">
        <f>IFERROR(((Table1[[#This Row],[2023]]-Table1[[#This Row],[2022]])/Table1[[#This Row],[2022]]),0)</f>
        <v>-1</v>
      </c>
      <c r="Q249" s="219">
        <f>IFERROR(((Table1[[#This Row],[Volume 2023]]-Table1[[#This Row],[Volume 2022]])/Table1[[#This Row],[Volume 2022]]),0)</f>
        <v>-1</v>
      </c>
      <c r="R249" s="219">
        <f>Table1[[#This Row],[YoY growth]]-Table1[[#This Row],[Volume growth]]</f>
        <v>0</v>
      </c>
      <c r="S249" s="46"/>
    </row>
    <row r="250" spans="1:19" hidden="1" x14ac:dyDescent="0.25">
      <c r="A250" s="45"/>
      <c r="B250" s="41" t="s">
        <v>762</v>
      </c>
      <c r="C250" s="39" t="s">
        <v>950</v>
      </c>
      <c r="D250" s="39" t="s">
        <v>1079</v>
      </c>
      <c r="E250" s="42" t="s">
        <v>309</v>
      </c>
      <c r="F250" s="43" t="s">
        <v>9</v>
      </c>
      <c r="G250" s="38" t="s">
        <v>10</v>
      </c>
      <c r="H250" s="79" t="s">
        <v>37</v>
      </c>
      <c r="I250" s="87">
        <v>0</v>
      </c>
      <c r="J250" s="88">
        <v>0</v>
      </c>
      <c r="K250" s="89">
        <v>0</v>
      </c>
      <c r="L250" s="90">
        <v>0</v>
      </c>
      <c r="M250" s="89">
        <v>0</v>
      </c>
      <c r="N250" s="89">
        <v>0</v>
      </c>
      <c r="O250" s="109">
        <f>SUM(Table1[[#This Row],[2022]:[YTD 2024]])</f>
        <v>0</v>
      </c>
      <c r="P250" s="219">
        <f>IFERROR(((Table1[[#This Row],[2023]]-Table1[[#This Row],[2022]])/Table1[[#This Row],[2022]]),0)</f>
        <v>0</v>
      </c>
      <c r="Q250" s="219">
        <f>IFERROR(((Table1[[#This Row],[Volume 2023]]-Table1[[#This Row],[Volume 2022]])/Table1[[#This Row],[Volume 2022]]),0)</f>
        <v>0</v>
      </c>
      <c r="R250" s="219">
        <f>Table1[[#This Row],[YoY growth]]-Table1[[#This Row],[Volume growth]]</f>
        <v>0</v>
      </c>
      <c r="S250" s="46"/>
    </row>
    <row r="251" spans="1:19" hidden="1" x14ac:dyDescent="0.25">
      <c r="A251" s="45"/>
      <c r="B251" s="41" t="s">
        <v>762</v>
      </c>
      <c r="C251" s="39" t="s">
        <v>950</v>
      </c>
      <c r="D251" s="39" t="s">
        <v>1079</v>
      </c>
      <c r="E251" s="42" t="s">
        <v>310</v>
      </c>
      <c r="F251" s="43" t="s">
        <v>9</v>
      </c>
      <c r="G251" s="38" t="s">
        <v>10</v>
      </c>
      <c r="H251" s="79" t="s">
        <v>42</v>
      </c>
      <c r="I251" s="87">
        <v>2.3472</v>
      </c>
      <c r="J251" s="88">
        <v>0.8044</v>
      </c>
      <c r="K251" s="89">
        <v>0</v>
      </c>
      <c r="L251" s="90">
        <v>54.641800000000003</v>
      </c>
      <c r="M251" s="89">
        <v>24.183599999999998</v>
      </c>
      <c r="N251" s="89">
        <v>0</v>
      </c>
      <c r="O251" s="109">
        <f>SUM(Table1[[#This Row],[2022]:[YTD 2024]])</f>
        <v>3.1516000000000002</v>
      </c>
      <c r="P251" s="219">
        <f>IFERROR(((Table1[[#This Row],[2023]]-Table1[[#This Row],[2022]])/Table1[[#This Row],[2022]]),0)</f>
        <v>-0.65729379686434897</v>
      </c>
      <c r="Q251" s="219">
        <f>IFERROR(((Table1[[#This Row],[Volume 2023]]-Table1[[#This Row],[Volume 2022]])/Table1[[#This Row],[Volume 2022]]),0)</f>
        <v>-0.5574157513112673</v>
      </c>
      <c r="R251" s="219">
        <f>Table1[[#This Row],[YoY growth]]-Table1[[#This Row],[Volume growth]]</f>
        <v>-9.9878045553081662E-2</v>
      </c>
      <c r="S251" s="46"/>
    </row>
    <row r="252" spans="1:19" hidden="1" x14ac:dyDescent="0.25">
      <c r="A252" s="45"/>
      <c r="B252" s="41" t="s">
        <v>763</v>
      </c>
      <c r="C252" s="39" t="s">
        <v>951</v>
      </c>
      <c r="D252" s="39" t="s">
        <v>1080</v>
      </c>
      <c r="E252" s="42" t="s">
        <v>312</v>
      </c>
      <c r="F252" s="43" t="s">
        <v>9</v>
      </c>
      <c r="G252" s="38" t="s">
        <v>30</v>
      </c>
      <c r="H252" s="79" t="s">
        <v>103</v>
      </c>
      <c r="I252" s="87">
        <v>5.9740000000000002</v>
      </c>
      <c r="J252" s="88">
        <v>0</v>
      </c>
      <c r="K252" s="89">
        <v>0</v>
      </c>
      <c r="L252" s="90">
        <v>416.80889999999999</v>
      </c>
      <c r="M252" s="89">
        <v>0</v>
      </c>
      <c r="N252" s="89">
        <v>0</v>
      </c>
      <c r="O252" s="109">
        <f>SUM(Table1[[#This Row],[2022]:[YTD 2024]])</f>
        <v>5.9740000000000002</v>
      </c>
      <c r="P252" s="219">
        <f>IFERROR(((Table1[[#This Row],[2023]]-Table1[[#This Row],[2022]])/Table1[[#This Row],[2022]]),0)</f>
        <v>-1</v>
      </c>
      <c r="Q252" s="219">
        <f>IFERROR(((Table1[[#This Row],[Volume 2023]]-Table1[[#This Row],[Volume 2022]])/Table1[[#This Row],[Volume 2022]]),0)</f>
        <v>-1</v>
      </c>
      <c r="R252" s="219">
        <f>Table1[[#This Row],[YoY growth]]-Table1[[#This Row],[Volume growth]]</f>
        <v>0</v>
      </c>
      <c r="S252" s="46"/>
    </row>
    <row r="253" spans="1:19" hidden="1" x14ac:dyDescent="0.25">
      <c r="A253" s="45"/>
      <c r="B253" s="41" t="s">
        <v>763</v>
      </c>
      <c r="C253" s="39" t="s">
        <v>951</v>
      </c>
      <c r="D253" s="39" t="s">
        <v>1080</v>
      </c>
      <c r="E253" s="42" t="s">
        <v>313</v>
      </c>
      <c r="F253" s="43" t="s">
        <v>9</v>
      </c>
      <c r="G253" s="38" t="s">
        <v>20</v>
      </c>
      <c r="H253" s="79" t="s">
        <v>17</v>
      </c>
      <c r="I253" s="87">
        <v>0.1293</v>
      </c>
      <c r="J253" s="88">
        <v>8.2299999999999998E-2</v>
      </c>
      <c r="K253" s="89">
        <v>0</v>
      </c>
      <c r="L253" s="90">
        <v>5.4459999999999997</v>
      </c>
      <c r="M253" s="89">
        <v>3.4649000000000001</v>
      </c>
      <c r="N253" s="89">
        <v>0</v>
      </c>
      <c r="O253" s="109">
        <f>SUM(Table1[[#This Row],[2022]:[YTD 2024]])</f>
        <v>0.21160000000000001</v>
      </c>
      <c r="P253" s="219">
        <f>IFERROR(((Table1[[#This Row],[2023]]-Table1[[#This Row],[2022]])/Table1[[#This Row],[2022]]),0)</f>
        <v>-0.36349574632637277</v>
      </c>
      <c r="Q253" s="219">
        <f>IFERROR(((Table1[[#This Row],[Volume 2023]]-Table1[[#This Row],[Volume 2022]])/Table1[[#This Row],[Volume 2022]]),0)</f>
        <v>-0.36377157546823352</v>
      </c>
      <c r="R253" s="219">
        <f>Table1[[#This Row],[YoY growth]]-Table1[[#This Row],[Volume growth]]</f>
        <v>2.7582914186075058E-4</v>
      </c>
      <c r="S253" s="46"/>
    </row>
    <row r="254" spans="1:19" hidden="1" x14ac:dyDescent="0.25">
      <c r="A254" s="45"/>
      <c r="B254" s="41" t="s">
        <v>764</v>
      </c>
      <c r="C254" s="39" t="s">
        <v>952</v>
      </c>
      <c r="D254" s="39" t="s">
        <v>1081</v>
      </c>
      <c r="E254" s="42" t="s">
        <v>315</v>
      </c>
      <c r="F254" s="43" t="s">
        <v>9</v>
      </c>
      <c r="G254" s="38" t="s">
        <v>30</v>
      </c>
      <c r="H254" s="79" t="s">
        <v>42</v>
      </c>
      <c r="I254" s="87">
        <v>11.181699999999999</v>
      </c>
      <c r="J254" s="88">
        <v>15.1816</v>
      </c>
      <c r="K254" s="89">
        <v>9.6165000000000003</v>
      </c>
      <c r="L254" s="90">
        <v>586.38080000000002</v>
      </c>
      <c r="M254" s="89">
        <v>752.94479999999999</v>
      </c>
      <c r="N254" s="89">
        <v>438.76389999999998</v>
      </c>
      <c r="O254" s="109">
        <f>SUM(Table1[[#This Row],[2022]:[YTD 2024]])</f>
        <v>35.979799999999997</v>
      </c>
      <c r="P254" s="219">
        <f>IFERROR(((Table1[[#This Row],[2023]]-Table1[[#This Row],[2022]])/Table1[[#This Row],[2022]]),0)</f>
        <v>0.35771841491007633</v>
      </c>
      <c r="Q254" s="219">
        <f>IFERROR(((Table1[[#This Row],[Volume 2023]]-Table1[[#This Row],[Volume 2022]])/Table1[[#This Row],[Volume 2022]]),0)</f>
        <v>0.28405432101460343</v>
      </c>
      <c r="R254" s="219">
        <f>Table1[[#This Row],[YoY growth]]-Table1[[#This Row],[Volume growth]]</f>
        <v>7.3664093895472904E-2</v>
      </c>
      <c r="S254" s="46"/>
    </row>
    <row r="255" spans="1:19" hidden="1" x14ac:dyDescent="0.25">
      <c r="A255" s="45"/>
      <c r="B255" s="41" t="s">
        <v>765</v>
      </c>
      <c r="C255" s="39" t="s">
        <v>953</v>
      </c>
      <c r="D255" s="39" t="s">
        <v>1082</v>
      </c>
      <c r="E255" s="42" t="s">
        <v>317</v>
      </c>
      <c r="F255" s="43" t="s">
        <v>9</v>
      </c>
      <c r="G255" s="38" t="s">
        <v>69</v>
      </c>
      <c r="H255" s="79" t="s">
        <v>88</v>
      </c>
      <c r="I255" s="87">
        <v>8.2699999999999996E-2</v>
      </c>
      <c r="J255" s="88">
        <v>4.5199999999999997E-2</v>
      </c>
      <c r="K255" s="89">
        <v>5.4999999999999997E-3</v>
      </c>
      <c r="L255" s="90">
        <v>0.35360000000000003</v>
      </c>
      <c r="M255" s="89">
        <v>0.2</v>
      </c>
      <c r="N255" s="89">
        <v>2.5000000000000001E-2</v>
      </c>
      <c r="O255" s="109">
        <f>SUM(Table1[[#This Row],[2022]:[YTD 2024]])</f>
        <v>0.13339999999999999</v>
      </c>
      <c r="P255" s="219">
        <f>IFERROR(((Table1[[#This Row],[2023]]-Table1[[#This Row],[2022]])/Table1[[#This Row],[2022]]),0)</f>
        <v>-0.45344619105199518</v>
      </c>
      <c r="Q255" s="219">
        <f>IFERROR(((Table1[[#This Row],[Volume 2023]]-Table1[[#This Row],[Volume 2022]])/Table1[[#This Row],[Volume 2022]]),0)</f>
        <v>-0.43438914027149322</v>
      </c>
      <c r="R255" s="219">
        <f>Table1[[#This Row],[YoY growth]]-Table1[[#This Row],[Volume growth]]</f>
        <v>-1.9057050780501961E-2</v>
      </c>
      <c r="S255" s="46"/>
    </row>
    <row r="256" spans="1:19" hidden="1" x14ac:dyDescent="0.25">
      <c r="A256" s="45"/>
      <c r="B256" s="41" t="s">
        <v>765</v>
      </c>
      <c r="C256" s="39" t="s">
        <v>953</v>
      </c>
      <c r="D256" s="39" t="s">
        <v>1082</v>
      </c>
      <c r="E256" s="42" t="s">
        <v>318</v>
      </c>
      <c r="F256" s="43" t="s">
        <v>9</v>
      </c>
      <c r="G256" s="38" t="s">
        <v>69</v>
      </c>
      <c r="H256" s="79" t="s">
        <v>88</v>
      </c>
      <c r="I256" s="87">
        <v>2.0510000000000002</v>
      </c>
      <c r="J256" s="88">
        <v>2.5941999999999998</v>
      </c>
      <c r="K256" s="89">
        <v>0.76219999999999999</v>
      </c>
      <c r="L256" s="90">
        <v>8.6088000000000005</v>
      </c>
      <c r="M256" s="89">
        <v>11.446400000000001</v>
      </c>
      <c r="N256" s="89">
        <v>3.6349999999999998</v>
      </c>
      <c r="O256" s="109">
        <f>SUM(Table1[[#This Row],[2022]:[YTD 2024]])</f>
        <v>5.4074</v>
      </c>
      <c r="P256" s="219">
        <f>IFERROR(((Table1[[#This Row],[2023]]-Table1[[#This Row],[2022]])/Table1[[#This Row],[2022]]),0)</f>
        <v>0.26484641638225237</v>
      </c>
      <c r="Q256" s="219">
        <f>IFERROR(((Table1[[#This Row],[Volume 2023]]-Table1[[#This Row],[Volume 2022]])/Table1[[#This Row],[Volume 2022]]),0)</f>
        <v>0.32961620667224234</v>
      </c>
      <c r="R256" s="219">
        <f>Table1[[#This Row],[YoY growth]]-Table1[[#This Row],[Volume growth]]</f>
        <v>-6.476979028998997E-2</v>
      </c>
      <c r="S256" s="46"/>
    </row>
    <row r="257" spans="1:19" hidden="1" x14ac:dyDescent="0.25">
      <c r="A257" s="45"/>
      <c r="B257" s="41" t="s">
        <v>765</v>
      </c>
      <c r="C257" s="39" t="s">
        <v>953</v>
      </c>
      <c r="D257" s="39" t="s">
        <v>1082</v>
      </c>
      <c r="E257" s="42" t="s">
        <v>319</v>
      </c>
      <c r="F257" s="43" t="s">
        <v>9</v>
      </c>
      <c r="G257" s="38" t="s">
        <v>69</v>
      </c>
      <c r="H257" s="79" t="s">
        <v>15</v>
      </c>
      <c r="I257" s="87">
        <v>10.297499999999999</v>
      </c>
      <c r="J257" s="88">
        <v>4.8240999999999996</v>
      </c>
      <c r="K257" s="89">
        <v>4.976</v>
      </c>
      <c r="L257" s="90">
        <v>49.665700000000001</v>
      </c>
      <c r="M257" s="89">
        <v>27.7622</v>
      </c>
      <c r="N257" s="89">
        <v>22.308599999999998</v>
      </c>
      <c r="O257" s="109">
        <f>SUM(Table1[[#This Row],[2022]:[YTD 2024]])</f>
        <v>20.0976</v>
      </c>
      <c r="P257" s="219">
        <f>IFERROR(((Table1[[#This Row],[2023]]-Table1[[#This Row],[2022]])/Table1[[#This Row],[2022]]),0)</f>
        <v>-0.53152706967710606</v>
      </c>
      <c r="Q257" s="219">
        <f>IFERROR(((Table1[[#This Row],[Volume 2023]]-Table1[[#This Row],[Volume 2022]])/Table1[[#This Row],[Volume 2022]]),0)</f>
        <v>-0.44101865069857066</v>
      </c>
      <c r="R257" s="219">
        <f>Table1[[#This Row],[YoY growth]]-Table1[[#This Row],[Volume growth]]</f>
        <v>-9.0508418978535399E-2</v>
      </c>
      <c r="S257" s="46"/>
    </row>
    <row r="258" spans="1:19" hidden="1" x14ac:dyDescent="0.25">
      <c r="A258" s="45"/>
      <c r="B258" s="41" t="s">
        <v>765</v>
      </c>
      <c r="C258" s="39" t="s">
        <v>953</v>
      </c>
      <c r="D258" s="39" t="s">
        <v>1082</v>
      </c>
      <c r="E258" s="42" t="s">
        <v>320</v>
      </c>
      <c r="F258" s="43" t="s">
        <v>9</v>
      </c>
      <c r="G258" s="38" t="s">
        <v>69</v>
      </c>
      <c r="H258" s="79" t="s">
        <v>15</v>
      </c>
      <c r="I258" s="87">
        <v>0.2089</v>
      </c>
      <c r="J258" s="88">
        <v>0</v>
      </c>
      <c r="K258" s="89">
        <v>0</v>
      </c>
      <c r="L258" s="90">
        <v>1.25</v>
      </c>
      <c r="M258" s="89">
        <v>0</v>
      </c>
      <c r="N258" s="89">
        <v>0</v>
      </c>
      <c r="O258" s="109">
        <f>SUM(Table1[[#This Row],[2022]:[YTD 2024]])</f>
        <v>0.2089</v>
      </c>
      <c r="P258" s="219">
        <f>IFERROR(((Table1[[#This Row],[2023]]-Table1[[#This Row],[2022]])/Table1[[#This Row],[2022]]),0)</f>
        <v>-1</v>
      </c>
      <c r="Q258" s="219">
        <f>IFERROR(((Table1[[#This Row],[Volume 2023]]-Table1[[#This Row],[Volume 2022]])/Table1[[#This Row],[Volume 2022]]),0)</f>
        <v>-1</v>
      </c>
      <c r="R258" s="219">
        <f>Table1[[#This Row],[YoY growth]]-Table1[[#This Row],[Volume growth]]</f>
        <v>0</v>
      </c>
      <c r="S258" s="46"/>
    </row>
    <row r="259" spans="1:19" hidden="1" x14ac:dyDescent="0.25">
      <c r="A259" s="45"/>
      <c r="B259" s="41" t="s">
        <v>765</v>
      </c>
      <c r="C259" s="39" t="s">
        <v>953</v>
      </c>
      <c r="D259" s="39" t="s">
        <v>1082</v>
      </c>
      <c r="E259" s="42" t="s">
        <v>321</v>
      </c>
      <c r="F259" s="43" t="s">
        <v>9</v>
      </c>
      <c r="G259" s="38" t="s">
        <v>10</v>
      </c>
      <c r="H259" s="79" t="s">
        <v>99</v>
      </c>
      <c r="I259" s="87">
        <v>0</v>
      </c>
      <c r="J259" s="88">
        <v>0</v>
      </c>
      <c r="K259" s="89">
        <v>0.18790000000000001</v>
      </c>
      <c r="L259" s="90">
        <v>0</v>
      </c>
      <c r="M259" s="89">
        <v>0</v>
      </c>
      <c r="N259" s="89">
        <v>1.0885</v>
      </c>
      <c r="O259" s="109">
        <f>SUM(Table1[[#This Row],[2022]:[YTD 2024]])</f>
        <v>0.18790000000000001</v>
      </c>
      <c r="P259" s="219">
        <f>IFERROR(((Table1[[#This Row],[2023]]-Table1[[#This Row],[2022]])/Table1[[#This Row],[2022]]),0)</f>
        <v>0</v>
      </c>
      <c r="Q259" s="219">
        <f>IFERROR(((Table1[[#This Row],[Volume 2023]]-Table1[[#This Row],[Volume 2022]])/Table1[[#This Row],[Volume 2022]]),0)</f>
        <v>0</v>
      </c>
      <c r="R259" s="219">
        <f>Table1[[#This Row],[YoY growth]]-Table1[[#This Row],[Volume growth]]</f>
        <v>0</v>
      </c>
      <c r="S259" s="46"/>
    </row>
    <row r="260" spans="1:19" hidden="1" x14ac:dyDescent="0.25">
      <c r="A260" s="45"/>
      <c r="B260" s="41" t="s">
        <v>765</v>
      </c>
      <c r="C260" s="39" t="s">
        <v>953</v>
      </c>
      <c r="D260" s="39" t="s">
        <v>1082</v>
      </c>
      <c r="E260" s="42" t="s">
        <v>322</v>
      </c>
      <c r="F260" s="43" t="s">
        <v>9</v>
      </c>
      <c r="G260" s="38" t="s">
        <v>10</v>
      </c>
      <c r="H260" s="79" t="s">
        <v>103</v>
      </c>
      <c r="I260" s="87">
        <v>1.4366000000000001</v>
      </c>
      <c r="J260" s="88">
        <v>2.8525</v>
      </c>
      <c r="K260" s="89">
        <v>1.1071</v>
      </c>
      <c r="L260" s="90">
        <v>10.09</v>
      </c>
      <c r="M260" s="89">
        <v>20.329999999999998</v>
      </c>
      <c r="N260" s="89">
        <v>7.64</v>
      </c>
      <c r="O260" s="109">
        <f>SUM(Table1[[#This Row],[2022]:[YTD 2024]])</f>
        <v>5.3962000000000003</v>
      </c>
      <c r="P260" s="219">
        <f>IFERROR(((Table1[[#This Row],[2023]]-Table1[[#This Row],[2022]])/Table1[[#This Row],[2022]]),0)</f>
        <v>0.98559097869970758</v>
      </c>
      <c r="Q260" s="219">
        <f>IFERROR(((Table1[[#This Row],[Volume 2023]]-Table1[[#This Row],[Volume 2022]])/Table1[[#This Row],[Volume 2022]]),0)</f>
        <v>1.0148662041625369</v>
      </c>
      <c r="R260" s="219">
        <f>Table1[[#This Row],[YoY growth]]-Table1[[#This Row],[Volume growth]]</f>
        <v>-2.9275225462829346E-2</v>
      </c>
      <c r="S260" s="46"/>
    </row>
    <row r="261" spans="1:19" hidden="1" x14ac:dyDescent="0.25">
      <c r="A261" s="45"/>
      <c r="B261" s="41" t="s">
        <v>765</v>
      </c>
      <c r="C261" s="39" t="s">
        <v>953</v>
      </c>
      <c r="D261" s="39" t="s">
        <v>1082</v>
      </c>
      <c r="E261" s="42" t="s">
        <v>323</v>
      </c>
      <c r="F261" s="43" t="s">
        <v>9</v>
      </c>
      <c r="G261" s="38" t="s">
        <v>69</v>
      </c>
      <c r="H261" s="79" t="s">
        <v>103</v>
      </c>
      <c r="I261" s="87">
        <v>6.5038999999999998</v>
      </c>
      <c r="J261" s="88">
        <v>6.5046999999999997</v>
      </c>
      <c r="K261" s="89">
        <v>1.2238</v>
      </c>
      <c r="L261" s="90">
        <v>46.08</v>
      </c>
      <c r="M261" s="89">
        <v>47.101700000000001</v>
      </c>
      <c r="N261" s="89">
        <v>9.65</v>
      </c>
      <c r="O261" s="109">
        <f>SUM(Table1[[#This Row],[2022]:[YTD 2024]])</f>
        <v>14.2324</v>
      </c>
      <c r="P261" s="219">
        <f>IFERROR(((Table1[[#This Row],[2023]]-Table1[[#This Row],[2022]])/Table1[[#This Row],[2022]]),0)</f>
        <v>1.2300312120418701E-4</v>
      </c>
      <c r="Q261" s="219">
        <f>IFERROR(((Table1[[#This Row],[Volume 2023]]-Table1[[#This Row],[Volume 2022]])/Table1[[#This Row],[Volume 2022]]),0)</f>
        <v>2.2172309027777837E-2</v>
      </c>
      <c r="R261" s="219">
        <f>Table1[[#This Row],[YoY growth]]-Table1[[#This Row],[Volume growth]]</f>
        <v>-2.2049305906573651E-2</v>
      </c>
      <c r="S261" s="46"/>
    </row>
    <row r="262" spans="1:19" hidden="1" x14ac:dyDescent="0.25">
      <c r="A262" s="45"/>
      <c r="B262" s="41" t="s">
        <v>765</v>
      </c>
      <c r="C262" s="39" t="s">
        <v>953</v>
      </c>
      <c r="D262" s="39" t="s">
        <v>1082</v>
      </c>
      <c r="E262" s="42" t="s">
        <v>324</v>
      </c>
      <c r="F262" s="43" t="s">
        <v>9</v>
      </c>
      <c r="G262" s="38" t="s">
        <v>30</v>
      </c>
      <c r="H262" s="79" t="s">
        <v>103</v>
      </c>
      <c r="I262" s="87">
        <v>0</v>
      </c>
      <c r="J262" s="88">
        <v>6.5199999999999994E-2</v>
      </c>
      <c r="K262" s="89">
        <v>0</v>
      </c>
      <c r="L262" s="90">
        <v>0</v>
      </c>
      <c r="M262" s="89">
        <v>0.35370000000000001</v>
      </c>
      <c r="N262" s="89">
        <v>0</v>
      </c>
      <c r="O262" s="109">
        <f>SUM(Table1[[#This Row],[2022]:[YTD 2024]])</f>
        <v>6.5199999999999994E-2</v>
      </c>
      <c r="P262" s="219">
        <f>IFERROR(((Table1[[#This Row],[2023]]-Table1[[#This Row],[2022]])/Table1[[#This Row],[2022]]),0)</f>
        <v>0</v>
      </c>
      <c r="Q262" s="219">
        <f>IFERROR(((Table1[[#This Row],[Volume 2023]]-Table1[[#This Row],[Volume 2022]])/Table1[[#This Row],[Volume 2022]]),0)</f>
        <v>0</v>
      </c>
      <c r="R262" s="219">
        <f>Table1[[#This Row],[YoY growth]]-Table1[[#This Row],[Volume growth]]</f>
        <v>0</v>
      </c>
      <c r="S262" s="46"/>
    </row>
    <row r="263" spans="1:19" hidden="1" x14ac:dyDescent="0.25">
      <c r="A263" s="45"/>
      <c r="B263" s="41" t="s">
        <v>766</v>
      </c>
      <c r="C263" s="39" t="s">
        <v>954</v>
      </c>
      <c r="D263" s="39" t="s">
        <v>1083</v>
      </c>
      <c r="E263" s="42" t="s">
        <v>326</v>
      </c>
      <c r="F263" s="43" t="s">
        <v>9</v>
      </c>
      <c r="G263" s="38" t="s">
        <v>30</v>
      </c>
      <c r="H263" s="79" t="s">
        <v>17</v>
      </c>
      <c r="I263" s="87">
        <v>7.0000000000000001E-3</v>
      </c>
      <c r="J263" s="88">
        <v>0</v>
      </c>
      <c r="K263" s="89">
        <v>0</v>
      </c>
      <c r="L263" s="90">
        <v>0.08</v>
      </c>
      <c r="M263" s="89">
        <v>0</v>
      </c>
      <c r="N263" s="89">
        <v>0</v>
      </c>
      <c r="O263" s="109">
        <f>SUM(Table1[[#This Row],[2022]:[YTD 2024]])</f>
        <v>7.0000000000000001E-3</v>
      </c>
      <c r="P263" s="219">
        <f>IFERROR(((Table1[[#This Row],[2023]]-Table1[[#This Row],[2022]])/Table1[[#This Row],[2022]]),0)</f>
        <v>-1</v>
      </c>
      <c r="Q263" s="219">
        <f>IFERROR(((Table1[[#This Row],[Volume 2023]]-Table1[[#This Row],[Volume 2022]])/Table1[[#This Row],[Volume 2022]]),0)</f>
        <v>-1</v>
      </c>
      <c r="R263" s="219">
        <f>Table1[[#This Row],[YoY growth]]-Table1[[#This Row],[Volume growth]]</f>
        <v>0</v>
      </c>
      <c r="S263" s="46"/>
    </row>
    <row r="264" spans="1:19" hidden="1" x14ac:dyDescent="0.25">
      <c r="A264" s="45"/>
      <c r="B264" s="41" t="s">
        <v>767</v>
      </c>
      <c r="C264" s="39" t="s">
        <v>1031</v>
      </c>
      <c r="D264" s="39" t="s">
        <v>1084</v>
      </c>
      <c r="E264" s="42" t="s">
        <v>328</v>
      </c>
      <c r="F264" s="43" t="s">
        <v>9</v>
      </c>
      <c r="G264" s="38" t="s">
        <v>30</v>
      </c>
      <c r="H264" s="79" t="s">
        <v>21</v>
      </c>
      <c r="I264" s="87">
        <v>0</v>
      </c>
      <c r="J264" s="88">
        <v>0</v>
      </c>
      <c r="K264" s="89">
        <v>0.80289999999999995</v>
      </c>
      <c r="L264" s="90">
        <v>0</v>
      </c>
      <c r="M264" s="89">
        <v>0</v>
      </c>
      <c r="N264" s="89">
        <v>36.833599999999997</v>
      </c>
      <c r="O264" s="109">
        <f>SUM(Table1[[#This Row],[2022]:[YTD 2024]])</f>
        <v>0.80289999999999995</v>
      </c>
      <c r="P264" s="219">
        <f>IFERROR(((Table1[[#This Row],[2023]]-Table1[[#This Row],[2022]])/Table1[[#This Row],[2022]]),0)</f>
        <v>0</v>
      </c>
      <c r="Q264" s="219">
        <f>IFERROR(((Table1[[#This Row],[Volume 2023]]-Table1[[#This Row],[Volume 2022]])/Table1[[#This Row],[Volume 2022]]),0)</f>
        <v>0</v>
      </c>
      <c r="R264" s="219">
        <f>Table1[[#This Row],[YoY growth]]-Table1[[#This Row],[Volume growth]]</f>
        <v>0</v>
      </c>
      <c r="S264" s="46"/>
    </row>
    <row r="265" spans="1:19" hidden="1" x14ac:dyDescent="0.25">
      <c r="A265" s="45"/>
      <c r="B265" s="41" t="s">
        <v>767</v>
      </c>
      <c r="C265" s="39" t="s">
        <v>955</v>
      </c>
      <c r="D265" s="39" t="s">
        <v>1084</v>
      </c>
      <c r="E265" s="42" t="s">
        <v>329</v>
      </c>
      <c r="F265" s="43" t="s">
        <v>9</v>
      </c>
      <c r="G265" s="38" t="s">
        <v>20</v>
      </c>
      <c r="H265" s="79" t="s">
        <v>21</v>
      </c>
      <c r="I265" s="87">
        <v>9.9892000000000003</v>
      </c>
      <c r="J265" s="88">
        <v>8.1153999999999993</v>
      </c>
      <c r="K265" s="89">
        <v>3.5836999999999999</v>
      </c>
      <c r="L265" s="90">
        <v>492.51530000000002</v>
      </c>
      <c r="M265" s="89">
        <v>366.96510000000001</v>
      </c>
      <c r="N265" s="89">
        <v>145.6557</v>
      </c>
      <c r="O265" s="109">
        <f>SUM(Table1[[#This Row],[2022]:[YTD 2024]])</f>
        <v>21.688299999999998</v>
      </c>
      <c r="P265" s="219">
        <f>IFERROR(((Table1[[#This Row],[2023]]-Table1[[#This Row],[2022]])/Table1[[#This Row],[2022]]),0)</f>
        <v>-0.18758258919633214</v>
      </c>
      <c r="Q265" s="219">
        <f>IFERROR(((Table1[[#This Row],[Volume 2023]]-Table1[[#This Row],[Volume 2022]])/Table1[[#This Row],[Volume 2022]]),0)</f>
        <v>-0.25491634473081348</v>
      </c>
      <c r="R265" s="219">
        <f>Table1[[#This Row],[YoY growth]]-Table1[[#This Row],[Volume growth]]</f>
        <v>6.7333755534481343E-2</v>
      </c>
      <c r="S265" s="46"/>
    </row>
    <row r="266" spans="1:19" hidden="1" x14ac:dyDescent="0.25">
      <c r="A266" s="45"/>
      <c r="B266" s="41" t="s">
        <v>767</v>
      </c>
      <c r="C266" s="39" t="s">
        <v>955</v>
      </c>
      <c r="D266" s="39" t="s">
        <v>1084</v>
      </c>
      <c r="E266" s="42" t="s">
        <v>330</v>
      </c>
      <c r="F266" s="43" t="s">
        <v>9</v>
      </c>
      <c r="G266" s="38" t="s">
        <v>30</v>
      </c>
      <c r="H266" s="79" t="s">
        <v>21</v>
      </c>
      <c r="I266" s="87">
        <v>2.3199999999999998E-2</v>
      </c>
      <c r="J266" s="88">
        <v>2.375</v>
      </c>
      <c r="K266" s="89">
        <v>2.0299</v>
      </c>
      <c r="L266" s="90">
        <v>1.054</v>
      </c>
      <c r="M266" s="89">
        <v>113.97580000000001</v>
      </c>
      <c r="N266" s="89">
        <v>89.836200000000005</v>
      </c>
      <c r="O266" s="109">
        <f>SUM(Table1[[#This Row],[2022]:[YTD 2024]])</f>
        <v>4.4281000000000006</v>
      </c>
      <c r="P266" s="219">
        <f>IFERROR(((Table1[[#This Row],[2023]]-Table1[[#This Row],[2022]])/Table1[[#This Row],[2022]]),0)</f>
        <v>101.37068965517241</v>
      </c>
      <c r="Q266" s="219">
        <f>IFERROR(((Table1[[#This Row],[Volume 2023]]-Table1[[#This Row],[Volume 2022]])/Table1[[#This Row],[Volume 2022]]),0)</f>
        <v>107.13643263757116</v>
      </c>
      <c r="R266" s="219">
        <f>Table1[[#This Row],[YoY growth]]-Table1[[#This Row],[Volume growth]]</f>
        <v>-5.7657429823987485</v>
      </c>
      <c r="S266" s="46"/>
    </row>
    <row r="267" spans="1:19" hidden="1" x14ac:dyDescent="0.25">
      <c r="A267" s="45"/>
      <c r="B267" s="41" t="s">
        <v>767</v>
      </c>
      <c r="C267" s="39" t="s">
        <v>955</v>
      </c>
      <c r="D267" s="39" t="s">
        <v>1084</v>
      </c>
      <c r="E267" s="42" t="s">
        <v>331</v>
      </c>
      <c r="F267" s="43" t="s">
        <v>9</v>
      </c>
      <c r="G267" s="38" t="s">
        <v>20</v>
      </c>
      <c r="H267" s="79" t="s">
        <v>21</v>
      </c>
      <c r="I267" s="87">
        <v>12.8912</v>
      </c>
      <c r="J267" s="88">
        <v>14.945399999999999</v>
      </c>
      <c r="K267" s="89">
        <v>2.4279000000000002</v>
      </c>
      <c r="L267" s="90">
        <v>607.44449999999995</v>
      </c>
      <c r="M267" s="89">
        <v>678.69550000000004</v>
      </c>
      <c r="N267" s="89">
        <v>103.8368</v>
      </c>
      <c r="O267" s="109">
        <f>SUM(Table1[[#This Row],[2022]:[YTD 2024]])</f>
        <v>30.264499999999998</v>
      </c>
      <c r="P267" s="219">
        <f>IFERROR(((Table1[[#This Row],[2023]]-Table1[[#This Row],[2022]])/Table1[[#This Row],[2022]]),0)</f>
        <v>0.15934901328037729</v>
      </c>
      <c r="Q267" s="219">
        <f>IFERROR(((Table1[[#This Row],[Volume 2023]]-Table1[[#This Row],[Volume 2022]])/Table1[[#This Row],[Volume 2022]]),0)</f>
        <v>0.11729631266724795</v>
      </c>
      <c r="R267" s="219">
        <f>Table1[[#This Row],[YoY growth]]-Table1[[#This Row],[Volume growth]]</f>
        <v>4.2052700613129337E-2</v>
      </c>
      <c r="S267" s="46"/>
    </row>
    <row r="268" spans="1:19" hidden="1" x14ac:dyDescent="0.25">
      <c r="A268" s="45"/>
      <c r="B268" s="41" t="s">
        <v>767</v>
      </c>
      <c r="C268" s="39" t="s">
        <v>955</v>
      </c>
      <c r="D268" s="39" t="s">
        <v>1084</v>
      </c>
      <c r="E268" s="42" t="s">
        <v>332</v>
      </c>
      <c r="F268" s="43" t="s">
        <v>9</v>
      </c>
      <c r="G268" s="38" t="s">
        <v>10</v>
      </c>
      <c r="H268" s="79" t="s">
        <v>21</v>
      </c>
      <c r="I268" s="87">
        <v>0</v>
      </c>
      <c r="J268" s="88">
        <v>0.01</v>
      </c>
      <c r="K268" s="89">
        <v>1.5183</v>
      </c>
      <c r="L268" s="90">
        <v>0</v>
      </c>
      <c r="M268" s="89">
        <v>0.48130000000000001</v>
      </c>
      <c r="N268" s="89">
        <v>68.4452</v>
      </c>
      <c r="O268" s="109">
        <f>SUM(Table1[[#This Row],[2022]:[YTD 2024]])</f>
        <v>1.5283</v>
      </c>
      <c r="P268" s="219">
        <f>IFERROR(((Table1[[#This Row],[2023]]-Table1[[#This Row],[2022]])/Table1[[#This Row],[2022]]),0)</f>
        <v>0</v>
      </c>
      <c r="Q268" s="219">
        <f>IFERROR(((Table1[[#This Row],[Volume 2023]]-Table1[[#This Row],[Volume 2022]])/Table1[[#This Row],[Volume 2022]]),0)</f>
        <v>0</v>
      </c>
      <c r="R268" s="219">
        <f>Table1[[#This Row],[YoY growth]]-Table1[[#This Row],[Volume growth]]</f>
        <v>0</v>
      </c>
      <c r="S268" s="46"/>
    </row>
    <row r="269" spans="1:19" hidden="1" x14ac:dyDescent="0.25">
      <c r="A269" s="45"/>
      <c r="B269" s="41" t="s">
        <v>767</v>
      </c>
      <c r="C269" s="39" t="s">
        <v>955</v>
      </c>
      <c r="D269" s="39" t="s">
        <v>1084</v>
      </c>
      <c r="E269" s="42" t="s">
        <v>333</v>
      </c>
      <c r="F269" s="43" t="s">
        <v>9</v>
      </c>
      <c r="G269" s="38" t="s">
        <v>30</v>
      </c>
      <c r="H269" s="79" t="s">
        <v>21</v>
      </c>
      <c r="I269" s="87">
        <v>32.355400000000003</v>
      </c>
      <c r="J269" s="88">
        <v>38.555399999999999</v>
      </c>
      <c r="K269" s="89">
        <v>28.667999999999999</v>
      </c>
      <c r="L269" s="90">
        <v>1339.7692</v>
      </c>
      <c r="M269" s="89">
        <v>1517.8848</v>
      </c>
      <c r="N269" s="89">
        <v>1147.3356000000001</v>
      </c>
      <c r="O269" s="109">
        <f>SUM(Table1[[#This Row],[2022]:[YTD 2024]])</f>
        <v>99.578800000000001</v>
      </c>
      <c r="P269" s="219">
        <f>IFERROR(((Table1[[#This Row],[2023]]-Table1[[#This Row],[2022]])/Table1[[#This Row],[2022]]),0)</f>
        <v>0.19162180037953463</v>
      </c>
      <c r="Q269" s="219">
        <f>IFERROR(((Table1[[#This Row],[Volume 2023]]-Table1[[#This Row],[Volume 2022]])/Table1[[#This Row],[Volume 2022]]),0)</f>
        <v>0.13294498783820385</v>
      </c>
      <c r="R269" s="219">
        <f>Table1[[#This Row],[YoY growth]]-Table1[[#This Row],[Volume growth]]</f>
        <v>5.8676812541330781E-2</v>
      </c>
      <c r="S269" s="46"/>
    </row>
    <row r="270" spans="1:19" hidden="1" x14ac:dyDescent="0.25">
      <c r="A270" s="45"/>
      <c r="B270" s="41" t="s">
        <v>767</v>
      </c>
      <c r="C270" s="39" t="s">
        <v>955</v>
      </c>
      <c r="D270" s="39" t="s">
        <v>1084</v>
      </c>
      <c r="E270" s="42" t="s">
        <v>334</v>
      </c>
      <c r="F270" s="43" t="s">
        <v>9</v>
      </c>
      <c r="G270" s="38" t="s">
        <v>20</v>
      </c>
      <c r="H270" s="79" t="s">
        <v>24</v>
      </c>
      <c r="I270" s="87">
        <v>39.0503</v>
      </c>
      <c r="J270" s="88">
        <v>53.6008</v>
      </c>
      <c r="K270" s="89">
        <v>45.671900000000001</v>
      </c>
      <c r="L270" s="90">
        <v>2028.7261000000001</v>
      </c>
      <c r="M270" s="89">
        <v>2727.4971999999998</v>
      </c>
      <c r="N270" s="89">
        <v>2409.5587999999998</v>
      </c>
      <c r="O270" s="109">
        <f>SUM(Table1[[#This Row],[2022]:[YTD 2024]])</f>
        <v>138.32300000000001</v>
      </c>
      <c r="P270" s="219">
        <f>IFERROR(((Table1[[#This Row],[2023]]-Table1[[#This Row],[2022]])/Table1[[#This Row],[2022]]),0)</f>
        <v>0.3726091732970041</v>
      </c>
      <c r="Q270" s="219">
        <f>IFERROR(((Table1[[#This Row],[Volume 2023]]-Table1[[#This Row],[Volume 2022]])/Table1[[#This Row],[Volume 2022]]),0)</f>
        <v>0.34443836454807758</v>
      </c>
      <c r="R270" s="219">
        <f>Table1[[#This Row],[YoY growth]]-Table1[[#This Row],[Volume growth]]</f>
        <v>2.8170808748926524E-2</v>
      </c>
      <c r="S270" s="46"/>
    </row>
    <row r="271" spans="1:19" hidden="1" x14ac:dyDescent="0.25">
      <c r="A271" s="45"/>
      <c r="B271" s="41" t="s">
        <v>767</v>
      </c>
      <c r="C271" s="39" t="s">
        <v>955</v>
      </c>
      <c r="D271" s="39" t="s">
        <v>1084</v>
      </c>
      <c r="E271" s="42" t="s">
        <v>335</v>
      </c>
      <c r="F271" s="43" t="s">
        <v>9</v>
      </c>
      <c r="G271" s="38" t="s">
        <v>30</v>
      </c>
      <c r="H271" s="79" t="s">
        <v>24</v>
      </c>
      <c r="I271" s="87">
        <v>18.061</v>
      </c>
      <c r="J271" s="88">
        <v>20.3689</v>
      </c>
      <c r="K271" s="89">
        <v>25.3782</v>
      </c>
      <c r="L271" s="90">
        <v>997.27200000000005</v>
      </c>
      <c r="M271" s="89">
        <v>1129.9784999999999</v>
      </c>
      <c r="N271" s="89">
        <v>1401.0871999999999</v>
      </c>
      <c r="O271" s="109">
        <f>SUM(Table1[[#This Row],[2022]:[YTD 2024]])</f>
        <v>63.808100000000003</v>
      </c>
      <c r="P271" s="219">
        <f>IFERROR(((Table1[[#This Row],[2023]]-Table1[[#This Row],[2022]])/Table1[[#This Row],[2022]]),0)</f>
        <v>0.1277836221693151</v>
      </c>
      <c r="Q271" s="219">
        <f>IFERROR(((Table1[[#This Row],[Volume 2023]]-Table1[[#This Row],[Volume 2022]])/Table1[[#This Row],[Volume 2022]]),0)</f>
        <v>0.13306951363319122</v>
      </c>
      <c r="R271" s="219">
        <f>Table1[[#This Row],[YoY growth]]-Table1[[#This Row],[Volume growth]]</f>
        <v>-5.285891463876119E-3</v>
      </c>
      <c r="S271" s="46"/>
    </row>
    <row r="272" spans="1:19" hidden="1" x14ac:dyDescent="0.25">
      <c r="A272" s="45"/>
      <c r="B272" s="41" t="s">
        <v>767</v>
      </c>
      <c r="C272" s="39" t="s">
        <v>955</v>
      </c>
      <c r="D272" s="39" t="s">
        <v>1084</v>
      </c>
      <c r="E272" s="42" t="s">
        <v>336</v>
      </c>
      <c r="F272" s="43" t="s">
        <v>9</v>
      </c>
      <c r="G272" s="38" t="s">
        <v>20</v>
      </c>
      <c r="H272" s="79" t="s">
        <v>24</v>
      </c>
      <c r="I272" s="87">
        <v>60.256900000000002</v>
      </c>
      <c r="J272" s="88">
        <v>59.171300000000002</v>
      </c>
      <c r="K272" s="89">
        <v>46.391500000000001</v>
      </c>
      <c r="L272" s="90">
        <v>3003.9076</v>
      </c>
      <c r="M272" s="89">
        <v>2862.6754999999998</v>
      </c>
      <c r="N272" s="89">
        <v>2309.9086000000002</v>
      </c>
      <c r="O272" s="109">
        <f>SUM(Table1[[#This Row],[2022]:[YTD 2024]])</f>
        <v>165.81970000000001</v>
      </c>
      <c r="P272" s="219">
        <f>IFERROR(((Table1[[#This Row],[2023]]-Table1[[#This Row],[2022]])/Table1[[#This Row],[2022]]),0)</f>
        <v>-1.8016193996040278E-2</v>
      </c>
      <c r="Q272" s="219">
        <f>IFERROR(((Table1[[#This Row],[Volume 2023]]-Table1[[#This Row],[Volume 2022]])/Table1[[#This Row],[Volume 2022]]),0)</f>
        <v>-4.701612659457307E-2</v>
      </c>
      <c r="R272" s="219">
        <f>Table1[[#This Row],[YoY growth]]-Table1[[#This Row],[Volume growth]]</f>
        <v>2.8999932598532792E-2</v>
      </c>
      <c r="S272" s="46"/>
    </row>
    <row r="273" spans="1:19" hidden="1" x14ac:dyDescent="0.25">
      <c r="A273" s="45"/>
      <c r="B273" s="41" t="s">
        <v>767</v>
      </c>
      <c r="C273" s="39" t="s">
        <v>955</v>
      </c>
      <c r="D273" s="39" t="s">
        <v>1084</v>
      </c>
      <c r="E273" s="42" t="s">
        <v>337</v>
      </c>
      <c r="F273" s="43" t="s">
        <v>9</v>
      </c>
      <c r="G273" s="38" t="s">
        <v>20</v>
      </c>
      <c r="H273" s="79" t="s">
        <v>24</v>
      </c>
      <c r="I273" s="87">
        <v>20.0168</v>
      </c>
      <c r="J273" s="88">
        <v>19.4117</v>
      </c>
      <c r="K273" s="89">
        <v>16.676400000000001</v>
      </c>
      <c r="L273" s="90">
        <v>1086.6414</v>
      </c>
      <c r="M273" s="89">
        <v>1089.1328000000001</v>
      </c>
      <c r="N273" s="89">
        <v>913.75469999999996</v>
      </c>
      <c r="O273" s="109">
        <f>SUM(Table1[[#This Row],[2022]:[YTD 2024]])</f>
        <v>56.104900000000001</v>
      </c>
      <c r="P273" s="219">
        <f>IFERROR(((Table1[[#This Row],[2023]]-Table1[[#This Row],[2022]])/Table1[[#This Row],[2022]]),0)</f>
        <v>-3.0229607130010799E-2</v>
      </c>
      <c r="Q273" s="219">
        <f>IFERROR(((Table1[[#This Row],[Volume 2023]]-Table1[[#This Row],[Volume 2022]])/Table1[[#This Row],[Volume 2022]]),0)</f>
        <v>2.2927526965198569E-3</v>
      </c>
      <c r="R273" s="219">
        <f>Table1[[#This Row],[YoY growth]]-Table1[[#This Row],[Volume growth]]</f>
        <v>-3.2522359826530657E-2</v>
      </c>
      <c r="S273" s="46"/>
    </row>
    <row r="274" spans="1:19" hidden="1" x14ac:dyDescent="0.25">
      <c r="A274" s="45"/>
      <c r="B274" s="41" t="s">
        <v>767</v>
      </c>
      <c r="C274" s="39" t="s">
        <v>955</v>
      </c>
      <c r="D274" s="39" t="s">
        <v>1084</v>
      </c>
      <c r="E274" s="42" t="s">
        <v>338</v>
      </c>
      <c r="F274" s="43" t="s">
        <v>9</v>
      </c>
      <c r="G274" s="38" t="s">
        <v>20</v>
      </c>
      <c r="H274" s="79" t="s">
        <v>24</v>
      </c>
      <c r="I274" s="87">
        <v>15.4658</v>
      </c>
      <c r="J274" s="88">
        <v>23.898299999999999</v>
      </c>
      <c r="K274" s="89">
        <v>20.8841</v>
      </c>
      <c r="L274" s="90">
        <v>835.59469999999999</v>
      </c>
      <c r="M274" s="89">
        <v>1304.8905999999999</v>
      </c>
      <c r="N274" s="89">
        <v>1122.8086000000001</v>
      </c>
      <c r="O274" s="109">
        <f>SUM(Table1[[#This Row],[2022]:[YTD 2024]])</f>
        <v>60.248199999999997</v>
      </c>
      <c r="P274" s="219">
        <f>IFERROR(((Table1[[#This Row],[2023]]-Table1[[#This Row],[2022]])/Table1[[#This Row],[2022]]),0)</f>
        <v>0.54523529335695531</v>
      </c>
      <c r="Q274" s="219">
        <f>IFERROR(((Table1[[#This Row],[Volume 2023]]-Table1[[#This Row],[Volume 2022]])/Table1[[#This Row],[Volume 2022]]),0)</f>
        <v>0.56163101561079787</v>
      </c>
      <c r="R274" s="219">
        <f>Table1[[#This Row],[YoY growth]]-Table1[[#This Row],[Volume growth]]</f>
        <v>-1.639572225384256E-2</v>
      </c>
      <c r="S274" s="46"/>
    </row>
    <row r="275" spans="1:19" hidden="1" x14ac:dyDescent="0.25">
      <c r="A275" s="45"/>
      <c r="B275" s="41" t="s">
        <v>767</v>
      </c>
      <c r="C275" s="39" t="s">
        <v>955</v>
      </c>
      <c r="D275" s="39" t="s">
        <v>1084</v>
      </c>
      <c r="E275" s="42" t="s">
        <v>339</v>
      </c>
      <c r="F275" s="43" t="s">
        <v>9</v>
      </c>
      <c r="G275" s="38" t="s">
        <v>10</v>
      </c>
      <c r="H275" s="79" t="s">
        <v>24</v>
      </c>
      <c r="I275" s="87">
        <v>17.192699999999999</v>
      </c>
      <c r="J275" s="88">
        <v>14.837400000000001</v>
      </c>
      <c r="K275" s="89">
        <v>10.0755</v>
      </c>
      <c r="L275" s="90">
        <v>845.18690000000004</v>
      </c>
      <c r="M275" s="89">
        <v>818.97209999999995</v>
      </c>
      <c r="N275" s="89">
        <v>554.23329999999999</v>
      </c>
      <c r="O275" s="109">
        <f>SUM(Table1[[#This Row],[2022]:[YTD 2024]])</f>
        <v>42.105599999999995</v>
      </c>
      <c r="P275" s="219">
        <f>IFERROR(((Table1[[#This Row],[2023]]-Table1[[#This Row],[2022]])/Table1[[#This Row],[2022]]),0)</f>
        <v>-0.13699418939433586</v>
      </c>
      <c r="Q275" s="219">
        <f>IFERROR(((Table1[[#This Row],[Volume 2023]]-Table1[[#This Row],[Volume 2022]])/Table1[[#This Row],[Volume 2022]]),0)</f>
        <v>-3.1016571600908722E-2</v>
      </c>
      <c r="R275" s="219">
        <f>Table1[[#This Row],[YoY growth]]-Table1[[#This Row],[Volume growth]]</f>
        <v>-0.10597761779342714</v>
      </c>
      <c r="S275" s="46"/>
    </row>
    <row r="276" spans="1:19" hidden="1" x14ac:dyDescent="0.25">
      <c r="A276" s="45"/>
      <c r="B276" s="41" t="s">
        <v>767</v>
      </c>
      <c r="C276" s="39" t="s">
        <v>955</v>
      </c>
      <c r="D276" s="39" t="s">
        <v>1084</v>
      </c>
      <c r="E276" s="42" t="s">
        <v>340</v>
      </c>
      <c r="F276" s="43" t="s">
        <v>9</v>
      </c>
      <c r="G276" s="38" t="s">
        <v>30</v>
      </c>
      <c r="H276" s="79" t="s">
        <v>24</v>
      </c>
      <c r="I276" s="87">
        <v>12.4558</v>
      </c>
      <c r="J276" s="88">
        <v>19.5045</v>
      </c>
      <c r="K276" s="89">
        <v>19.680399999999999</v>
      </c>
      <c r="L276" s="90">
        <v>695.70420000000001</v>
      </c>
      <c r="M276" s="89">
        <v>1080.8305</v>
      </c>
      <c r="N276" s="89">
        <v>1068.2409</v>
      </c>
      <c r="O276" s="109">
        <f>SUM(Table1[[#This Row],[2022]:[YTD 2024]])</f>
        <v>51.640699999999995</v>
      </c>
      <c r="P276" s="219">
        <f>IFERROR(((Table1[[#This Row],[2023]]-Table1[[#This Row],[2022]])/Table1[[#This Row],[2022]]),0)</f>
        <v>0.56589701183384444</v>
      </c>
      <c r="Q276" s="219">
        <f>IFERROR(((Table1[[#This Row],[Volume 2023]]-Table1[[#This Row],[Volume 2022]])/Table1[[#This Row],[Volume 2022]]),0)</f>
        <v>0.55357765556108474</v>
      </c>
      <c r="R276" s="219">
        <f>Table1[[#This Row],[YoY growth]]-Table1[[#This Row],[Volume growth]]</f>
        <v>1.2319356272759707E-2</v>
      </c>
      <c r="S276" s="46"/>
    </row>
    <row r="277" spans="1:19" hidden="1" x14ac:dyDescent="0.25">
      <c r="A277" s="45"/>
      <c r="B277" s="41" t="s">
        <v>767</v>
      </c>
      <c r="C277" s="39" t="s">
        <v>955</v>
      </c>
      <c r="D277" s="39" t="s">
        <v>1084</v>
      </c>
      <c r="E277" s="42" t="s">
        <v>341</v>
      </c>
      <c r="F277" s="43" t="s">
        <v>9</v>
      </c>
      <c r="G277" s="38" t="s">
        <v>30</v>
      </c>
      <c r="H277" s="79" t="s">
        <v>24</v>
      </c>
      <c r="I277" s="87">
        <v>29.7578</v>
      </c>
      <c r="J277" s="88">
        <v>42.059199999999997</v>
      </c>
      <c r="K277" s="89">
        <v>37.9373</v>
      </c>
      <c r="L277" s="90">
        <v>1513.1635000000001</v>
      </c>
      <c r="M277" s="89">
        <v>2139.8314999999998</v>
      </c>
      <c r="N277" s="89">
        <v>1997.7666999999999</v>
      </c>
      <c r="O277" s="109">
        <f>SUM(Table1[[#This Row],[2022]:[YTD 2024]])</f>
        <v>109.7543</v>
      </c>
      <c r="P277" s="219">
        <f>IFERROR(((Table1[[#This Row],[2023]]-Table1[[#This Row],[2022]])/Table1[[#This Row],[2022]]),0)</f>
        <v>0.41338405392871774</v>
      </c>
      <c r="Q277" s="219">
        <f>IFERROR(((Table1[[#This Row],[Volume 2023]]-Table1[[#This Row],[Volume 2022]])/Table1[[#This Row],[Volume 2022]]),0)</f>
        <v>0.41414427456120878</v>
      </c>
      <c r="R277" s="219">
        <f>Table1[[#This Row],[YoY growth]]-Table1[[#This Row],[Volume growth]]</f>
        <v>-7.6022063249103766E-4</v>
      </c>
      <c r="S277" s="46"/>
    </row>
    <row r="278" spans="1:19" hidden="1" x14ac:dyDescent="0.25">
      <c r="A278" s="45"/>
      <c r="B278" s="41" t="s">
        <v>767</v>
      </c>
      <c r="C278" s="39" t="s">
        <v>955</v>
      </c>
      <c r="D278" s="39" t="s">
        <v>1084</v>
      </c>
      <c r="E278" s="42" t="s">
        <v>342</v>
      </c>
      <c r="F278" s="43" t="s">
        <v>9</v>
      </c>
      <c r="G278" s="38" t="s">
        <v>20</v>
      </c>
      <c r="H278" s="79" t="s">
        <v>11</v>
      </c>
      <c r="I278" s="87">
        <v>12.4033</v>
      </c>
      <c r="J278" s="88">
        <v>7.0781999999999998</v>
      </c>
      <c r="K278" s="89">
        <v>1.7199</v>
      </c>
      <c r="L278" s="90">
        <v>294.48759999999999</v>
      </c>
      <c r="M278" s="89">
        <v>150.97989999999999</v>
      </c>
      <c r="N278" s="89">
        <v>36.068199999999997</v>
      </c>
      <c r="O278" s="109">
        <f>SUM(Table1[[#This Row],[2022]:[YTD 2024]])</f>
        <v>21.2014</v>
      </c>
      <c r="P278" s="219">
        <f>IFERROR(((Table1[[#This Row],[2023]]-Table1[[#This Row],[2022]])/Table1[[#This Row],[2022]]),0)</f>
        <v>-0.42932929139825693</v>
      </c>
      <c r="Q278" s="219">
        <f>IFERROR(((Table1[[#This Row],[Volume 2023]]-Table1[[#This Row],[Volume 2022]])/Table1[[#This Row],[Volume 2022]]),0)</f>
        <v>-0.48731321794194393</v>
      </c>
      <c r="R278" s="219">
        <f>Table1[[#This Row],[YoY growth]]-Table1[[#This Row],[Volume growth]]</f>
        <v>5.7983926543687003E-2</v>
      </c>
      <c r="S278" s="46"/>
    </row>
    <row r="279" spans="1:19" hidden="1" x14ac:dyDescent="0.25">
      <c r="A279" s="45"/>
      <c r="B279" s="41" t="s">
        <v>767</v>
      </c>
      <c r="C279" s="39" t="s">
        <v>955</v>
      </c>
      <c r="D279" s="39" t="s">
        <v>1084</v>
      </c>
      <c r="E279" s="42" t="s">
        <v>343</v>
      </c>
      <c r="F279" s="43" t="s">
        <v>9</v>
      </c>
      <c r="G279" s="38" t="s">
        <v>30</v>
      </c>
      <c r="H279" s="79" t="s">
        <v>32</v>
      </c>
      <c r="I279" s="87">
        <v>1.6268</v>
      </c>
      <c r="J279" s="88">
        <v>0</v>
      </c>
      <c r="K279" s="89">
        <v>0</v>
      </c>
      <c r="L279" s="90">
        <v>65.1297</v>
      </c>
      <c r="M279" s="89">
        <v>0</v>
      </c>
      <c r="N279" s="89">
        <v>0</v>
      </c>
      <c r="O279" s="109">
        <f>SUM(Table1[[#This Row],[2022]:[YTD 2024]])</f>
        <v>1.6268</v>
      </c>
      <c r="P279" s="219">
        <f>IFERROR(((Table1[[#This Row],[2023]]-Table1[[#This Row],[2022]])/Table1[[#This Row],[2022]]),0)</f>
        <v>-1</v>
      </c>
      <c r="Q279" s="219">
        <f>IFERROR(((Table1[[#This Row],[Volume 2023]]-Table1[[#This Row],[Volume 2022]])/Table1[[#This Row],[Volume 2022]]),0)</f>
        <v>-1</v>
      </c>
      <c r="R279" s="219">
        <f>Table1[[#This Row],[YoY growth]]-Table1[[#This Row],[Volume growth]]</f>
        <v>0</v>
      </c>
      <c r="S279" s="46"/>
    </row>
    <row r="280" spans="1:19" hidden="1" x14ac:dyDescent="0.25">
      <c r="A280" s="45"/>
      <c r="B280" s="41" t="s">
        <v>767</v>
      </c>
      <c r="C280" s="39" t="s">
        <v>955</v>
      </c>
      <c r="D280" s="39" t="s">
        <v>1084</v>
      </c>
      <c r="E280" s="42" t="s">
        <v>344</v>
      </c>
      <c r="F280" s="43" t="s">
        <v>9</v>
      </c>
      <c r="G280" s="38" t="s">
        <v>30</v>
      </c>
      <c r="H280" s="79" t="s">
        <v>32</v>
      </c>
      <c r="I280" s="87">
        <v>2.5358999999999998</v>
      </c>
      <c r="J280" s="88">
        <v>0</v>
      </c>
      <c r="K280" s="89">
        <v>0</v>
      </c>
      <c r="L280" s="90">
        <v>101.7274</v>
      </c>
      <c r="M280" s="89">
        <v>0</v>
      </c>
      <c r="N280" s="89">
        <v>0</v>
      </c>
      <c r="O280" s="109">
        <f>SUM(Table1[[#This Row],[2022]:[YTD 2024]])</f>
        <v>2.5358999999999998</v>
      </c>
      <c r="P280" s="219">
        <f>IFERROR(((Table1[[#This Row],[2023]]-Table1[[#This Row],[2022]])/Table1[[#This Row],[2022]]),0)</f>
        <v>-1</v>
      </c>
      <c r="Q280" s="219">
        <f>IFERROR(((Table1[[#This Row],[Volume 2023]]-Table1[[#This Row],[Volume 2022]])/Table1[[#This Row],[Volume 2022]]),0)</f>
        <v>-1</v>
      </c>
      <c r="R280" s="219">
        <f>Table1[[#This Row],[YoY growth]]-Table1[[#This Row],[Volume growth]]</f>
        <v>0</v>
      </c>
      <c r="S280" s="46"/>
    </row>
    <row r="281" spans="1:19" hidden="1" x14ac:dyDescent="0.25">
      <c r="A281" s="45"/>
      <c r="B281" s="41" t="s">
        <v>767</v>
      </c>
      <c r="C281" s="39" t="s">
        <v>955</v>
      </c>
      <c r="D281" s="39" t="s">
        <v>1084</v>
      </c>
      <c r="E281" s="42" t="s">
        <v>345</v>
      </c>
      <c r="F281" s="43" t="s">
        <v>9</v>
      </c>
      <c r="G281" s="38" t="s">
        <v>10</v>
      </c>
      <c r="H281" s="79" t="s">
        <v>99</v>
      </c>
      <c r="I281" s="87">
        <v>0</v>
      </c>
      <c r="J281" s="88">
        <v>0</v>
      </c>
      <c r="K281" s="89">
        <v>3.6318999999999999</v>
      </c>
      <c r="L281" s="90">
        <v>0</v>
      </c>
      <c r="M281" s="89">
        <v>0</v>
      </c>
      <c r="N281" s="89">
        <v>71.160700000000006</v>
      </c>
      <c r="O281" s="109">
        <f>SUM(Table1[[#This Row],[2022]:[YTD 2024]])</f>
        <v>3.6318999999999999</v>
      </c>
      <c r="P281" s="219">
        <f>IFERROR(((Table1[[#This Row],[2023]]-Table1[[#This Row],[2022]])/Table1[[#This Row],[2022]]),0)</f>
        <v>0</v>
      </c>
      <c r="Q281" s="219">
        <f>IFERROR(((Table1[[#This Row],[Volume 2023]]-Table1[[#This Row],[Volume 2022]])/Table1[[#This Row],[Volume 2022]]),0)</f>
        <v>0</v>
      </c>
      <c r="R281" s="219">
        <f>Table1[[#This Row],[YoY growth]]-Table1[[#This Row],[Volume growth]]</f>
        <v>0</v>
      </c>
      <c r="S281" s="46"/>
    </row>
    <row r="282" spans="1:19" hidden="1" x14ac:dyDescent="0.25">
      <c r="A282" s="45"/>
      <c r="B282" s="41" t="s">
        <v>767</v>
      </c>
      <c r="C282" s="39" t="s">
        <v>955</v>
      </c>
      <c r="D282" s="39" t="s">
        <v>1084</v>
      </c>
      <c r="E282" s="42" t="s">
        <v>346</v>
      </c>
      <c r="F282" s="43" t="s">
        <v>9</v>
      </c>
      <c r="G282" s="38" t="s">
        <v>10</v>
      </c>
      <c r="H282" s="79" t="s">
        <v>42</v>
      </c>
      <c r="I282" s="87">
        <v>17.9986</v>
      </c>
      <c r="J282" s="88">
        <v>13.0489</v>
      </c>
      <c r="K282" s="89">
        <v>10.643000000000001</v>
      </c>
      <c r="L282" s="90">
        <v>650.62580000000003</v>
      </c>
      <c r="M282" s="89">
        <v>424.79559999999998</v>
      </c>
      <c r="N282" s="89">
        <v>323.3997</v>
      </c>
      <c r="O282" s="109">
        <f>SUM(Table1[[#This Row],[2022]:[YTD 2024]])</f>
        <v>41.6905</v>
      </c>
      <c r="P282" s="219">
        <f>IFERROR(((Table1[[#This Row],[2023]]-Table1[[#This Row],[2022]])/Table1[[#This Row],[2022]]),0)</f>
        <v>-0.27500472258953473</v>
      </c>
      <c r="Q282" s="219">
        <f>IFERROR(((Table1[[#This Row],[Volume 2023]]-Table1[[#This Row],[Volume 2022]])/Table1[[#This Row],[Volume 2022]]),0)</f>
        <v>-0.34709690270505728</v>
      </c>
      <c r="R282" s="219">
        <f>Table1[[#This Row],[YoY growth]]-Table1[[#This Row],[Volume growth]]</f>
        <v>7.2092180115522542E-2</v>
      </c>
      <c r="S282" s="46"/>
    </row>
    <row r="283" spans="1:19" hidden="1" x14ac:dyDescent="0.25">
      <c r="A283" s="45"/>
      <c r="B283" s="41" t="s">
        <v>767</v>
      </c>
      <c r="C283" s="39" t="s">
        <v>955</v>
      </c>
      <c r="D283" s="39" t="s">
        <v>1084</v>
      </c>
      <c r="E283" s="42" t="s">
        <v>347</v>
      </c>
      <c r="F283" s="43" t="s">
        <v>9</v>
      </c>
      <c r="G283" s="38" t="s">
        <v>64</v>
      </c>
      <c r="H283" s="79" t="s">
        <v>42</v>
      </c>
      <c r="I283" s="87">
        <v>18.099399999999999</v>
      </c>
      <c r="J283" s="88">
        <v>12.3561</v>
      </c>
      <c r="K283" s="89">
        <v>12.3432</v>
      </c>
      <c r="L283" s="90">
        <v>1018.4675999999999</v>
      </c>
      <c r="M283" s="89">
        <v>683.55870000000004</v>
      </c>
      <c r="N283" s="89">
        <v>606.59050000000002</v>
      </c>
      <c r="O283" s="109">
        <f>SUM(Table1[[#This Row],[2022]:[YTD 2024]])</f>
        <v>42.798699999999997</v>
      </c>
      <c r="P283" s="219">
        <f>IFERROR(((Table1[[#This Row],[2023]]-Table1[[#This Row],[2022]])/Table1[[#This Row],[2022]]),0)</f>
        <v>-0.31731991115727592</v>
      </c>
      <c r="Q283" s="219">
        <f>IFERROR(((Table1[[#This Row],[Volume 2023]]-Table1[[#This Row],[Volume 2022]])/Table1[[#This Row],[Volume 2022]]),0)</f>
        <v>-0.32883608668552627</v>
      </c>
      <c r="R283" s="219">
        <f>Table1[[#This Row],[YoY growth]]-Table1[[#This Row],[Volume growth]]</f>
        <v>1.151617552825035E-2</v>
      </c>
      <c r="S283" s="46"/>
    </row>
    <row r="284" spans="1:19" hidden="1" x14ac:dyDescent="0.25">
      <c r="A284" s="45"/>
      <c r="B284" s="41" t="s">
        <v>767</v>
      </c>
      <c r="C284" s="39" t="s">
        <v>955</v>
      </c>
      <c r="D284" s="39" t="s">
        <v>1084</v>
      </c>
      <c r="E284" s="42" t="s">
        <v>348</v>
      </c>
      <c r="F284" s="43" t="s">
        <v>9</v>
      </c>
      <c r="G284" s="38" t="s">
        <v>10</v>
      </c>
      <c r="H284" s="79" t="s">
        <v>42</v>
      </c>
      <c r="I284" s="87">
        <v>13.9643</v>
      </c>
      <c r="J284" s="88">
        <v>11.9328</v>
      </c>
      <c r="K284" s="89">
        <v>7.4202000000000004</v>
      </c>
      <c r="L284" s="90">
        <v>510.25119999999998</v>
      </c>
      <c r="M284" s="89">
        <v>382.31479999999999</v>
      </c>
      <c r="N284" s="89">
        <v>215.15559999999999</v>
      </c>
      <c r="O284" s="109">
        <f>SUM(Table1[[#This Row],[2022]:[YTD 2024]])</f>
        <v>33.317300000000003</v>
      </c>
      <c r="P284" s="219">
        <f>IFERROR(((Table1[[#This Row],[2023]]-Table1[[#This Row],[2022]])/Table1[[#This Row],[2022]]),0)</f>
        <v>-0.1454781120428521</v>
      </c>
      <c r="Q284" s="219">
        <f>IFERROR(((Table1[[#This Row],[Volume 2023]]-Table1[[#This Row],[Volume 2022]])/Table1[[#This Row],[Volume 2022]]),0)</f>
        <v>-0.25073218838093864</v>
      </c>
      <c r="R284" s="219">
        <f>Table1[[#This Row],[YoY growth]]-Table1[[#This Row],[Volume growth]]</f>
        <v>0.10525407633808653</v>
      </c>
      <c r="S284" s="46"/>
    </row>
    <row r="285" spans="1:19" hidden="1" x14ac:dyDescent="0.25">
      <c r="A285" s="45"/>
      <c r="B285" s="41" t="s">
        <v>767</v>
      </c>
      <c r="C285" s="39" t="s">
        <v>955</v>
      </c>
      <c r="D285" s="39" t="s">
        <v>1084</v>
      </c>
      <c r="E285" s="42" t="s">
        <v>349</v>
      </c>
      <c r="F285" s="43" t="s">
        <v>9</v>
      </c>
      <c r="G285" s="38" t="s">
        <v>20</v>
      </c>
      <c r="H285" s="79" t="s">
        <v>42</v>
      </c>
      <c r="I285" s="87">
        <v>0</v>
      </c>
      <c r="J285" s="88">
        <v>0.56559999999999999</v>
      </c>
      <c r="K285" s="89">
        <v>0.19719999999999999</v>
      </c>
      <c r="L285" s="90">
        <v>0</v>
      </c>
      <c r="M285" s="89">
        <v>6.4855</v>
      </c>
      <c r="N285" s="89">
        <v>8.6998999999999995</v>
      </c>
      <c r="O285" s="109">
        <f>SUM(Table1[[#This Row],[2022]:[YTD 2024]])</f>
        <v>0.76279999999999992</v>
      </c>
      <c r="P285" s="219">
        <f>IFERROR(((Table1[[#This Row],[2023]]-Table1[[#This Row],[2022]])/Table1[[#This Row],[2022]]),0)</f>
        <v>0</v>
      </c>
      <c r="Q285" s="219">
        <f>IFERROR(((Table1[[#This Row],[Volume 2023]]-Table1[[#This Row],[Volume 2022]])/Table1[[#This Row],[Volume 2022]]),0)</f>
        <v>0</v>
      </c>
      <c r="R285" s="219">
        <f>Table1[[#This Row],[YoY growth]]-Table1[[#This Row],[Volume growth]]</f>
        <v>0</v>
      </c>
      <c r="S285" s="46"/>
    </row>
    <row r="286" spans="1:19" hidden="1" x14ac:dyDescent="0.25">
      <c r="A286" s="45"/>
      <c r="B286" s="41" t="s">
        <v>767</v>
      </c>
      <c r="C286" s="39" t="s">
        <v>955</v>
      </c>
      <c r="D286" s="39" t="s">
        <v>1084</v>
      </c>
      <c r="E286" s="42" t="s">
        <v>350</v>
      </c>
      <c r="F286" s="43" t="s">
        <v>9</v>
      </c>
      <c r="G286" s="38" t="s">
        <v>20</v>
      </c>
      <c r="H286" s="79" t="s">
        <v>42</v>
      </c>
      <c r="I286" s="87">
        <v>11.936500000000001</v>
      </c>
      <c r="J286" s="88">
        <v>11.3424</v>
      </c>
      <c r="K286" s="89">
        <v>2.8279999999999998</v>
      </c>
      <c r="L286" s="90">
        <v>494.98500000000001</v>
      </c>
      <c r="M286" s="89">
        <v>456.52679999999998</v>
      </c>
      <c r="N286" s="89">
        <v>127.90179999999999</v>
      </c>
      <c r="O286" s="109">
        <f>SUM(Table1[[#This Row],[2022]:[YTD 2024]])</f>
        <v>26.1069</v>
      </c>
      <c r="P286" s="219">
        <f>IFERROR(((Table1[[#This Row],[2023]]-Table1[[#This Row],[2022]])/Table1[[#This Row],[2022]]),0)</f>
        <v>-4.9771708624806343E-2</v>
      </c>
      <c r="Q286" s="219">
        <f>IFERROR(((Table1[[#This Row],[Volume 2023]]-Table1[[#This Row],[Volume 2022]])/Table1[[#This Row],[Volume 2022]]),0)</f>
        <v>-7.769568774811364E-2</v>
      </c>
      <c r="R286" s="219">
        <f>Table1[[#This Row],[YoY growth]]-Table1[[#This Row],[Volume growth]]</f>
        <v>2.7923979123307296E-2</v>
      </c>
      <c r="S286" s="46"/>
    </row>
    <row r="287" spans="1:19" hidden="1" x14ac:dyDescent="0.25">
      <c r="A287" s="45"/>
      <c r="B287" s="41" t="s">
        <v>767</v>
      </c>
      <c r="C287" s="39" t="s">
        <v>955</v>
      </c>
      <c r="D287" s="39" t="s">
        <v>1084</v>
      </c>
      <c r="E287" s="42" t="s">
        <v>351</v>
      </c>
      <c r="F287" s="43" t="s">
        <v>9</v>
      </c>
      <c r="G287" s="38" t="s">
        <v>30</v>
      </c>
      <c r="H287" s="79" t="s">
        <v>42</v>
      </c>
      <c r="I287" s="87">
        <v>16.799600000000002</v>
      </c>
      <c r="J287" s="88">
        <v>11.79</v>
      </c>
      <c r="K287" s="89">
        <v>3.1292</v>
      </c>
      <c r="L287" s="90">
        <v>633.09360000000004</v>
      </c>
      <c r="M287" s="89">
        <v>491.60489999999999</v>
      </c>
      <c r="N287" s="89">
        <v>123.1259</v>
      </c>
      <c r="O287" s="109">
        <f>SUM(Table1[[#This Row],[2022]:[YTD 2024]])</f>
        <v>31.718800000000002</v>
      </c>
      <c r="P287" s="219">
        <f>IFERROR(((Table1[[#This Row],[2023]]-Table1[[#This Row],[2022]])/Table1[[#This Row],[2022]]),0)</f>
        <v>-0.29819757613276521</v>
      </c>
      <c r="Q287" s="219">
        <f>IFERROR(((Table1[[#This Row],[Volume 2023]]-Table1[[#This Row],[Volume 2022]])/Table1[[#This Row],[Volume 2022]]),0)</f>
        <v>-0.2234878065423502</v>
      </c>
      <c r="R287" s="219">
        <f>Table1[[#This Row],[YoY growth]]-Table1[[#This Row],[Volume growth]]</f>
        <v>-7.4709769590415004E-2</v>
      </c>
      <c r="S287" s="46"/>
    </row>
    <row r="288" spans="1:19" hidden="1" x14ac:dyDescent="0.25">
      <c r="A288" s="45"/>
      <c r="B288" s="41" t="s">
        <v>767</v>
      </c>
      <c r="C288" s="39" t="s">
        <v>955</v>
      </c>
      <c r="D288" s="39" t="s">
        <v>1084</v>
      </c>
      <c r="E288" s="42" t="s">
        <v>352</v>
      </c>
      <c r="F288" s="43" t="s">
        <v>9</v>
      </c>
      <c r="G288" s="38" t="s">
        <v>20</v>
      </c>
      <c r="H288" s="79" t="s">
        <v>42</v>
      </c>
      <c r="I288" s="87">
        <v>15.0557</v>
      </c>
      <c r="J288" s="88">
        <v>9.7439</v>
      </c>
      <c r="K288" s="89">
        <v>7.3936000000000002</v>
      </c>
      <c r="L288" s="90">
        <v>945.80409999999995</v>
      </c>
      <c r="M288" s="89">
        <v>583.28309999999999</v>
      </c>
      <c r="N288" s="89">
        <v>424.78879999999998</v>
      </c>
      <c r="O288" s="109">
        <f>SUM(Table1[[#This Row],[2022]:[YTD 2024]])</f>
        <v>32.193199999999997</v>
      </c>
      <c r="P288" s="219">
        <f>IFERROR(((Table1[[#This Row],[2023]]-Table1[[#This Row],[2022]])/Table1[[#This Row],[2022]]),0)</f>
        <v>-0.35280989924081907</v>
      </c>
      <c r="Q288" s="219">
        <f>IFERROR(((Table1[[#This Row],[Volume 2023]]-Table1[[#This Row],[Volume 2022]])/Table1[[#This Row],[Volume 2022]]),0)</f>
        <v>-0.38329396119132914</v>
      </c>
      <c r="R288" s="219">
        <f>Table1[[#This Row],[YoY growth]]-Table1[[#This Row],[Volume growth]]</f>
        <v>3.0484061950510066E-2</v>
      </c>
      <c r="S288" s="46"/>
    </row>
    <row r="289" spans="1:19" hidden="1" x14ac:dyDescent="0.25">
      <c r="A289" s="45"/>
      <c r="B289" s="41" t="s">
        <v>767</v>
      </c>
      <c r="C289" s="39" t="s">
        <v>955</v>
      </c>
      <c r="D289" s="39" t="s">
        <v>1084</v>
      </c>
      <c r="E289" s="42" t="s">
        <v>353</v>
      </c>
      <c r="F289" s="43" t="s">
        <v>9</v>
      </c>
      <c r="G289" s="38" t="s">
        <v>20</v>
      </c>
      <c r="H289" s="79" t="s">
        <v>42</v>
      </c>
      <c r="I289" s="87">
        <v>2.5228000000000002</v>
      </c>
      <c r="J289" s="88">
        <v>0</v>
      </c>
      <c r="K289" s="89">
        <v>0</v>
      </c>
      <c r="L289" s="90">
        <v>102.04300000000001</v>
      </c>
      <c r="M289" s="89">
        <v>0</v>
      </c>
      <c r="N289" s="89">
        <v>0</v>
      </c>
      <c r="O289" s="109">
        <f>SUM(Table1[[#This Row],[2022]:[YTD 2024]])</f>
        <v>2.5228000000000002</v>
      </c>
      <c r="P289" s="219">
        <f>IFERROR(((Table1[[#This Row],[2023]]-Table1[[#This Row],[2022]])/Table1[[#This Row],[2022]]),0)</f>
        <v>-1</v>
      </c>
      <c r="Q289" s="219">
        <f>IFERROR(((Table1[[#This Row],[Volume 2023]]-Table1[[#This Row],[Volume 2022]])/Table1[[#This Row],[Volume 2022]]),0)</f>
        <v>-1</v>
      </c>
      <c r="R289" s="219">
        <f>Table1[[#This Row],[YoY growth]]-Table1[[#This Row],[Volume growth]]</f>
        <v>0</v>
      </c>
      <c r="S289" s="46"/>
    </row>
    <row r="290" spans="1:19" hidden="1" x14ac:dyDescent="0.25">
      <c r="A290" s="45"/>
      <c r="B290" s="41" t="s">
        <v>767</v>
      </c>
      <c r="C290" s="39" t="s">
        <v>955</v>
      </c>
      <c r="D290" s="39" t="s">
        <v>1084</v>
      </c>
      <c r="E290" s="42" t="s">
        <v>354</v>
      </c>
      <c r="F290" s="43" t="s">
        <v>9</v>
      </c>
      <c r="G290" s="38" t="s">
        <v>30</v>
      </c>
      <c r="H290" s="79" t="s">
        <v>17</v>
      </c>
      <c r="I290" s="87">
        <v>5.8501000000000003</v>
      </c>
      <c r="J290" s="88">
        <v>3.1604999999999999</v>
      </c>
      <c r="K290" s="89">
        <v>1.1102000000000001</v>
      </c>
      <c r="L290" s="90">
        <v>279.7971</v>
      </c>
      <c r="M290" s="89">
        <v>133.69110000000001</v>
      </c>
      <c r="N290" s="89">
        <v>49.716799999999999</v>
      </c>
      <c r="O290" s="109">
        <f>SUM(Table1[[#This Row],[2022]:[YTD 2024]])</f>
        <v>10.120800000000001</v>
      </c>
      <c r="P290" s="219">
        <f>IFERROR(((Table1[[#This Row],[2023]]-Table1[[#This Row],[2022]])/Table1[[#This Row],[2022]]),0)</f>
        <v>-0.45975282473803869</v>
      </c>
      <c r="Q290" s="219">
        <f>IFERROR(((Table1[[#This Row],[Volume 2023]]-Table1[[#This Row],[Volume 2022]])/Table1[[#This Row],[Volume 2022]]),0)</f>
        <v>-0.52218554087944435</v>
      </c>
      <c r="R290" s="219">
        <f>Table1[[#This Row],[YoY growth]]-Table1[[#This Row],[Volume growth]]</f>
        <v>6.2432716141405664E-2</v>
      </c>
      <c r="S290" s="46"/>
    </row>
    <row r="291" spans="1:19" hidden="1" x14ac:dyDescent="0.25">
      <c r="A291" s="45"/>
      <c r="B291" s="41" t="s">
        <v>767</v>
      </c>
      <c r="C291" s="39" t="s">
        <v>955</v>
      </c>
      <c r="D291" s="39" t="s">
        <v>1084</v>
      </c>
      <c r="E291" s="42" t="s">
        <v>355</v>
      </c>
      <c r="F291" s="43" t="s">
        <v>9</v>
      </c>
      <c r="G291" s="38" t="s">
        <v>10</v>
      </c>
      <c r="H291" s="79" t="s">
        <v>17</v>
      </c>
      <c r="I291" s="87">
        <v>3.5649999999999999</v>
      </c>
      <c r="J291" s="88">
        <v>3.9624000000000001</v>
      </c>
      <c r="K291" s="89">
        <v>3.0468999999999999</v>
      </c>
      <c r="L291" s="90">
        <v>186.07509999999999</v>
      </c>
      <c r="M291" s="89">
        <v>188.92570000000001</v>
      </c>
      <c r="N291" s="89">
        <v>146.31370000000001</v>
      </c>
      <c r="O291" s="109">
        <f>SUM(Table1[[#This Row],[2022]:[YTD 2024]])</f>
        <v>10.574300000000001</v>
      </c>
      <c r="P291" s="219">
        <f>IFERROR(((Table1[[#This Row],[2023]]-Table1[[#This Row],[2022]])/Table1[[#This Row],[2022]]),0)</f>
        <v>0.11147265077138856</v>
      </c>
      <c r="Q291" s="219">
        <f>IFERROR(((Table1[[#This Row],[Volume 2023]]-Table1[[#This Row],[Volume 2022]])/Table1[[#This Row],[Volume 2022]]),0)</f>
        <v>1.5319620948746041E-2</v>
      </c>
      <c r="R291" s="219">
        <f>Table1[[#This Row],[YoY growth]]-Table1[[#This Row],[Volume growth]]</f>
        <v>9.6153029822642511E-2</v>
      </c>
      <c r="S291" s="46"/>
    </row>
    <row r="292" spans="1:19" hidden="1" x14ac:dyDescent="0.25">
      <c r="A292" s="45"/>
      <c r="B292" s="41" t="s">
        <v>767</v>
      </c>
      <c r="C292" s="39" t="s">
        <v>955</v>
      </c>
      <c r="D292" s="39" t="s">
        <v>1084</v>
      </c>
      <c r="E292" s="42" t="s">
        <v>356</v>
      </c>
      <c r="F292" s="43" t="s">
        <v>9</v>
      </c>
      <c r="G292" s="38" t="s">
        <v>30</v>
      </c>
      <c r="H292" s="79" t="s">
        <v>17</v>
      </c>
      <c r="I292" s="87">
        <v>4.5880999999999998</v>
      </c>
      <c r="J292" s="88">
        <v>5.0932000000000004</v>
      </c>
      <c r="K292" s="89">
        <v>5.0259</v>
      </c>
      <c r="L292" s="90">
        <v>237.0685</v>
      </c>
      <c r="M292" s="89">
        <v>259.80410000000001</v>
      </c>
      <c r="N292" s="89">
        <v>248.8639</v>
      </c>
      <c r="O292" s="109">
        <f>SUM(Table1[[#This Row],[2022]:[YTD 2024]])</f>
        <v>14.7072</v>
      </c>
      <c r="P292" s="219">
        <f>IFERROR(((Table1[[#This Row],[2023]]-Table1[[#This Row],[2022]])/Table1[[#This Row],[2022]]),0)</f>
        <v>0.11008914365423608</v>
      </c>
      <c r="Q292" s="219">
        <f>IFERROR(((Table1[[#This Row],[Volume 2023]]-Table1[[#This Row],[Volume 2022]])/Table1[[#This Row],[Volume 2022]]),0)</f>
        <v>9.5903082864235462E-2</v>
      </c>
      <c r="R292" s="219">
        <f>Table1[[#This Row],[YoY growth]]-Table1[[#This Row],[Volume growth]]</f>
        <v>1.4186060790000621E-2</v>
      </c>
      <c r="S292" s="46"/>
    </row>
    <row r="293" spans="1:19" hidden="1" x14ac:dyDescent="0.25">
      <c r="A293" s="45"/>
      <c r="B293" s="41" t="s">
        <v>767</v>
      </c>
      <c r="C293" s="39" t="s">
        <v>955</v>
      </c>
      <c r="D293" s="39" t="s">
        <v>1084</v>
      </c>
      <c r="E293" s="42" t="s">
        <v>357</v>
      </c>
      <c r="F293" s="43" t="s">
        <v>9</v>
      </c>
      <c r="G293" s="38" t="s">
        <v>10</v>
      </c>
      <c r="H293" s="79" t="s">
        <v>358</v>
      </c>
      <c r="I293" s="87">
        <v>0</v>
      </c>
      <c r="J293" s="88">
        <v>7.0000000000000001E-3</v>
      </c>
      <c r="K293" s="89">
        <v>0</v>
      </c>
      <c r="L293" s="90">
        <v>0</v>
      </c>
      <c r="M293" s="89">
        <v>0.32779999999999998</v>
      </c>
      <c r="N293" s="89">
        <v>0</v>
      </c>
      <c r="O293" s="109">
        <f>SUM(Table1[[#This Row],[2022]:[YTD 2024]])</f>
        <v>7.0000000000000001E-3</v>
      </c>
      <c r="P293" s="219">
        <f>IFERROR(((Table1[[#This Row],[2023]]-Table1[[#This Row],[2022]])/Table1[[#This Row],[2022]]),0)</f>
        <v>0</v>
      </c>
      <c r="Q293" s="219">
        <f>IFERROR(((Table1[[#This Row],[Volume 2023]]-Table1[[#This Row],[Volume 2022]])/Table1[[#This Row],[Volume 2022]]),0)</f>
        <v>0</v>
      </c>
      <c r="R293" s="219">
        <f>Table1[[#This Row],[YoY growth]]-Table1[[#This Row],[Volume growth]]</f>
        <v>0</v>
      </c>
      <c r="S293" s="46"/>
    </row>
    <row r="294" spans="1:19" hidden="1" x14ac:dyDescent="0.25">
      <c r="A294" s="45"/>
      <c r="B294" s="41" t="s">
        <v>767</v>
      </c>
      <c r="C294" s="39" t="s">
        <v>956</v>
      </c>
      <c r="D294" s="39" t="s">
        <v>1085</v>
      </c>
      <c r="E294" s="42" t="s">
        <v>360</v>
      </c>
      <c r="F294" s="43" t="s">
        <v>9</v>
      </c>
      <c r="G294" s="38" t="s">
        <v>20</v>
      </c>
      <c r="H294" s="79" t="s">
        <v>24</v>
      </c>
      <c r="I294" s="87">
        <v>3.0200000000000001E-2</v>
      </c>
      <c r="J294" s="88">
        <v>2.0104000000000002</v>
      </c>
      <c r="K294" s="89">
        <v>1.0045999999999999</v>
      </c>
      <c r="L294" s="90">
        <v>1.4571000000000001</v>
      </c>
      <c r="M294" s="89">
        <v>118.0438</v>
      </c>
      <c r="N294" s="89">
        <v>56.873399999999997</v>
      </c>
      <c r="O294" s="109">
        <f>SUM(Table1[[#This Row],[2022]:[YTD 2024]])</f>
        <v>3.0451999999999999</v>
      </c>
      <c r="P294" s="219">
        <f>IFERROR(((Table1[[#This Row],[2023]]-Table1[[#This Row],[2022]])/Table1[[#This Row],[2022]]),0)</f>
        <v>65.569536423841058</v>
      </c>
      <c r="Q294" s="219">
        <f>IFERROR(((Table1[[#This Row],[Volume 2023]]-Table1[[#This Row],[Volume 2022]])/Table1[[#This Row],[Volume 2022]]),0)</f>
        <v>80.01283371079542</v>
      </c>
      <c r="R294" s="219">
        <f>Table1[[#This Row],[YoY growth]]-Table1[[#This Row],[Volume growth]]</f>
        <v>-14.443297286954362</v>
      </c>
      <c r="S294" s="46"/>
    </row>
    <row r="295" spans="1:19" hidden="1" x14ac:dyDescent="0.25">
      <c r="A295" s="45"/>
      <c r="B295" s="41" t="s">
        <v>767</v>
      </c>
      <c r="C295" s="39" t="s">
        <v>957</v>
      </c>
      <c r="D295" s="39" t="s">
        <v>1086</v>
      </c>
      <c r="E295" s="42" t="s">
        <v>362</v>
      </c>
      <c r="F295" s="43" t="s">
        <v>9</v>
      </c>
      <c r="G295" s="38" t="s">
        <v>10</v>
      </c>
      <c r="H295" s="79" t="s">
        <v>42</v>
      </c>
      <c r="I295" s="87">
        <v>0.1913</v>
      </c>
      <c r="J295" s="88">
        <v>0.55200000000000005</v>
      </c>
      <c r="K295" s="89">
        <v>4.3700000000000003E-2</v>
      </c>
      <c r="L295" s="90">
        <v>6.9211999999999998</v>
      </c>
      <c r="M295" s="89">
        <v>19.9695</v>
      </c>
      <c r="N295" s="89">
        <v>1.2094</v>
      </c>
      <c r="O295" s="109">
        <f>SUM(Table1[[#This Row],[2022]:[YTD 2024]])</f>
        <v>0.78700000000000003</v>
      </c>
      <c r="P295" s="219">
        <f>IFERROR(((Table1[[#This Row],[2023]]-Table1[[#This Row],[2022]])/Table1[[#This Row],[2022]]),0)</f>
        <v>1.8855201254573968</v>
      </c>
      <c r="Q295" s="219">
        <f>IFERROR(((Table1[[#This Row],[Volume 2023]]-Table1[[#This Row],[Volume 2022]])/Table1[[#This Row],[Volume 2022]]),0)</f>
        <v>1.8852655608853959</v>
      </c>
      <c r="R295" s="219">
        <f>Table1[[#This Row],[YoY growth]]-Table1[[#This Row],[Volume growth]]</f>
        <v>2.5456457200090377E-4</v>
      </c>
      <c r="S295" s="46"/>
    </row>
    <row r="296" spans="1:19" hidden="1" x14ac:dyDescent="0.25">
      <c r="A296" s="45"/>
      <c r="B296" s="41" t="s">
        <v>768</v>
      </c>
      <c r="C296" s="39" t="s">
        <v>958</v>
      </c>
      <c r="D296" s="39" t="s">
        <v>1087</v>
      </c>
      <c r="E296" s="42" t="s">
        <v>365</v>
      </c>
      <c r="F296" s="43" t="s">
        <v>9</v>
      </c>
      <c r="G296" s="38" t="s">
        <v>20</v>
      </c>
      <c r="H296" s="79" t="s">
        <v>32</v>
      </c>
      <c r="I296" s="87">
        <v>2.6700000000000002E-2</v>
      </c>
      <c r="J296" s="88">
        <v>6.6E-3</v>
      </c>
      <c r="K296" s="89">
        <v>0</v>
      </c>
      <c r="L296" s="90">
        <v>1.3361000000000001</v>
      </c>
      <c r="M296" s="89">
        <v>0.32919999999999999</v>
      </c>
      <c r="N296" s="89">
        <v>0</v>
      </c>
      <c r="O296" s="109">
        <f>SUM(Table1[[#This Row],[2022]:[YTD 2024]])</f>
        <v>3.3300000000000003E-2</v>
      </c>
      <c r="P296" s="219">
        <f>IFERROR(((Table1[[#This Row],[2023]]-Table1[[#This Row],[2022]])/Table1[[#This Row],[2022]]),0)</f>
        <v>-0.7528089887640449</v>
      </c>
      <c r="Q296" s="219">
        <f>IFERROR(((Table1[[#This Row],[Volume 2023]]-Table1[[#This Row],[Volume 2022]])/Table1[[#This Row],[Volume 2022]]),0)</f>
        <v>-0.75361125664246698</v>
      </c>
      <c r="R296" s="219">
        <f>Table1[[#This Row],[YoY growth]]-Table1[[#This Row],[Volume growth]]</f>
        <v>8.0226787842208047E-4</v>
      </c>
      <c r="S296" s="46"/>
    </row>
    <row r="297" spans="1:19" hidden="1" x14ac:dyDescent="0.25">
      <c r="A297" s="45"/>
      <c r="B297" s="41" t="s">
        <v>768</v>
      </c>
      <c r="C297" s="39" t="s">
        <v>958</v>
      </c>
      <c r="D297" s="39" t="s">
        <v>1087</v>
      </c>
      <c r="E297" s="42" t="s">
        <v>366</v>
      </c>
      <c r="F297" s="43" t="s">
        <v>9</v>
      </c>
      <c r="G297" s="38" t="s">
        <v>64</v>
      </c>
      <c r="H297" s="79" t="s">
        <v>68</v>
      </c>
      <c r="I297" s="87">
        <v>6.93E-2</v>
      </c>
      <c r="J297" s="88">
        <v>0.19889999999999999</v>
      </c>
      <c r="K297" s="89">
        <v>0</v>
      </c>
      <c r="L297" s="90">
        <v>3.0247000000000002</v>
      </c>
      <c r="M297" s="89">
        <v>8.6912000000000003</v>
      </c>
      <c r="N297" s="89">
        <v>0</v>
      </c>
      <c r="O297" s="109">
        <f>SUM(Table1[[#This Row],[2022]:[YTD 2024]])</f>
        <v>0.26819999999999999</v>
      </c>
      <c r="P297" s="219">
        <f>IFERROR(((Table1[[#This Row],[2023]]-Table1[[#This Row],[2022]])/Table1[[#This Row],[2022]]),0)</f>
        <v>1.8701298701298701</v>
      </c>
      <c r="Q297" s="219">
        <f>IFERROR(((Table1[[#This Row],[Volume 2023]]-Table1[[#This Row],[Volume 2022]])/Table1[[#This Row],[Volume 2022]]),0)</f>
        <v>1.8734089331173338</v>
      </c>
      <c r="R297" s="219">
        <f>Table1[[#This Row],[YoY growth]]-Table1[[#This Row],[Volume growth]]</f>
        <v>-3.2790629874637212E-3</v>
      </c>
      <c r="S297" s="46"/>
    </row>
    <row r="298" spans="1:19" hidden="1" x14ac:dyDescent="0.25">
      <c r="A298" s="45"/>
      <c r="B298" s="41" t="s">
        <v>768</v>
      </c>
      <c r="C298" s="39" t="s">
        <v>958</v>
      </c>
      <c r="D298" s="39" t="s">
        <v>1087</v>
      </c>
      <c r="E298" s="42" t="s">
        <v>367</v>
      </c>
      <c r="F298" s="43" t="s">
        <v>9</v>
      </c>
      <c r="G298" s="38" t="s">
        <v>64</v>
      </c>
      <c r="H298" s="79" t="s">
        <v>68</v>
      </c>
      <c r="I298" s="87">
        <v>7.6300000000000007E-2</v>
      </c>
      <c r="J298" s="88">
        <v>0.42759999999999998</v>
      </c>
      <c r="K298" s="89">
        <v>0.15670000000000001</v>
      </c>
      <c r="L298" s="90">
        <v>3.4260000000000002</v>
      </c>
      <c r="M298" s="89">
        <v>18.685099999999998</v>
      </c>
      <c r="N298" s="89">
        <v>6.8449999999999998</v>
      </c>
      <c r="O298" s="109">
        <f>SUM(Table1[[#This Row],[2022]:[YTD 2024]])</f>
        <v>0.66060000000000008</v>
      </c>
      <c r="P298" s="219">
        <f>IFERROR(((Table1[[#This Row],[2023]]-Table1[[#This Row],[2022]])/Table1[[#This Row],[2022]]),0)</f>
        <v>4.6041939711664472</v>
      </c>
      <c r="Q298" s="219">
        <f>IFERROR(((Table1[[#This Row],[Volume 2023]]-Table1[[#This Row],[Volume 2022]])/Table1[[#This Row],[Volume 2022]]),0)</f>
        <v>4.45391126678342</v>
      </c>
      <c r="R298" s="219">
        <f>Table1[[#This Row],[YoY growth]]-Table1[[#This Row],[Volume growth]]</f>
        <v>0.15028270438302727</v>
      </c>
      <c r="S298" s="46"/>
    </row>
    <row r="299" spans="1:19" hidden="1" x14ac:dyDescent="0.25">
      <c r="A299" s="45"/>
      <c r="B299" s="41" t="s">
        <v>769</v>
      </c>
      <c r="C299" s="39" t="s">
        <v>959</v>
      </c>
      <c r="D299" s="39" t="s">
        <v>1088</v>
      </c>
      <c r="E299" s="42" t="s">
        <v>369</v>
      </c>
      <c r="F299" s="43" t="s">
        <v>9</v>
      </c>
      <c r="G299" s="38" t="s">
        <v>10</v>
      </c>
      <c r="H299" s="79" t="s">
        <v>37</v>
      </c>
      <c r="I299" s="87">
        <v>13.539</v>
      </c>
      <c r="J299" s="88">
        <v>14.939299999999999</v>
      </c>
      <c r="K299" s="89">
        <v>5.9192</v>
      </c>
      <c r="L299" s="90">
        <v>399.25150000000002</v>
      </c>
      <c r="M299" s="89">
        <v>471.38619999999997</v>
      </c>
      <c r="N299" s="89">
        <v>172.6644</v>
      </c>
      <c r="O299" s="109">
        <f>SUM(Table1[[#This Row],[2022]:[YTD 2024]])</f>
        <v>34.397499999999994</v>
      </c>
      <c r="P299" s="219">
        <f>IFERROR(((Table1[[#This Row],[2023]]-Table1[[#This Row],[2022]])/Table1[[#This Row],[2022]]),0)</f>
        <v>0.10342713642071051</v>
      </c>
      <c r="Q299" s="219">
        <f>IFERROR(((Table1[[#This Row],[Volume 2023]]-Table1[[#This Row],[Volume 2022]])/Table1[[#This Row],[Volume 2022]]),0)</f>
        <v>0.18067483779021482</v>
      </c>
      <c r="R299" s="219">
        <f>Table1[[#This Row],[YoY growth]]-Table1[[#This Row],[Volume growth]]</f>
        <v>-7.7247701369504304E-2</v>
      </c>
      <c r="S299" s="46"/>
    </row>
    <row r="300" spans="1:19" hidden="1" x14ac:dyDescent="0.25">
      <c r="A300" s="45"/>
      <c r="B300" s="41" t="s">
        <v>769</v>
      </c>
      <c r="C300" s="39" t="s">
        <v>959</v>
      </c>
      <c r="D300" s="39" t="s">
        <v>1088</v>
      </c>
      <c r="E300" s="42" t="s">
        <v>370</v>
      </c>
      <c r="F300" s="43" t="s">
        <v>9</v>
      </c>
      <c r="G300" s="38" t="s">
        <v>10</v>
      </c>
      <c r="H300" s="79" t="s">
        <v>37</v>
      </c>
      <c r="I300" s="87">
        <v>9.7232000000000003</v>
      </c>
      <c r="J300" s="88">
        <v>14.417199999999999</v>
      </c>
      <c r="K300" s="89">
        <v>5.9874999999999998</v>
      </c>
      <c r="L300" s="90">
        <v>300.88780000000003</v>
      </c>
      <c r="M300" s="89">
        <v>488.67129999999997</v>
      </c>
      <c r="N300" s="89">
        <v>199.4579</v>
      </c>
      <c r="O300" s="109">
        <f>SUM(Table1[[#This Row],[2022]:[YTD 2024]])</f>
        <v>30.1279</v>
      </c>
      <c r="P300" s="219">
        <f>IFERROR(((Table1[[#This Row],[2023]]-Table1[[#This Row],[2022]])/Table1[[#This Row],[2022]]),0)</f>
        <v>0.48276287641928572</v>
      </c>
      <c r="Q300" s="219">
        <f>IFERROR(((Table1[[#This Row],[Volume 2023]]-Table1[[#This Row],[Volume 2022]])/Table1[[#This Row],[Volume 2022]]),0)</f>
        <v>0.62409808573162462</v>
      </c>
      <c r="R300" s="219">
        <f>Table1[[#This Row],[YoY growth]]-Table1[[#This Row],[Volume growth]]</f>
        <v>-0.14133520931233889</v>
      </c>
      <c r="S300" s="46"/>
    </row>
    <row r="301" spans="1:19" hidden="1" x14ac:dyDescent="0.25">
      <c r="A301" s="45"/>
      <c r="B301" s="41" t="s">
        <v>769</v>
      </c>
      <c r="C301" s="39" t="s">
        <v>959</v>
      </c>
      <c r="D301" s="39" t="s">
        <v>1088</v>
      </c>
      <c r="E301" s="42" t="s">
        <v>371</v>
      </c>
      <c r="F301" s="43" t="s">
        <v>9</v>
      </c>
      <c r="G301" s="38" t="s">
        <v>20</v>
      </c>
      <c r="H301" s="79" t="s">
        <v>42</v>
      </c>
      <c r="I301" s="87">
        <v>0.4834</v>
      </c>
      <c r="J301" s="88">
        <v>0</v>
      </c>
      <c r="K301" s="89">
        <v>0</v>
      </c>
      <c r="L301" s="90">
        <v>12.901899999999999</v>
      </c>
      <c r="M301" s="89">
        <v>0</v>
      </c>
      <c r="N301" s="89">
        <v>0</v>
      </c>
      <c r="O301" s="109">
        <f>SUM(Table1[[#This Row],[2022]:[YTD 2024]])</f>
        <v>0.4834</v>
      </c>
      <c r="P301" s="219">
        <f>IFERROR(((Table1[[#This Row],[2023]]-Table1[[#This Row],[2022]])/Table1[[#This Row],[2022]]),0)</f>
        <v>-1</v>
      </c>
      <c r="Q301" s="219">
        <f>IFERROR(((Table1[[#This Row],[Volume 2023]]-Table1[[#This Row],[Volume 2022]])/Table1[[#This Row],[Volume 2022]]),0)</f>
        <v>-1</v>
      </c>
      <c r="R301" s="219">
        <f>Table1[[#This Row],[YoY growth]]-Table1[[#This Row],[Volume growth]]</f>
        <v>0</v>
      </c>
      <c r="S301" s="46"/>
    </row>
    <row r="302" spans="1:19" hidden="1" x14ac:dyDescent="0.25">
      <c r="A302" s="45"/>
      <c r="B302" s="41" t="s">
        <v>770</v>
      </c>
      <c r="C302" s="39" t="s">
        <v>960</v>
      </c>
      <c r="D302" s="39" t="s">
        <v>1089</v>
      </c>
      <c r="E302" s="42" t="s">
        <v>373</v>
      </c>
      <c r="F302" s="43" t="s">
        <v>9</v>
      </c>
      <c r="G302" s="38" t="s">
        <v>64</v>
      </c>
      <c r="H302" s="79" t="s">
        <v>99</v>
      </c>
      <c r="I302" s="87">
        <v>0.13550000000000001</v>
      </c>
      <c r="J302" s="88">
        <v>0</v>
      </c>
      <c r="K302" s="89">
        <v>0</v>
      </c>
      <c r="L302" s="90">
        <v>3.2519</v>
      </c>
      <c r="M302" s="89">
        <v>0</v>
      </c>
      <c r="N302" s="89">
        <v>0</v>
      </c>
      <c r="O302" s="109">
        <f>SUM(Table1[[#This Row],[2022]:[YTD 2024]])</f>
        <v>0.13550000000000001</v>
      </c>
      <c r="P302" s="219">
        <f>IFERROR(((Table1[[#This Row],[2023]]-Table1[[#This Row],[2022]])/Table1[[#This Row],[2022]]),0)</f>
        <v>-1</v>
      </c>
      <c r="Q302" s="219">
        <f>IFERROR(((Table1[[#This Row],[Volume 2023]]-Table1[[#This Row],[Volume 2022]])/Table1[[#This Row],[Volume 2022]]),0)</f>
        <v>-1</v>
      </c>
      <c r="R302" s="219">
        <f>Table1[[#This Row],[YoY growth]]-Table1[[#This Row],[Volume growth]]</f>
        <v>0</v>
      </c>
      <c r="S302" s="46"/>
    </row>
    <row r="303" spans="1:19" hidden="1" x14ac:dyDescent="0.25">
      <c r="A303" s="45"/>
      <c r="B303" s="41" t="s">
        <v>771</v>
      </c>
      <c r="C303" s="39" t="s">
        <v>899</v>
      </c>
      <c r="D303" s="39" t="s">
        <v>1090</v>
      </c>
      <c r="E303" s="42" t="s">
        <v>375</v>
      </c>
      <c r="F303" s="43" t="s">
        <v>9</v>
      </c>
      <c r="G303" s="38" t="s">
        <v>249</v>
      </c>
      <c r="H303" s="79" t="s">
        <v>376</v>
      </c>
      <c r="I303" s="87">
        <v>0</v>
      </c>
      <c r="J303" s="88">
        <v>2.3E-3</v>
      </c>
      <c r="K303" s="89">
        <v>0</v>
      </c>
      <c r="L303" s="90">
        <v>0</v>
      </c>
      <c r="M303" s="89">
        <v>4.8000000000000001E-2</v>
      </c>
      <c r="N303" s="89">
        <v>0</v>
      </c>
      <c r="O303" s="109">
        <f>SUM(Table1[[#This Row],[2022]:[YTD 2024]])</f>
        <v>2.3E-3</v>
      </c>
      <c r="P303" s="219">
        <f>IFERROR(((Table1[[#This Row],[2023]]-Table1[[#This Row],[2022]])/Table1[[#This Row],[2022]]),0)</f>
        <v>0</v>
      </c>
      <c r="Q303" s="219">
        <f>IFERROR(((Table1[[#This Row],[Volume 2023]]-Table1[[#This Row],[Volume 2022]])/Table1[[#This Row],[Volume 2022]]),0)</f>
        <v>0</v>
      </c>
      <c r="R303" s="219">
        <f>Table1[[#This Row],[YoY growth]]-Table1[[#This Row],[Volume growth]]</f>
        <v>0</v>
      </c>
      <c r="S303" s="46"/>
    </row>
    <row r="304" spans="1:19" hidden="1" x14ac:dyDescent="0.25">
      <c r="A304" s="45"/>
      <c r="B304" s="41" t="s">
        <v>771</v>
      </c>
      <c r="C304" s="39" t="s">
        <v>899</v>
      </c>
      <c r="D304" s="39" t="s">
        <v>1090</v>
      </c>
      <c r="E304" s="42" t="s">
        <v>377</v>
      </c>
      <c r="F304" s="43" t="s">
        <v>9</v>
      </c>
      <c r="G304" s="38" t="s">
        <v>249</v>
      </c>
      <c r="H304" s="79" t="s">
        <v>376</v>
      </c>
      <c r="I304" s="87">
        <v>3.7978999999999998</v>
      </c>
      <c r="J304" s="88">
        <v>0.23119999999999999</v>
      </c>
      <c r="K304" s="89">
        <v>5.57E-2</v>
      </c>
      <c r="L304" s="90">
        <v>45.909399999999998</v>
      </c>
      <c r="M304" s="89">
        <v>3.0430999999999999</v>
      </c>
      <c r="N304" s="89">
        <v>0.74270000000000003</v>
      </c>
      <c r="O304" s="109">
        <f>SUM(Table1[[#This Row],[2022]:[YTD 2024]])</f>
        <v>4.0847999999999995</v>
      </c>
      <c r="P304" s="219">
        <f>IFERROR(((Table1[[#This Row],[2023]]-Table1[[#This Row],[2022]])/Table1[[#This Row],[2022]]),0)</f>
        <v>-0.93912425287658974</v>
      </c>
      <c r="Q304" s="219">
        <f>IFERROR(((Table1[[#This Row],[Volume 2023]]-Table1[[#This Row],[Volume 2022]])/Table1[[#This Row],[Volume 2022]]),0)</f>
        <v>-0.9337150997399225</v>
      </c>
      <c r="R304" s="219">
        <f>Table1[[#This Row],[YoY growth]]-Table1[[#This Row],[Volume growth]]</f>
        <v>-5.409153136667233E-3</v>
      </c>
      <c r="S304" s="46"/>
    </row>
    <row r="305" spans="1:19" hidden="1" x14ac:dyDescent="0.25">
      <c r="A305" s="45"/>
      <c r="B305" s="41" t="s">
        <v>771</v>
      </c>
      <c r="C305" s="39" t="s">
        <v>899</v>
      </c>
      <c r="D305" s="39" t="s">
        <v>1090</v>
      </c>
      <c r="E305" s="42" t="s">
        <v>378</v>
      </c>
      <c r="F305" s="43" t="s">
        <v>9</v>
      </c>
      <c r="G305" s="38" t="s">
        <v>249</v>
      </c>
      <c r="H305" s="79" t="s">
        <v>376</v>
      </c>
      <c r="I305" s="87">
        <v>10.1713</v>
      </c>
      <c r="J305" s="88">
        <v>1.4034</v>
      </c>
      <c r="K305" s="89">
        <v>0.79169999999999996</v>
      </c>
      <c r="L305" s="90">
        <v>191.46350000000001</v>
      </c>
      <c r="M305" s="89">
        <v>25.065200000000001</v>
      </c>
      <c r="N305" s="89">
        <v>12.493499999999999</v>
      </c>
      <c r="O305" s="109">
        <f>SUM(Table1[[#This Row],[2022]:[YTD 2024]])</f>
        <v>12.366400000000001</v>
      </c>
      <c r="P305" s="219">
        <f>IFERROR(((Table1[[#This Row],[2023]]-Table1[[#This Row],[2022]])/Table1[[#This Row],[2022]]),0)</f>
        <v>-0.86202353681436994</v>
      </c>
      <c r="Q305" s="219">
        <f>IFERROR(((Table1[[#This Row],[Volume 2023]]-Table1[[#This Row],[Volume 2022]])/Table1[[#This Row],[Volume 2022]]),0)</f>
        <v>-0.86908627492968638</v>
      </c>
      <c r="R305" s="219">
        <f>Table1[[#This Row],[YoY growth]]-Table1[[#This Row],[Volume growth]]</f>
        <v>7.0627381153164359E-3</v>
      </c>
      <c r="S305" s="46"/>
    </row>
    <row r="306" spans="1:19" hidden="1" x14ac:dyDescent="0.25">
      <c r="A306" s="45"/>
      <c r="B306" s="41" t="s">
        <v>771</v>
      </c>
      <c r="C306" s="39" t="s">
        <v>899</v>
      </c>
      <c r="D306" s="39" t="s">
        <v>1090</v>
      </c>
      <c r="E306" s="42" t="s">
        <v>379</v>
      </c>
      <c r="F306" s="43" t="s">
        <v>9</v>
      </c>
      <c r="G306" s="38" t="s">
        <v>249</v>
      </c>
      <c r="H306" s="79" t="s">
        <v>11</v>
      </c>
      <c r="I306" s="87">
        <v>8.9099999999999999E-2</v>
      </c>
      <c r="J306" s="88">
        <v>0</v>
      </c>
      <c r="K306" s="89">
        <v>0</v>
      </c>
      <c r="L306" s="90">
        <v>1.4943</v>
      </c>
      <c r="M306" s="89">
        <v>0</v>
      </c>
      <c r="N306" s="89">
        <v>0</v>
      </c>
      <c r="O306" s="109">
        <f>SUM(Table1[[#This Row],[2022]:[YTD 2024]])</f>
        <v>8.9099999999999999E-2</v>
      </c>
      <c r="P306" s="219">
        <f>IFERROR(((Table1[[#This Row],[2023]]-Table1[[#This Row],[2022]])/Table1[[#This Row],[2022]]),0)</f>
        <v>-1</v>
      </c>
      <c r="Q306" s="219">
        <f>IFERROR(((Table1[[#This Row],[Volume 2023]]-Table1[[#This Row],[Volume 2022]])/Table1[[#This Row],[Volume 2022]]),0)</f>
        <v>-1</v>
      </c>
      <c r="R306" s="219">
        <f>Table1[[#This Row],[YoY growth]]-Table1[[#This Row],[Volume growth]]</f>
        <v>0</v>
      </c>
      <c r="S306" s="46"/>
    </row>
    <row r="307" spans="1:19" hidden="1" x14ac:dyDescent="0.25">
      <c r="A307" s="45"/>
      <c r="B307" s="41" t="s">
        <v>771</v>
      </c>
      <c r="C307" s="39" t="s">
        <v>899</v>
      </c>
      <c r="D307" s="39" t="s">
        <v>1090</v>
      </c>
      <c r="E307" s="42" t="s">
        <v>380</v>
      </c>
      <c r="F307" s="43" t="s">
        <v>9</v>
      </c>
      <c r="G307" s="38" t="s">
        <v>10</v>
      </c>
      <c r="H307" s="79" t="s">
        <v>123</v>
      </c>
      <c r="I307" s="87">
        <v>16.7622</v>
      </c>
      <c r="J307" s="88">
        <v>54.880099999999999</v>
      </c>
      <c r="K307" s="89">
        <v>30.8141</v>
      </c>
      <c r="L307" s="90">
        <v>558.82709999999997</v>
      </c>
      <c r="M307" s="89">
        <v>1712.2448999999999</v>
      </c>
      <c r="N307" s="89">
        <v>842.72770000000003</v>
      </c>
      <c r="O307" s="109">
        <f>SUM(Table1[[#This Row],[2022]:[YTD 2024]])</f>
        <v>102.4564</v>
      </c>
      <c r="P307" s="219">
        <f>IFERROR(((Table1[[#This Row],[2023]]-Table1[[#This Row],[2022]])/Table1[[#This Row],[2022]]),0)</f>
        <v>2.274039207263963</v>
      </c>
      <c r="Q307" s="219">
        <f>IFERROR(((Table1[[#This Row],[Volume 2023]]-Table1[[#This Row],[Volume 2022]])/Table1[[#This Row],[Volume 2022]]),0)</f>
        <v>2.0639976121415731</v>
      </c>
      <c r="R307" s="219">
        <f>Table1[[#This Row],[YoY growth]]-Table1[[#This Row],[Volume growth]]</f>
        <v>0.21004159512238996</v>
      </c>
      <c r="S307" s="46"/>
    </row>
    <row r="308" spans="1:19" hidden="1" x14ac:dyDescent="0.25">
      <c r="A308" s="45"/>
      <c r="B308" s="41" t="s">
        <v>771</v>
      </c>
      <c r="C308" s="39" t="s">
        <v>899</v>
      </c>
      <c r="D308" s="39" t="s">
        <v>1090</v>
      </c>
      <c r="E308" s="42" t="s">
        <v>381</v>
      </c>
      <c r="F308" s="43" t="s">
        <v>9</v>
      </c>
      <c r="G308" s="38" t="s">
        <v>10</v>
      </c>
      <c r="H308" s="79" t="s">
        <v>123</v>
      </c>
      <c r="I308" s="87">
        <v>61.024299999999997</v>
      </c>
      <c r="J308" s="88">
        <v>69.369399999999999</v>
      </c>
      <c r="K308" s="89">
        <v>37.2607</v>
      </c>
      <c r="L308" s="90">
        <v>1986.0632000000001</v>
      </c>
      <c r="M308" s="89">
        <v>2074.7809000000002</v>
      </c>
      <c r="N308" s="89">
        <v>1026.0545999999999</v>
      </c>
      <c r="O308" s="109">
        <f>SUM(Table1[[#This Row],[2022]:[YTD 2024]])</f>
        <v>167.65440000000001</v>
      </c>
      <c r="P308" s="219">
        <f>IFERROR(((Table1[[#This Row],[2023]]-Table1[[#This Row],[2022]])/Table1[[#This Row],[2022]]),0)</f>
        <v>0.13675044203702463</v>
      </c>
      <c r="Q308" s="219">
        <f>IFERROR(((Table1[[#This Row],[Volume 2023]]-Table1[[#This Row],[Volume 2022]])/Table1[[#This Row],[Volume 2022]]),0)</f>
        <v>4.4670129329217795E-2</v>
      </c>
      <c r="R308" s="219">
        <f>Table1[[#This Row],[YoY growth]]-Table1[[#This Row],[Volume growth]]</f>
        <v>9.2080312707806838E-2</v>
      </c>
      <c r="S308" s="46"/>
    </row>
    <row r="309" spans="1:19" hidden="1" x14ac:dyDescent="0.25">
      <c r="A309" s="45"/>
      <c r="B309" s="41" t="s">
        <v>771</v>
      </c>
      <c r="C309" s="39" t="s">
        <v>899</v>
      </c>
      <c r="D309" s="39" t="s">
        <v>1090</v>
      </c>
      <c r="E309" s="42" t="s">
        <v>382</v>
      </c>
      <c r="F309" s="43" t="s">
        <v>9</v>
      </c>
      <c r="G309" s="38" t="s">
        <v>64</v>
      </c>
      <c r="H309" s="79" t="s">
        <v>123</v>
      </c>
      <c r="I309" s="87">
        <v>99.720299999999995</v>
      </c>
      <c r="J309" s="88">
        <v>82.962900000000005</v>
      </c>
      <c r="K309" s="89">
        <v>1.6460999999999999</v>
      </c>
      <c r="L309" s="90">
        <v>3124.0421999999999</v>
      </c>
      <c r="M309" s="89">
        <v>2460.6639</v>
      </c>
      <c r="N309" s="89">
        <v>45.897799999999997</v>
      </c>
      <c r="O309" s="109">
        <f>SUM(Table1[[#This Row],[2022]:[YTD 2024]])</f>
        <v>184.32929999999999</v>
      </c>
      <c r="P309" s="219">
        <f>IFERROR(((Table1[[#This Row],[2023]]-Table1[[#This Row],[2022]])/Table1[[#This Row],[2022]]),0)</f>
        <v>-0.1680440191214827</v>
      </c>
      <c r="Q309" s="219">
        <f>IFERROR(((Table1[[#This Row],[Volume 2023]]-Table1[[#This Row],[Volume 2022]])/Table1[[#This Row],[Volume 2022]]),0)</f>
        <v>-0.21234613924229317</v>
      </c>
      <c r="R309" s="219">
        <f>Table1[[#This Row],[YoY growth]]-Table1[[#This Row],[Volume growth]]</f>
        <v>4.4302120120810473E-2</v>
      </c>
      <c r="S309" s="46"/>
    </row>
    <row r="310" spans="1:19" hidden="1" x14ac:dyDescent="0.25">
      <c r="A310" s="45"/>
      <c r="B310" s="41" t="s">
        <v>771</v>
      </c>
      <c r="C310" s="39" t="s">
        <v>899</v>
      </c>
      <c r="D310" s="39" t="s">
        <v>1090</v>
      </c>
      <c r="E310" s="42" t="s">
        <v>383</v>
      </c>
      <c r="F310" s="43" t="s">
        <v>9</v>
      </c>
      <c r="G310" s="38" t="s">
        <v>10</v>
      </c>
      <c r="H310" s="79" t="s">
        <v>42</v>
      </c>
      <c r="I310" s="87">
        <v>86.361699999999999</v>
      </c>
      <c r="J310" s="88">
        <v>101.56570000000001</v>
      </c>
      <c r="K310" s="89">
        <v>54.776899999999998</v>
      </c>
      <c r="L310" s="90">
        <v>3022.1621</v>
      </c>
      <c r="M310" s="89">
        <v>3499.3182999999999</v>
      </c>
      <c r="N310" s="89">
        <v>1704.9738</v>
      </c>
      <c r="O310" s="109">
        <f>SUM(Table1[[#This Row],[2022]:[YTD 2024]])</f>
        <v>242.70429999999999</v>
      </c>
      <c r="P310" s="219">
        <f>IFERROR(((Table1[[#This Row],[2023]]-Table1[[#This Row],[2022]])/Table1[[#This Row],[2022]]),0)</f>
        <v>0.17605026302168678</v>
      </c>
      <c r="Q310" s="219">
        <f>IFERROR(((Table1[[#This Row],[Volume 2023]]-Table1[[#This Row],[Volume 2022]])/Table1[[#This Row],[Volume 2022]]),0)</f>
        <v>0.15788570705720911</v>
      </c>
      <c r="R310" s="219">
        <f>Table1[[#This Row],[YoY growth]]-Table1[[#This Row],[Volume growth]]</f>
        <v>1.8164555964477663E-2</v>
      </c>
      <c r="S310" s="46"/>
    </row>
    <row r="311" spans="1:19" hidden="1" x14ac:dyDescent="0.25">
      <c r="A311" s="45"/>
      <c r="B311" s="41" t="s">
        <v>771</v>
      </c>
      <c r="C311" s="39" t="s">
        <v>961</v>
      </c>
      <c r="D311" s="39" t="s">
        <v>1090</v>
      </c>
      <c r="E311" s="42" t="s">
        <v>385</v>
      </c>
      <c r="F311" s="43" t="s">
        <v>9</v>
      </c>
      <c r="G311" s="38" t="s">
        <v>64</v>
      </c>
      <c r="H311" s="79" t="s">
        <v>13</v>
      </c>
      <c r="I311" s="87">
        <v>0</v>
      </c>
      <c r="J311" s="88">
        <v>0</v>
      </c>
      <c r="K311" s="89">
        <v>0</v>
      </c>
      <c r="L311" s="90">
        <v>0.2349</v>
      </c>
      <c r="M311" s="89">
        <v>0</v>
      </c>
      <c r="N311" s="89">
        <v>0</v>
      </c>
      <c r="O311" s="109">
        <f>SUM(Table1[[#This Row],[2022]:[YTD 2024]])</f>
        <v>0</v>
      </c>
      <c r="P311" s="219">
        <f>IFERROR(((Table1[[#This Row],[2023]]-Table1[[#This Row],[2022]])/Table1[[#This Row],[2022]]),0)</f>
        <v>0</v>
      </c>
      <c r="Q311" s="219">
        <f>IFERROR(((Table1[[#This Row],[Volume 2023]]-Table1[[#This Row],[Volume 2022]])/Table1[[#This Row],[Volume 2022]]),0)</f>
        <v>-1</v>
      </c>
      <c r="R311" s="219">
        <f>Table1[[#This Row],[YoY growth]]-Table1[[#This Row],[Volume growth]]</f>
        <v>1</v>
      </c>
      <c r="S311" s="46"/>
    </row>
    <row r="312" spans="1:19" hidden="1" x14ac:dyDescent="0.25">
      <c r="A312" s="45"/>
      <c r="B312" s="41" t="s">
        <v>771</v>
      </c>
      <c r="C312" s="39" t="s">
        <v>961</v>
      </c>
      <c r="D312" s="39" t="s">
        <v>1090</v>
      </c>
      <c r="E312" s="42" t="s">
        <v>386</v>
      </c>
      <c r="F312" s="43" t="s">
        <v>9</v>
      </c>
      <c r="G312" s="38" t="s">
        <v>64</v>
      </c>
      <c r="H312" s="79" t="s">
        <v>363</v>
      </c>
      <c r="I312" s="87">
        <v>0</v>
      </c>
      <c r="J312" s="88">
        <v>0</v>
      </c>
      <c r="K312" s="89">
        <v>0</v>
      </c>
      <c r="L312" s="90">
        <v>0</v>
      </c>
      <c r="M312" s="89">
        <v>0</v>
      </c>
      <c r="N312" s="89">
        <v>0</v>
      </c>
      <c r="O312" s="109">
        <f>SUM(Table1[[#This Row],[2022]:[YTD 2024]])</f>
        <v>0</v>
      </c>
      <c r="P312" s="219">
        <f>IFERROR(((Table1[[#This Row],[2023]]-Table1[[#This Row],[2022]])/Table1[[#This Row],[2022]]),0)</f>
        <v>0</v>
      </c>
      <c r="Q312" s="219">
        <f>IFERROR(((Table1[[#This Row],[Volume 2023]]-Table1[[#This Row],[Volume 2022]])/Table1[[#This Row],[Volume 2022]]),0)</f>
        <v>0</v>
      </c>
      <c r="R312" s="219">
        <f>Table1[[#This Row],[YoY growth]]-Table1[[#This Row],[Volume growth]]</f>
        <v>0</v>
      </c>
      <c r="S312" s="46"/>
    </row>
    <row r="313" spans="1:19" hidden="1" x14ac:dyDescent="0.25">
      <c r="A313" s="45"/>
      <c r="B313" s="41" t="s">
        <v>771</v>
      </c>
      <c r="C313" s="39" t="s">
        <v>961</v>
      </c>
      <c r="D313" s="39" t="s">
        <v>1090</v>
      </c>
      <c r="E313" s="42" t="s">
        <v>387</v>
      </c>
      <c r="F313" s="43" t="s">
        <v>9</v>
      </c>
      <c r="G313" s="38" t="s">
        <v>64</v>
      </c>
      <c r="H313" s="79" t="s">
        <v>363</v>
      </c>
      <c r="I313" s="87">
        <v>23.7104</v>
      </c>
      <c r="J313" s="88">
        <v>2.5188000000000001</v>
      </c>
      <c r="K313" s="89">
        <v>0.15770000000000001</v>
      </c>
      <c r="L313" s="90">
        <v>549.04570000000001</v>
      </c>
      <c r="M313" s="89">
        <v>49.080599999999997</v>
      </c>
      <c r="N313" s="89">
        <v>2.9064000000000001</v>
      </c>
      <c r="O313" s="109">
        <f>SUM(Table1[[#This Row],[2022]:[YTD 2024]])</f>
        <v>26.386899999999997</v>
      </c>
      <c r="P313" s="219">
        <f>IFERROR(((Table1[[#This Row],[2023]]-Table1[[#This Row],[2022]])/Table1[[#This Row],[2022]]),0)</f>
        <v>-0.89376813550172085</v>
      </c>
      <c r="Q313" s="219">
        <f>IFERROR(((Table1[[#This Row],[Volume 2023]]-Table1[[#This Row],[Volume 2022]])/Table1[[#This Row],[Volume 2022]]),0)</f>
        <v>-0.91060744123849802</v>
      </c>
      <c r="R313" s="219">
        <f>Table1[[#This Row],[YoY growth]]-Table1[[#This Row],[Volume growth]]</f>
        <v>1.6839305736777166E-2</v>
      </c>
      <c r="S313" s="46"/>
    </row>
    <row r="314" spans="1:19" hidden="1" x14ac:dyDescent="0.25">
      <c r="A314" s="45"/>
      <c r="B314" s="41" t="s">
        <v>771</v>
      </c>
      <c r="C314" s="39" t="s">
        <v>961</v>
      </c>
      <c r="D314" s="39" t="s">
        <v>1091</v>
      </c>
      <c r="E314" s="42" t="s">
        <v>388</v>
      </c>
      <c r="F314" s="43" t="s">
        <v>9</v>
      </c>
      <c r="G314" s="38" t="s">
        <v>64</v>
      </c>
      <c r="H314" s="79" t="s">
        <v>363</v>
      </c>
      <c r="I314" s="87">
        <v>34.488300000000002</v>
      </c>
      <c r="J314" s="88">
        <v>5.6889000000000003</v>
      </c>
      <c r="K314" s="89">
        <v>0.2626</v>
      </c>
      <c r="L314" s="90">
        <v>739.96220000000005</v>
      </c>
      <c r="M314" s="89">
        <v>104.66840000000001</v>
      </c>
      <c r="N314" s="89">
        <v>4.7222</v>
      </c>
      <c r="O314" s="109">
        <f>SUM(Table1[[#This Row],[2022]:[YTD 2024]])</f>
        <v>40.439799999999998</v>
      </c>
      <c r="P314" s="219">
        <f>IFERROR(((Table1[[#This Row],[2023]]-Table1[[#This Row],[2022]])/Table1[[#This Row],[2022]]),0)</f>
        <v>-0.83504840772087929</v>
      </c>
      <c r="Q314" s="219">
        <f>IFERROR(((Table1[[#This Row],[Volume 2023]]-Table1[[#This Row],[Volume 2022]])/Table1[[#This Row],[Volume 2022]]),0)</f>
        <v>-0.85854899074574353</v>
      </c>
      <c r="R314" s="219">
        <f>Table1[[#This Row],[YoY growth]]-Table1[[#This Row],[Volume growth]]</f>
        <v>2.3500583024864241E-2</v>
      </c>
      <c r="S314" s="46"/>
    </row>
    <row r="315" spans="1:19" hidden="1" x14ac:dyDescent="0.25">
      <c r="A315" s="45"/>
      <c r="B315" s="41" t="s">
        <v>771</v>
      </c>
      <c r="C315" s="39" t="s">
        <v>961</v>
      </c>
      <c r="D315" s="39" t="s">
        <v>1091</v>
      </c>
      <c r="E315" s="42" t="s">
        <v>389</v>
      </c>
      <c r="F315" s="43" t="s">
        <v>9</v>
      </c>
      <c r="G315" s="38" t="s">
        <v>64</v>
      </c>
      <c r="H315" s="79" t="s">
        <v>363</v>
      </c>
      <c r="I315" s="87">
        <v>0.31869999999999998</v>
      </c>
      <c r="J315" s="88">
        <v>0</v>
      </c>
      <c r="K315" s="89">
        <v>0</v>
      </c>
      <c r="L315" s="90">
        <v>6.5327000000000002</v>
      </c>
      <c r="M315" s="89">
        <v>0</v>
      </c>
      <c r="N315" s="89">
        <v>0</v>
      </c>
      <c r="O315" s="109">
        <f>SUM(Table1[[#This Row],[2022]:[YTD 2024]])</f>
        <v>0.31869999999999998</v>
      </c>
      <c r="P315" s="219">
        <f>IFERROR(((Table1[[#This Row],[2023]]-Table1[[#This Row],[2022]])/Table1[[#This Row],[2022]]),0)</f>
        <v>-1</v>
      </c>
      <c r="Q315" s="219">
        <f>IFERROR(((Table1[[#This Row],[Volume 2023]]-Table1[[#This Row],[Volume 2022]])/Table1[[#This Row],[Volume 2022]]),0)</f>
        <v>-1</v>
      </c>
      <c r="R315" s="219">
        <f>Table1[[#This Row],[YoY growth]]-Table1[[#This Row],[Volume growth]]</f>
        <v>0</v>
      </c>
      <c r="S315" s="46"/>
    </row>
    <row r="316" spans="1:19" hidden="1" x14ac:dyDescent="0.25">
      <c r="A316" s="45"/>
      <c r="B316" s="41" t="s">
        <v>771</v>
      </c>
      <c r="C316" s="39" t="s">
        <v>961</v>
      </c>
      <c r="D316" s="39" t="s">
        <v>1091</v>
      </c>
      <c r="E316" s="42" t="s">
        <v>390</v>
      </c>
      <c r="F316" s="43" t="s">
        <v>9</v>
      </c>
      <c r="G316" s="38" t="s">
        <v>64</v>
      </c>
      <c r="H316" s="79" t="s">
        <v>363</v>
      </c>
      <c r="I316" s="87">
        <v>7.1499999999999994E-2</v>
      </c>
      <c r="J316" s="88">
        <v>0</v>
      </c>
      <c r="K316" s="89">
        <v>0</v>
      </c>
      <c r="L316" s="90">
        <v>1.2682</v>
      </c>
      <c r="M316" s="89">
        <v>0</v>
      </c>
      <c r="N316" s="89">
        <v>0</v>
      </c>
      <c r="O316" s="109">
        <f>SUM(Table1[[#This Row],[2022]:[YTD 2024]])</f>
        <v>7.1499999999999994E-2</v>
      </c>
      <c r="P316" s="219">
        <f>IFERROR(((Table1[[#This Row],[2023]]-Table1[[#This Row],[2022]])/Table1[[#This Row],[2022]]),0)</f>
        <v>-1</v>
      </c>
      <c r="Q316" s="219">
        <f>IFERROR(((Table1[[#This Row],[Volume 2023]]-Table1[[#This Row],[Volume 2022]])/Table1[[#This Row],[Volume 2022]]),0)</f>
        <v>-1</v>
      </c>
      <c r="R316" s="219">
        <f>Table1[[#This Row],[YoY growth]]-Table1[[#This Row],[Volume growth]]</f>
        <v>0</v>
      </c>
      <c r="S316" s="46"/>
    </row>
    <row r="317" spans="1:19" hidden="1" x14ac:dyDescent="0.25">
      <c r="A317" s="45"/>
      <c r="B317" s="41" t="s">
        <v>772</v>
      </c>
      <c r="C317" s="39" t="s">
        <v>884</v>
      </c>
      <c r="D317" s="39" t="s">
        <v>1092</v>
      </c>
      <c r="E317" s="42" t="s">
        <v>392</v>
      </c>
      <c r="F317" s="43" t="s">
        <v>9</v>
      </c>
      <c r="G317" s="38" t="s">
        <v>30</v>
      </c>
      <c r="H317" s="79" t="s">
        <v>21</v>
      </c>
      <c r="I317" s="87">
        <v>0</v>
      </c>
      <c r="J317" s="88">
        <v>0</v>
      </c>
      <c r="K317" s="89">
        <v>0</v>
      </c>
      <c r="L317" s="90">
        <v>0</v>
      </c>
      <c r="M317" s="89">
        <v>0</v>
      </c>
      <c r="N317" s="89">
        <v>0</v>
      </c>
      <c r="O317" s="109">
        <f>SUM(Table1[[#This Row],[2022]:[YTD 2024]])</f>
        <v>0</v>
      </c>
      <c r="P317" s="219">
        <f>IFERROR(((Table1[[#This Row],[2023]]-Table1[[#This Row],[2022]])/Table1[[#This Row],[2022]]),0)</f>
        <v>0</v>
      </c>
      <c r="Q317" s="219">
        <f>IFERROR(((Table1[[#This Row],[Volume 2023]]-Table1[[#This Row],[Volume 2022]])/Table1[[#This Row],[Volume 2022]]),0)</f>
        <v>0</v>
      </c>
      <c r="R317" s="219">
        <f>Table1[[#This Row],[YoY growth]]-Table1[[#This Row],[Volume growth]]</f>
        <v>0</v>
      </c>
      <c r="S317" s="46"/>
    </row>
    <row r="318" spans="1:19" hidden="1" x14ac:dyDescent="0.25">
      <c r="A318" s="45"/>
      <c r="B318" s="41" t="s">
        <v>773</v>
      </c>
      <c r="C318" s="39" t="s">
        <v>962</v>
      </c>
      <c r="D318" s="39" t="s">
        <v>1093</v>
      </c>
      <c r="E318" s="42" t="s">
        <v>394</v>
      </c>
      <c r="F318" s="43" t="s">
        <v>9</v>
      </c>
      <c r="G318" s="38" t="s">
        <v>69</v>
      </c>
      <c r="H318" s="79" t="s">
        <v>42</v>
      </c>
      <c r="I318" s="87">
        <v>0</v>
      </c>
      <c r="J318" s="88">
        <v>6.2138</v>
      </c>
      <c r="K318" s="89">
        <v>8.77E-2</v>
      </c>
      <c r="L318" s="90">
        <v>0</v>
      </c>
      <c r="M318" s="89">
        <v>384.83499999999998</v>
      </c>
      <c r="N318" s="89">
        <v>5.7408999999999999</v>
      </c>
      <c r="O318" s="109">
        <f>SUM(Table1[[#This Row],[2022]:[YTD 2024]])</f>
        <v>6.3014999999999999</v>
      </c>
      <c r="P318" s="219">
        <f>IFERROR(((Table1[[#This Row],[2023]]-Table1[[#This Row],[2022]])/Table1[[#This Row],[2022]]),0)</f>
        <v>0</v>
      </c>
      <c r="Q318" s="219">
        <f>IFERROR(((Table1[[#This Row],[Volume 2023]]-Table1[[#This Row],[Volume 2022]])/Table1[[#This Row],[Volume 2022]]),0)</f>
        <v>0</v>
      </c>
      <c r="R318" s="219">
        <f>Table1[[#This Row],[YoY growth]]-Table1[[#This Row],[Volume growth]]</f>
        <v>0</v>
      </c>
      <c r="S318" s="46"/>
    </row>
    <row r="319" spans="1:19" ht="24.75" hidden="1" x14ac:dyDescent="0.25">
      <c r="A319" s="45"/>
      <c r="B319" s="41" t="s">
        <v>774</v>
      </c>
      <c r="C319" s="39" t="s">
        <v>963</v>
      </c>
      <c r="D319" s="39" t="s">
        <v>1094</v>
      </c>
      <c r="E319" s="42" t="s">
        <v>396</v>
      </c>
      <c r="F319" s="43" t="s">
        <v>9</v>
      </c>
      <c r="G319" s="38" t="s">
        <v>64</v>
      </c>
      <c r="H319" s="79" t="s">
        <v>21</v>
      </c>
      <c r="I319" s="87">
        <v>2.8529</v>
      </c>
      <c r="J319" s="88">
        <v>0</v>
      </c>
      <c r="K319" s="89">
        <v>0</v>
      </c>
      <c r="L319" s="90">
        <v>195.97380000000001</v>
      </c>
      <c r="M319" s="89">
        <v>0</v>
      </c>
      <c r="N319" s="89">
        <v>0</v>
      </c>
      <c r="O319" s="109">
        <f>SUM(Table1[[#This Row],[2022]:[YTD 2024]])</f>
        <v>2.8529</v>
      </c>
      <c r="P319" s="219">
        <f>IFERROR(((Table1[[#This Row],[2023]]-Table1[[#This Row],[2022]])/Table1[[#This Row],[2022]]),0)</f>
        <v>-1</v>
      </c>
      <c r="Q319" s="219">
        <f>IFERROR(((Table1[[#This Row],[Volume 2023]]-Table1[[#This Row],[Volume 2022]])/Table1[[#This Row],[Volume 2022]]),0)</f>
        <v>-1</v>
      </c>
      <c r="R319" s="219">
        <f>Table1[[#This Row],[YoY growth]]-Table1[[#This Row],[Volume growth]]</f>
        <v>0</v>
      </c>
      <c r="S319" s="46"/>
    </row>
    <row r="320" spans="1:19" ht="24.75" hidden="1" x14ac:dyDescent="0.25">
      <c r="A320" s="45"/>
      <c r="B320" s="41" t="s">
        <v>774</v>
      </c>
      <c r="C320" s="39" t="s">
        <v>963</v>
      </c>
      <c r="D320" s="39" t="s">
        <v>1094</v>
      </c>
      <c r="E320" s="42" t="s">
        <v>397</v>
      </c>
      <c r="F320" s="43" t="s">
        <v>9</v>
      </c>
      <c r="G320" s="38" t="s">
        <v>64</v>
      </c>
      <c r="H320" s="79" t="s">
        <v>21</v>
      </c>
      <c r="I320" s="87">
        <v>13.515499999999999</v>
      </c>
      <c r="J320" s="88">
        <v>1.9742999999999999</v>
      </c>
      <c r="K320" s="89">
        <v>2.98E-2</v>
      </c>
      <c r="L320" s="90">
        <v>813.32730000000004</v>
      </c>
      <c r="M320" s="89">
        <v>103.7679</v>
      </c>
      <c r="N320" s="89">
        <v>1.4246000000000001</v>
      </c>
      <c r="O320" s="109">
        <f>SUM(Table1[[#This Row],[2022]:[YTD 2024]])</f>
        <v>15.519599999999999</v>
      </c>
      <c r="P320" s="219">
        <f>IFERROR(((Table1[[#This Row],[2023]]-Table1[[#This Row],[2022]])/Table1[[#This Row],[2022]]),0)</f>
        <v>-0.853923273278828</v>
      </c>
      <c r="Q320" s="219">
        <f>IFERROR(((Table1[[#This Row],[Volume 2023]]-Table1[[#This Row],[Volume 2022]])/Table1[[#This Row],[Volume 2022]]),0)</f>
        <v>-0.87241556996795766</v>
      </c>
      <c r="R320" s="219">
        <f>Table1[[#This Row],[YoY growth]]-Table1[[#This Row],[Volume growth]]</f>
        <v>1.8492296689129661E-2</v>
      </c>
      <c r="S320" s="46"/>
    </row>
    <row r="321" spans="1:19" ht="24.75" hidden="1" x14ac:dyDescent="0.25">
      <c r="A321" s="45"/>
      <c r="B321" s="41" t="s">
        <v>774</v>
      </c>
      <c r="C321" s="39" t="s">
        <v>963</v>
      </c>
      <c r="D321" s="39" t="s">
        <v>1094</v>
      </c>
      <c r="E321" s="42" t="s">
        <v>398</v>
      </c>
      <c r="F321" s="43" t="s">
        <v>9</v>
      </c>
      <c r="G321" s="38" t="s">
        <v>64</v>
      </c>
      <c r="H321" s="79" t="s">
        <v>24</v>
      </c>
      <c r="I321" s="87">
        <v>0</v>
      </c>
      <c r="J321" s="88">
        <v>47.540100000000002</v>
      </c>
      <c r="K321" s="89">
        <v>13.0617</v>
      </c>
      <c r="L321" s="90">
        <v>0</v>
      </c>
      <c r="M321" s="89">
        <v>2356.4949999999999</v>
      </c>
      <c r="N321" s="89">
        <v>720.12469999999996</v>
      </c>
      <c r="O321" s="109">
        <f>SUM(Table1[[#This Row],[2022]:[YTD 2024]])</f>
        <v>60.601800000000004</v>
      </c>
      <c r="P321" s="219">
        <f>IFERROR(((Table1[[#This Row],[2023]]-Table1[[#This Row],[2022]])/Table1[[#This Row],[2022]]),0)</f>
        <v>0</v>
      </c>
      <c r="Q321" s="219">
        <f>IFERROR(((Table1[[#This Row],[Volume 2023]]-Table1[[#This Row],[Volume 2022]])/Table1[[#This Row],[Volume 2022]]),0)</f>
        <v>0</v>
      </c>
      <c r="R321" s="219">
        <f>Table1[[#This Row],[YoY growth]]-Table1[[#This Row],[Volume growth]]</f>
        <v>0</v>
      </c>
      <c r="S321" s="46"/>
    </row>
    <row r="322" spans="1:19" ht="24.75" hidden="1" x14ac:dyDescent="0.25">
      <c r="A322" s="45"/>
      <c r="B322" s="41" t="s">
        <v>774</v>
      </c>
      <c r="C322" s="39" t="s">
        <v>963</v>
      </c>
      <c r="D322" s="39" t="s">
        <v>1094</v>
      </c>
      <c r="E322" s="42" t="s">
        <v>399</v>
      </c>
      <c r="F322" s="43" t="s">
        <v>9</v>
      </c>
      <c r="G322" s="38" t="s">
        <v>64</v>
      </c>
      <c r="H322" s="79" t="s">
        <v>103</v>
      </c>
      <c r="I322" s="87">
        <v>4.0548000000000002</v>
      </c>
      <c r="J322" s="88">
        <v>2.4268999999999998</v>
      </c>
      <c r="K322" s="89">
        <v>0</v>
      </c>
      <c r="L322" s="90">
        <v>220.69159999999999</v>
      </c>
      <c r="M322" s="89">
        <v>134.58930000000001</v>
      </c>
      <c r="N322" s="89">
        <v>0</v>
      </c>
      <c r="O322" s="109">
        <f>SUM(Table1[[#This Row],[2022]:[YTD 2024]])</f>
        <v>6.4817</v>
      </c>
      <c r="P322" s="219">
        <f>IFERROR(((Table1[[#This Row],[2023]]-Table1[[#This Row],[2022]])/Table1[[#This Row],[2022]]),0)</f>
        <v>-0.40147479530433072</v>
      </c>
      <c r="Q322" s="219">
        <f>IFERROR(((Table1[[#This Row],[Volume 2023]]-Table1[[#This Row],[Volume 2022]])/Table1[[#This Row],[Volume 2022]]),0)</f>
        <v>-0.39014760869919829</v>
      </c>
      <c r="R322" s="219">
        <f>Table1[[#This Row],[YoY growth]]-Table1[[#This Row],[Volume growth]]</f>
        <v>-1.1327186605132433E-2</v>
      </c>
      <c r="S322" s="46"/>
    </row>
    <row r="323" spans="1:19" ht="24.75" hidden="1" x14ac:dyDescent="0.25">
      <c r="A323" s="45"/>
      <c r="B323" s="41" t="s">
        <v>774</v>
      </c>
      <c r="C323" s="39" t="s">
        <v>923</v>
      </c>
      <c r="D323" s="39" t="s">
        <v>1094</v>
      </c>
      <c r="E323" s="42" t="s">
        <v>401</v>
      </c>
      <c r="F323" s="43" t="s">
        <v>9</v>
      </c>
      <c r="G323" s="38" t="s">
        <v>20</v>
      </c>
      <c r="H323" s="79" t="s">
        <v>103</v>
      </c>
      <c r="I323" s="87">
        <v>42.300199999999997</v>
      </c>
      <c r="J323" s="88">
        <v>20.829499999999999</v>
      </c>
      <c r="K323" s="89">
        <v>4.8948</v>
      </c>
      <c r="L323" s="90">
        <v>2912.5239999999999</v>
      </c>
      <c r="M323" s="89">
        <v>1143.2672</v>
      </c>
      <c r="N323" s="89">
        <v>245.0727</v>
      </c>
      <c r="O323" s="109">
        <f>SUM(Table1[[#This Row],[2022]:[YTD 2024]])</f>
        <v>68.024500000000003</v>
      </c>
      <c r="P323" s="219">
        <f>IFERROR(((Table1[[#This Row],[2023]]-Table1[[#This Row],[2022]])/Table1[[#This Row],[2022]]),0)</f>
        <v>-0.5075791603822204</v>
      </c>
      <c r="Q323" s="219">
        <f>IFERROR(((Table1[[#This Row],[Volume 2023]]-Table1[[#This Row],[Volume 2022]])/Table1[[#This Row],[Volume 2022]]),0)</f>
        <v>-0.60746514020141973</v>
      </c>
      <c r="R323" s="219">
        <f>Table1[[#This Row],[YoY growth]]-Table1[[#This Row],[Volume growth]]</f>
        <v>9.9885979819199333E-2</v>
      </c>
      <c r="S323" s="46"/>
    </row>
    <row r="324" spans="1:19" hidden="1" x14ac:dyDescent="0.25">
      <c r="A324" s="45"/>
      <c r="B324" s="41" t="s">
        <v>775</v>
      </c>
      <c r="C324" s="39" t="s">
        <v>964</v>
      </c>
      <c r="D324" s="39" t="s">
        <v>1095</v>
      </c>
      <c r="E324" s="42" t="s">
        <v>403</v>
      </c>
      <c r="F324" s="43" t="s">
        <v>9</v>
      </c>
      <c r="G324" s="38" t="s">
        <v>20</v>
      </c>
      <c r="H324" s="79" t="s">
        <v>24</v>
      </c>
      <c r="I324" s="87">
        <v>12.6196</v>
      </c>
      <c r="J324" s="88">
        <v>0.30170000000000002</v>
      </c>
      <c r="K324" s="89">
        <v>0</v>
      </c>
      <c r="L324" s="90">
        <v>774.8818</v>
      </c>
      <c r="M324" s="89">
        <v>18.222799999999999</v>
      </c>
      <c r="N324" s="89">
        <v>0</v>
      </c>
      <c r="O324" s="109">
        <f>SUM(Table1[[#This Row],[2022]:[YTD 2024]])</f>
        <v>12.9213</v>
      </c>
      <c r="P324" s="219">
        <f>IFERROR(((Table1[[#This Row],[2023]]-Table1[[#This Row],[2022]])/Table1[[#This Row],[2022]]),0)</f>
        <v>-0.97609274461948081</v>
      </c>
      <c r="Q324" s="219">
        <f>IFERROR(((Table1[[#This Row],[Volume 2023]]-Table1[[#This Row],[Volume 2022]])/Table1[[#This Row],[Volume 2022]]),0)</f>
        <v>-0.97648312297436846</v>
      </c>
      <c r="R324" s="219">
        <f>Table1[[#This Row],[YoY growth]]-Table1[[#This Row],[Volume growth]]</f>
        <v>3.9037835488764383E-4</v>
      </c>
      <c r="S324" s="46"/>
    </row>
    <row r="325" spans="1:19" hidden="1" x14ac:dyDescent="0.25">
      <c r="A325" s="45"/>
      <c r="B325" s="41" t="s">
        <v>775</v>
      </c>
      <c r="C325" s="39" t="s">
        <v>965</v>
      </c>
      <c r="D325" s="39" t="s">
        <v>1095</v>
      </c>
      <c r="E325" s="42" t="s">
        <v>405</v>
      </c>
      <c r="F325" s="43" t="s">
        <v>9</v>
      </c>
      <c r="G325" s="38" t="s">
        <v>30</v>
      </c>
      <c r="H325" s="79" t="s">
        <v>24</v>
      </c>
      <c r="I325" s="87">
        <v>0</v>
      </c>
      <c r="J325" s="88">
        <v>39.128300000000003</v>
      </c>
      <c r="K325" s="89">
        <v>18.019200000000001</v>
      </c>
      <c r="L325" s="90">
        <v>0</v>
      </c>
      <c r="M325" s="89">
        <v>2116.4569999999999</v>
      </c>
      <c r="N325" s="89">
        <v>1056.0386000000001</v>
      </c>
      <c r="O325" s="109">
        <f>SUM(Table1[[#This Row],[2022]:[YTD 2024]])</f>
        <v>57.147500000000008</v>
      </c>
      <c r="P325" s="219">
        <f>IFERROR(((Table1[[#This Row],[2023]]-Table1[[#This Row],[2022]])/Table1[[#This Row],[2022]]),0)</f>
        <v>0</v>
      </c>
      <c r="Q325" s="219">
        <f>IFERROR(((Table1[[#This Row],[Volume 2023]]-Table1[[#This Row],[Volume 2022]])/Table1[[#This Row],[Volume 2022]]),0)</f>
        <v>0</v>
      </c>
      <c r="R325" s="219">
        <f>Table1[[#This Row],[YoY growth]]-Table1[[#This Row],[Volume growth]]</f>
        <v>0</v>
      </c>
      <c r="S325" s="46"/>
    </row>
    <row r="326" spans="1:19" hidden="1" x14ac:dyDescent="0.25">
      <c r="A326" s="45"/>
      <c r="B326" s="41" t="s">
        <v>775</v>
      </c>
      <c r="C326" s="39" t="s">
        <v>965</v>
      </c>
      <c r="D326" s="39" t="s">
        <v>1095</v>
      </c>
      <c r="E326" s="42" t="s">
        <v>406</v>
      </c>
      <c r="F326" s="43" t="s">
        <v>9</v>
      </c>
      <c r="G326" s="38" t="s">
        <v>30</v>
      </c>
      <c r="H326" s="79" t="s">
        <v>42</v>
      </c>
      <c r="I326" s="87">
        <v>14.5854</v>
      </c>
      <c r="J326" s="88">
        <v>45.532299999999999</v>
      </c>
      <c r="K326" s="89">
        <v>49.915700000000001</v>
      </c>
      <c r="L326" s="90">
        <v>930.23509999999999</v>
      </c>
      <c r="M326" s="89">
        <v>2490.5082000000002</v>
      </c>
      <c r="N326" s="89">
        <v>2411.3348000000001</v>
      </c>
      <c r="O326" s="109">
        <f>SUM(Table1[[#This Row],[2022]:[YTD 2024]])</f>
        <v>110.0334</v>
      </c>
      <c r="P326" s="219">
        <f>IFERROR(((Table1[[#This Row],[2023]]-Table1[[#This Row],[2022]])/Table1[[#This Row],[2022]]),0)</f>
        <v>2.1217724573888956</v>
      </c>
      <c r="Q326" s="219">
        <f>IFERROR(((Table1[[#This Row],[Volume 2023]]-Table1[[#This Row],[Volume 2022]])/Table1[[#This Row],[Volume 2022]]),0)</f>
        <v>1.6772889993078097</v>
      </c>
      <c r="R326" s="219">
        <f>Table1[[#This Row],[YoY growth]]-Table1[[#This Row],[Volume growth]]</f>
        <v>0.44448345808108591</v>
      </c>
      <c r="S326" s="46"/>
    </row>
    <row r="327" spans="1:19" hidden="1" x14ac:dyDescent="0.25">
      <c r="A327" s="45"/>
      <c r="B327" s="41" t="s">
        <v>776</v>
      </c>
      <c r="C327" s="39" t="s">
        <v>966</v>
      </c>
      <c r="D327" s="39" t="s">
        <v>1096</v>
      </c>
      <c r="E327" s="42" t="s">
        <v>408</v>
      </c>
      <c r="F327" s="43" t="s">
        <v>9</v>
      </c>
      <c r="G327" s="38" t="s">
        <v>64</v>
      </c>
      <c r="H327" s="79" t="s">
        <v>34</v>
      </c>
      <c r="I327" s="87">
        <v>0.1139</v>
      </c>
      <c r="J327" s="88">
        <v>4.0300000000000002E-2</v>
      </c>
      <c r="K327" s="89">
        <v>0</v>
      </c>
      <c r="L327" s="90">
        <v>0.85599999999999998</v>
      </c>
      <c r="M327" s="89">
        <v>0.30399999999999999</v>
      </c>
      <c r="N327" s="89">
        <v>0</v>
      </c>
      <c r="O327" s="109">
        <f>SUM(Table1[[#This Row],[2022]:[YTD 2024]])</f>
        <v>0.1542</v>
      </c>
      <c r="P327" s="219">
        <f>IFERROR(((Table1[[#This Row],[2023]]-Table1[[#This Row],[2022]])/Table1[[#This Row],[2022]]),0)</f>
        <v>-0.64618086040386302</v>
      </c>
      <c r="Q327" s="219">
        <f>IFERROR(((Table1[[#This Row],[Volume 2023]]-Table1[[#This Row],[Volume 2022]])/Table1[[#This Row],[Volume 2022]]),0)</f>
        <v>-0.64485981308411222</v>
      </c>
      <c r="R327" s="219">
        <f>Table1[[#This Row],[YoY growth]]-Table1[[#This Row],[Volume growth]]</f>
        <v>-1.321047319750801E-3</v>
      </c>
      <c r="S327" s="46"/>
    </row>
    <row r="328" spans="1:19" hidden="1" x14ac:dyDescent="0.25">
      <c r="A328" s="45"/>
      <c r="B328" s="41" t="s">
        <v>776</v>
      </c>
      <c r="C328" s="39" t="s">
        <v>966</v>
      </c>
      <c r="D328" s="39" t="s">
        <v>1096</v>
      </c>
      <c r="E328" s="42" t="s">
        <v>409</v>
      </c>
      <c r="F328" s="43" t="s">
        <v>9</v>
      </c>
      <c r="G328" s="38" t="s">
        <v>64</v>
      </c>
      <c r="H328" s="79" t="s">
        <v>34</v>
      </c>
      <c r="I328" s="87">
        <v>0.19919999999999999</v>
      </c>
      <c r="J328" s="88">
        <v>0</v>
      </c>
      <c r="K328" s="89">
        <v>0</v>
      </c>
      <c r="L328" s="90">
        <v>1.496</v>
      </c>
      <c r="M328" s="89">
        <v>0</v>
      </c>
      <c r="N328" s="89">
        <v>0</v>
      </c>
      <c r="O328" s="109">
        <f>SUM(Table1[[#This Row],[2022]:[YTD 2024]])</f>
        <v>0.19919999999999999</v>
      </c>
      <c r="P328" s="219">
        <f>IFERROR(((Table1[[#This Row],[2023]]-Table1[[#This Row],[2022]])/Table1[[#This Row],[2022]]),0)</f>
        <v>-1</v>
      </c>
      <c r="Q328" s="219">
        <f>IFERROR(((Table1[[#This Row],[Volume 2023]]-Table1[[#This Row],[Volume 2022]])/Table1[[#This Row],[Volume 2022]]),0)</f>
        <v>-1</v>
      </c>
      <c r="R328" s="219">
        <f>Table1[[#This Row],[YoY growth]]-Table1[[#This Row],[Volume growth]]</f>
        <v>0</v>
      </c>
      <c r="S328" s="46"/>
    </row>
    <row r="329" spans="1:19" hidden="1" x14ac:dyDescent="0.25">
      <c r="A329" s="45"/>
      <c r="B329" s="41" t="s">
        <v>777</v>
      </c>
      <c r="C329" s="39" t="s">
        <v>967</v>
      </c>
      <c r="D329" s="39" t="s">
        <v>1097</v>
      </c>
      <c r="E329" s="42" t="s">
        <v>411</v>
      </c>
      <c r="F329" s="43" t="s">
        <v>9</v>
      </c>
      <c r="G329" s="38" t="s">
        <v>30</v>
      </c>
      <c r="H329" s="79" t="s">
        <v>21</v>
      </c>
      <c r="I329" s="87">
        <v>4.4461000000000004</v>
      </c>
      <c r="J329" s="88">
        <v>2.0626000000000002</v>
      </c>
      <c r="K329" s="89">
        <v>0</v>
      </c>
      <c r="L329" s="90">
        <v>234.7319</v>
      </c>
      <c r="M329" s="89">
        <v>137.5095</v>
      </c>
      <c r="N329" s="89">
        <v>0</v>
      </c>
      <c r="O329" s="109">
        <f>SUM(Table1[[#This Row],[2022]:[YTD 2024]])</f>
        <v>6.508700000000001</v>
      </c>
      <c r="P329" s="219">
        <f>IFERROR(((Table1[[#This Row],[2023]]-Table1[[#This Row],[2022]])/Table1[[#This Row],[2022]]),0)</f>
        <v>-0.53608780729178385</v>
      </c>
      <c r="Q329" s="219">
        <f>IFERROR(((Table1[[#This Row],[Volume 2023]]-Table1[[#This Row],[Volume 2022]])/Table1[[#This Row],[Volume 2022]]),0)</f>
        <v>-0.41418486366786955</v>
      </c>
      <c r="R329" s="219">
        <f>Table1[[#This Row],[YoY growth]]-Table1[[#This Row],[Volume growth]]</f>
        <v>-0.12190294362391429</v>
      </c>
      <c r="S329" s="46"/>
    </row>
    <row r="330" spans="1:19" hidden="1" x14ac:dyDescent="0.25">
      <c r="A330" s="45"/>
      <c r="B330" s="41" t="s">
        <v>777</v>
      </c>
      <c r="C330" s="39" t="s">
        <v>967</v>
      </c>
      <c r="D330" s="39" t="s">
        <v>1097</v>
      </c>
      <c r="E330" s="42" t="s">
        <v>412</v>
      </c>
      <c r="F330" s="43" t="s">
        <v>9</v>
      </c>
      <c r="G330" s="38" t="s">
        <v>20</v>
      </c>
      <c r="H330" s="79" t="s">
        <v>26</v>
      </c>
      <c r="I330" s="87">
        <v>0.15609999999999999</v>
      </c>
      <c r="J330" s="88">
        <v>2.98E-2</v>
      </c>
      <c r="K330" s="89">
        <v>0.25540000000000002</v>
      </c>
      <c r="L330" s="90">
        <v>9.3703000000000003</v>
      </c>
      <c r="M330" s="89">
        <v>1.4905999999999999</v>
      </c>
      <c r="N330" s="89">
        <v>12.7729</v>
      </c>
      <c r="O330" s="109">
        <f>SUM(Table1[[#This Row],[2022]:[YTD 2024]])</f>
        <v>0.44130000000000003</v>
      </c>
      <c r="P330" s="219">
        <f>IFERROR(((Table1[[#This Row],[2023]]-Table1[[#This Row],[2022]])/Table1[[#This Row],[2022]]),0)</f>
        <v>-0.809096732863549</v>
      </c>
      <c r="Q330" s="219">
        <f>IFERROR(((Table1[[#This Row],[Volume 2023]]-Table1[[#This Row],[Volume 2022]])/Table1[[#This Row],[Volume 2022]]),0)</f>
        <v>-0.84092291602189906</v>
      </c>
      <c r="R330" s="219">
        <f>Table1[[#This Row],[YoY growth]]-Table1[[#This Row],[Volume growth]]</f>
        <v>3.1826183158350063E-2</v>
      </c>
      <c r="S330" s="46"/>
    </row>
    <row r="331" spans="1:19" hidden="1" x14ac:dyDescent="0.25">
      <c r="A331" s="45"/>
      <c r="B331" s="41" t="s">
        <v>777</v>
      </c>
      <c r="C331" s="39" t="s">
        <v>967</v>
      </c>
      <c r="D331" s="39" t="s">
        <v>1097</v>
      </c>
      <c r="E331" s="42" t="s">
        <v>413</v>
      </c>
      <c r="F331" s="43" t="s">
        <v>9</v>
      </c>
      <c r="G331" s="38" t="s">
        <v>10</v>
      </c>
      <c r="H331" s="79" t="s">
        <v>99</v>
      </c>
      <c r="I331" s="87">
        <v>1.8445</v>
      </c>
      <c r="J331" s="88">
        <v>0</v>
      </c>
      <c r="K331" s="89">
        <v>0</v>
      </c>
      <c r="L331" s="90">
        <v>41.871899999999997</v>
      </c>
      <c r="M331" s="89">
        <v>0</v>
      </c>
      <c r="N331" s="89">
        <v>0</v>
      </c>
      <c r="O331" s="109">
        <f>SUM(Table1[[#This Row],[2022]:[YTD 2024]])</f>
        <v>1.8445</v>
      </c>
      <c r="P331" s="219">
        <f>IFERROR(((Table1[[#This Row],[2023]]-Table1[[#This Row],[2022]])/Table1[[#This Row],[2022]]),0)</f>
        <v>-1</v>
      </c>
      <c r="Q331" s="219">
        <f>IFERROR(((Table1[[#This Row],[Volume 2023]]-Table1[[#This Row],[Volume 2022]])/Table1[[#This Row],[Volume 2022]]),0)</f>
        <v>-1</v>
      </c>
      <c r="R331" s="219">
        <f>Table1[[#This Row],[YoY growth]]-Table1[[#This Row],[Volume growth]]</f>
        <v>0</v>
      </c>
      <c r="S331" s="46"/>
    </row>
    <row r="332" spans="1:19" hidden="1" x14ac:dyDescent="0.25">
      <c r="A332" s="45"/>
      <c r="B332" s="41" t="s">
        <v>777</v>
      </c>
      <c r="C332" s="39" t="s">
        <v>967</v>
      </c>
      <c r="D332" s="39" t="s">
        <v>1097</v>
      </c>
      <c r="E332" s="42" t="s">
        <v>414</v>
      </c>
      <c r="F332" s="43" t="s">
        <v>9</v>
      </c>
      <c r="G332" s="38" t="s">
        <v>20</v>
      </c>
      <c r="H332" s="79" t="s">
        <v>42</v>
      </c>
      <c r="I332" s="87">
        <v>0.57199999999999995</v>
      </c>
      <c r="J332" s="88">
        <v>0</v>
      </c>
      <c r="K332" s="89">
        <v>0</v>
      </c>
      <c r="L332" s="90">
        <v>34.318100000000001</v>
      </c>
      <c r="M332" s="89">
        <v>0</v>
      </c>
      <c r="N332" s="89">
        <v>0</v>
      </c>
      <c r="O332" s="109">
        <f>SUM(Table1[[#This Row],[2022]:[YTD 2024]])</f>
        <v>0.57199999999999995</v>
      </c>
      <c r="P332" s="219">
        <f>IFERROR(((Table1[[#This Row],[2023]]-Table1[[#This Row],[2022]])/Table1[[#This Row],[2022]]),0)</f>
        <v>-1</v>
      </c>
      <c r="Q332" s="219">
        <f>IFERROR(((Table1[[#This Row],[Volume 2023]]-Table1[[#This Row],[Volume 2022]])/Table1[[#This Row],[Volume 2022]]),0)</f>
        <v>-1</v>
      </c>
      <c r="R332" s="219">
        <f>Table1[[#This Row],[YoY growth]]-Table1[[#This Row],[Volume growth]]</f>
        <v>0</v>
      </c>
      <c r="S332" s="46"/>
    </row>
    <row r="333" spans="1:19" hidden="1" x14ac:dyDescent="0.25">
      <c r="A333" s="45"/>
      <c r="B333" s="41" t="s">
        <v>777</v>
      </c>
      <c r="C333" s="39" t="s">
        <v>967</v>
      </c>
      <c r="D333" s="39" t="s">
        <v>1097</v>
      </c>
      <c r="E333" s="42" t="s">
        <v>415</v>
      </c>
      <c r="F333" s="43" t="s">
        <v>9</v>
      </c>
      <c r="G333" s="38" t="s">
        <v>20</v>
      </c>
      <c r="H333" s="79" t="s">
        <v>42</v>
      </c>
      <c r="I333" s="87">
        <v>10.123900000000001</v>
      </c>
      <c r="J333" s="88">
        <v>4.3895</v>
      </c>
      <c r="K333" s="89">
        <v>0</v>
      </c>
      <c r="L333" s="90">
        <v>617.78060000000005</v>
      </c>
      <c r="M333" s="89">
        <v>241.07740000000001</v>
      </c>
      <c r="N333" s="89">
        <v>0</v>
      </c>
      <c r="O333" s="109">
        <f>SUM(Table1[[#This Row],[2022]:[YTD 2024]])</f>
        <v>14.513400000000001</v>
      </c>
      <c r="P333" s="219">
        <f>IFERROR(((Table1[[#This Row],[2023]]-Table1[[#This Row],[2022]])/Table1[[#This Row],[2022]]),0)</f>
        <v>-0.56642203103547051</v>
      </c>
      <c r="Q333" s="219">
        <f>IFERROR(((Table1[[#This Row],[Volume 2023]]-Table1[[#This Row],[Volume 2022]])/Table1[[#This Row],[Volume 2022]]),0)</f>
        <v>-0.60976858127302802</v>
      </c>
      <c r="R333" s="219">
        <f>Table1[[#This Row],[YoY growth]]-Table1[[#This Row],[Volume growth]]</f>
        <v>4.3346550237557513E-2</v>
      </c>
      <c r="S333" s="46"/>
    </row>
    <row r="334" spans="1:19" hidden="1" x14ac:dyDescent="0.25">
      <c r="A334" s="45"/>
      <c r="B334" s="41" t="s">
        <v>777</v>
      </c>
      <c r="C334" s="39" t="s">
        <v>968</v>
      </c>
      <c r="D334" s="39" t="s">
        <v>1097</v>
      </c>
      <c r="E334" s="42" t="s">
        <v>417</v>
      </c>
      <c r="F334" s="43" t="s">
        <v>9</v>
      </c>
      <c r="G334" s="38" t="s">
        <v>64</v>
      </c>
      <c r="H334" s="79" t="s">
        <v>24</v>
      </c>
      <c r="I334" s="87">
        <v>0</v>
      </c>
      <c r="J334" s="88">
        <v>56.203800000000001</v>
      </c>
      <c r="K334" s="89">
        <v>22.180299999999999</v>
      </c>
      <c r="L334" s="90">
        <v>0</v>
      </c>
      <c r="M334" s="89">
        <v>3259.8697999999999</v>
      </c>
      <c r="N334" s="89">
        <v>1260.6195</v>
      </c>
      <c r="O334" s="109">
        <f>SUM(Table1[[#This Row],[2022]:[YTD 2024]])</f>
        <v>78.384100000000004</v>
      </c>
      <c r="P334" s="219">
        <f>IFERROR(((Table1[[#This Row],[2023]]-Table1[[#This Row],[2022]])/Table1[[#This Row],[2022]]),0)</f>
        <v>0</v>
      </c>
      <c r="Q334" s="219">
        <f>IFERROR(((Table1[[#This Row],[Volume 2023]]-Table1[[#This Row],[Volume 2022]])/Table1[[#This Row],[Volume 2022]]),0)</f>
        <v>0</v>
      </c>
      <c r="R334" s="219">
        <f>Table1[[#This Row],[YoY growth]]-Table1[[#This Row],[Volume growth]]</f>
        <v>0</v>
      </c>
      <c r="S334" s="46"/>
    </row>
    <row r="335" spans="1:19" hidden="1" x14ac:dyDescent="0.25">
      <c r="A335" s="45"/>
      <c r="B335" s="41" t="s">
        <v>777</v>
      </c>
      <c r="C335" s="39" t="s">
        <v>968</v>
      </c>
      <c r="D335" s="39" t="s">
        <v>1097</v>
      </c>
      <c r="E335" s="42" t="s">
        <v>418</v>
      </c>
      <c r="F335" s="43" t="s">
        <v>9</v>
      </c>
      <c r="G335" s="38" t="s">
        <v>64</v>
      </c>
      <c r="H335" s="79" t="s">
        <v>42</v>
      </c>
      <c r="I335" s="87">
        <v>0</v>
      </c>
      <c r="J335" s="88">
        <v>15.356400000000001</v>
      </c>
      <c r="K335" s="89">
        <v>10.720599999999999</v>
      </c>
      <c r="L335" s="90">
        <v>0</v>
      </c>
      <c r="M335" s="89">
        <v>847.21910000000003</v>
      </c>
      <c r="N335" s="89">
        <v>534.71069999999997</v>
      </c>
      <c r="O335" s="109">
        <f>SUM(Table1[[#This Row],[2022]:[YTD 2024]])</f>
        <v>26.076999999999998</v>
      </c>
      <c r="P335" s="219">
        <f>IFERROR(((Table1[[#This Row],[2023]]-Table1[[#This Row],[2022]])/Table1[[#This Row],[2022]]),0)</f>
        <v>0</v>
      </c>
      <c r="Q335" s="219">
        <f>IFERROR(((Table1[[#This Row],[Volume 2023]]-Table1[[#This Row],[Volume 2022]])/Table1[[#This Row],[Volume 2022]]),0)</f>
        <v>0</v>
      </c>
      <c r="R335" s="219">
        <f>Table1[[#This Row],[YoY growth]]-Table1[[#This Row],[Volume growth]]</f>
        <v>0</v>
      </c>
      <c r="S335" s="46"/>
    </row>
    <row r="336" spans="1:19" hidden="1" x14ac:dyDescent="0.25">
      <c r="A336" s="45"/>
      <c r="B336" s="41" t="s">
        <v>777</v>
      </c>
      <c r="C336" s="39" t="s">
        <v>969</v>
      </c>
      <c r="D336" s="39" t="s">
        <v>1097</v>
      </c>
      <c r="E336" s="42" t="s">
        <v>420</v>
      </c>
      <c r="F336" s="43" t="s">
        <v>9</v>
      </c>
      <c r="G336" s="38" t="s">
        <v>10</v>
      </c>
      <c r="H336" s="79" t="s">
        <v>17</v>
      </c>
      <c r="I336" s="87">
        <v>1.0731999999999999</v>
      </c>
      <c r="J336" s="88">
        <v>0</v>
      </c>
      <c r="K336" s="89">
        <v>0</v>
      </c>
      <c r="L336" s="90">
        <v>47.075600000000001</v>
      </c>
      <c r="M336" s="89">
        <v>0</v>
      </c>
      <c r="N336" s="89">
        <v>0</v>
      </c>
      <c r="O336" s="109">
        <f>SUM(Table1[[#This Row],[2022]:[YTD 2024]])</f>
        <v>1.0731999999999999</v>
      </c>
      <c r="P336" s="219">
        <f>IFERROR(((Table1[[#This Row],[2023]]-Table1[[#This Row],[2022]])/Table1[[#This Row],[2022]]),0)</f>
        <v>-1</v>
      </c>
      <c r="Q336" s="219">
        <f>IFERROR(((Table1[[#This Row],[Volume 2023]]-Table1[[#This Row],[Volume 2022]])/Table1[[#This Row],[Volume 2022]]),0)</f>
        <v>-1</v>
      </c>
      <c r="R336" s="219">
        <f>Table1[[#This Row],[YoY growth]]-Table1[[#This Row],[Volume growth]]</f>
        <v>0</v>
      </c>
      <c r="S336" s="46"/>
    </row>
    <row r="337" spans="1:19" hidden="1" x14ac:dyDescent="0.25">
      <c r="A337" s="45"/>
      <c r="B337" s="41" t="s">
        <v>777</v>
      </c>
      <c r="C337" s="39" t="s">
        <v>970</v>
      </c>
      <c r="D337" s="39" t="s">
        <v>1097</v>
      </c>
      <c r="E337" s="42" t="s">
        <v>422</v>
      </c>
      <c r="F337" s="43" t="s">
        <v>9</v>
      </c>
      <c r="G337" s="38" t="s">
        <v>64</v>
      </c>
      <c r="H337" s="79" t="s">
        <v>423</v>
      </c>
      <c r="I337" s="87">
        <v>2.6486999999999998</v>
      </c>
      <c r="J337" s="88">
        <v>0</v>
      </c>
      <c r="K337" s="89">
        <v>0</v>
      </c>
      <c r="L337" s="90">
        <v>124.62050000000001</v>
      </c>
      <c r="M337" s="89">
        <v>0</v>
      </c>
      <c r="N337" s="89">
        <v>0</v>
      </c>
      <c r="O337" s="109">
        <f>SUM(Table1[[#This Row],[2022]:[YTD 2024]])</f>
        <v>2.6486999999999998</v>
      </c>
      <c r="P337" s="219">
        <f>IFERROR(((Table1[[#This Row],[2023]]-Table1[[#This Row],[2022]])/Table1[[#This Row],[2022]]),0)</f>
        <v>-1</v>
      </c>
      <c r="Q337" s="219">
        <f>IFERROR(((Table1[[#This Row],[Volume 2023]]-Table1[[#This Row],[Volume 2022]])/Table1[[#This Row],[Volume 2022]]),0)</f>
        <v>-1</v>
      </c>
      <c r="R337" s="219">
        <f>Table1[[#This Row],[YoY growth]]-Table1[[#This Row],[Volume growth]]</f>
        <v>0</v>
      </c>
      <c r="S337" s="46"/>
    </row>
    <row r="338" spans="1:19" hidden="1" x14ac:dyDescent="0.25">
      <c r="A338" s="45"/>
      <c r="B338" s="41" t="s">
        <v>777</v>
      </c>
      <c r="C338" s="39" t="s">
        <v>971</v>
      </c>
      <c r="D338" s="39" t="s">
        <v>1097</v>
      </c>
      <c r="E338" s="42" t="s">
        <v>425</v>
      </c>
      <c r="F338" s="43" t="s">
        <v>9</v>
      </c>
      <c r="G338" s="38" t="s">
        <v>20</v>
      </c>
      <c r="H338" s="79" t="s">
        <v>24</v>
      </c>
      <c r="I338" s="87">
        <v>84.095799999999997</v>
      </c>
      <c r="J338" s="88">
        <v>151.49979999999999</v>
      </c>
      <c r="K338" s="89">
        <v>39.488900000000001</v>
      </c>
      <c r="L338" s="90">
        <v>4863.5491000000002</v>
      </c>
      <c r="M338" s="89">
        <v>8687.4974999999995</v>
      </c>
      <c r="N338" s="89">
        <v>2240.9688000000001</v>
      </c>
      <c r="O338" s="109">
        <f>SUM(Table1[[#This Row],[2022]:[YTD 2024]])</f>
        <v>275.08449999999999</v>
      </c>
      <c r="P338" s="219">
        <f>IFERROR(((Table1[[#This Row],[2023]]-Table1[[#This Row],[2022]])/Table1[[#This Row],[2022]]),0)</f>
        <v>0.80151446326689324</v>
      </c>
      <c r="Q338" s="219">
        <f>IFERROR(((Table1[[#This Row],[Volume 2023]]-Table1[[#This Row],[Volume 2022]])/Table1[[#This Row],[Volume 2022]]),0)</f>
        <v>0.78624648818699072</v>
      </c>
      <c r="R338" s="219">
        <f>Table1[[#This Row],[YoY growth]]-Table1[[#This Row],[Volume growth]]</f>
        <v>1.5267975079902518E-2</v>
      </c>
      <c r="S338" s="46"/>
    </row>
    <row r="339" spans="1:19" hidden="1" x14ac:dyDescent="0.25">
      <c r="A339" s="45"/>
      <c r="B339" s="41" t="s">
        <v>777</v>
      </c>
      <c r="C339" s="39" t="s">
        <v>971</v>
      </c>
      <c r="D339" s="39" t="s">
        <v>1097</v>
      </c>
      <c r="E339" s="42" t="s">
        <v>426</v>
      </c>
      <c r="F339" s="43" t="s">
        <v>9</v>
      </c>
      <c r="G339" s="38" t="s">
        <v>20</v>
      </c>
      <c r="H339" s="79" t="s">
        <v>42</v>
      </c>
      <c r="I339" s="87">
        <v>24.440899999999999</v>
      </c>
      <c r="J339" s="88">
        <v>13.931900000000001</v>
      </c>
      <c r="K339" s="89">
        <v>5.4257</v>
      </c>
      <c r="L339" s="90">
        <v>1419.3269</v>
      </c>
      <c r="M339" s="89">
        <v>757.8877</v>
      </c>
      <c r="N339" s="89">
        <v>289.12630000000001</v>
      </c>
      <c r="O339" s="109">
        <f>SUM(Table1[[#This Row],[2022]:[YTD 2024]])</f>
        <v>43.798499999999997</v>
      </c>
      <c r="P339" s="219">
        <f>IFERROR(((Table1[[#This Row],[2023]]-Table1[[#This Row],[2022]])/Table1[[#This Row],[2022]]),0)</f>
        <v>-0.42997598288115407</v>
      </c>
      <c r="Q339" s="219">
        <f>IFERROR(((Table1[[#This Row],[Volume 2023]]-Table1[[#This Row],[Volume 2022]])/Table1[[#This Row],[Volume 2022]]),0)</f>
        <v>-0.46602315506033176</v>
      </c>
      <c r="R339" s="219">
        <f>Table1[[#This Row],[YoY growth]]-Table1[[#This Row],[Volume growth]]</f>
        <v>3.6047172179177689E-2</v>
      </c>
      <c r="S339" s="46"/>
    </row>
    <row r="340" spans="1:19" hidden="1" x14ac:dyDescent="0.25">
      <c r="A340" s="45"/>
      <c r="B340" s="41" t="s">
        <v>777</v>
      </c>
      <c r="C340" s="39" t="s">
        <v>971</v>
      </c>
      <c r="D340" s="39" t="s">
        <v>1097</v>
      </c>
      <c r="E340" s="42" t="s">
        <v>427</v>
      </c>
      <c r="F340" s="43" t="s">
        <v>9</v>
      </c>
      <c r="G340" s="38" t="s">
        <v>20</v>
      </c>
      <c r="H340" s="79" t="s">
        <v>42</v>
      </c>
      <c r="I340" s="87">
        <v>2.0893000000000002</v>
      </c>
      <c r="J340" s="88">
        <v>2.5973000000000002</v>
      </c>
      <c r="K340" s="89">
        <v>0.1109</v>
      </c>
      <c r="L340" s="90">
        <v>135.5565</v>
      </c>
      <c r="M340" s="89">
        <v>141.02850000000001</v>
      </c>
      <c r="N340" s="89">
        <v>6.4691999999999998</v>
      </c>
      <c r="O340" s="109">
        <f>SUM(Table1[[#This Row],[2022]:[YTD 2024]])</f>
        <v>4.7975000000000003</v>
      </c>
      <c r="P340" s="219">
        <f>IFERROR(((Table1[[#This Row],[2023]]-Table1[[#This Row],[2022]])/Table1[[#This Row],[2022]]),0)</f>
        <v>0.24314363662470684</v>
      </c>
      <c r="Q340" s="219">
        <f>IFERROR(((Table1[[#This Row],[Volume 2023]]-Table1[[#This Row],[Volume 2022]])/Table1[[#This Row],[Volume 2022]]),0)</f>
        <v>4.0366931869737034E-2</v>
      </c>
      <c r="R340" s="219">
        <f>Table1[[#This Row],[YoY growth]]-Table1[[#This Row],[Volume growth]]</f>
        <v>0.20277670475496981</v>
      </c>
      <c r="S340" s="46"/>
    </row>
    <row r="341" spans="1:19" hidden="1" x14ac:dyDescent="0.25">
      <c r="A341" s="45"/>
      <c r="B341" s="41" t="s">
        <v>778</v>
      </c>
      <c r="C341" s="39" t="s">
        <v>972</v>
      </c>
      <c r="D341" s="39" t="s">
        <v>1098</v>
      </c>
      <c r="E341" s="42" t="s">
        <v>429</v>
      </c>
      <c r="F341" s="43" t="s">
        <v>9</v>
      </c>
      <c r="G341" s="38" t="s">
        <v>20</v>
      </c>
      <c r="H341" s="79" t="s">
        <v>24</v>
      </c>
      <c r="I341" s="87">
        <v>6.1833</v>
      </c>
      <c r="J341" s="88">
        <v>0.61119999999999997</v>
      </c>
      <c r="K341" s="89">
        <v>0</v>
      </c>
      <c r="L341" s="90">
        <v>392.1592</v>
      </c>
      <c r="M341" s="89">
        <v>31.181999999999999</v>
      </c>
      <c r="N341" s="89">
        <v>0</v>
      </c>
      <c r="O341" s="109">
        <f>SUM(Table1[[#This Row],[2022]:[YTD 2024]])</f>
        <v>6.7945000000000002</v>
      </c>
      <c r="P341" s="219">
        <f>IFERROR(((Table1[[#This Row],[2023]]-Table1[[#This Row],[2022]])/Table1[[#This Row],[2022]]),0)</f>
        <v>-0.90115310594666276</v>
      </c>
      <c r="Q341" s="219">
        <f>IFERROR(((Table1[[#This Row],[Volume 2023]]-Table1[[#This Row],[Volume 2022]])/Table1[[#This Row],[Volume 2022]]),0)</f>
        <v>-0.92048637390121146</v>
      </c>
      <c r="R341" s="219">
        <f>Table1[[#This Row],[YoY growth]]-Table1[[#This Row],[Volume growth]]</f>
        <v>1.9333267954548705E-2</v>
      </c>
      <c r="S341" s="46"/>
    </row>
    <row r="342" spans="1:19" hidden="1" x14ac:dyDescent="0.25">
      <c r="A342" s="45"/>
      <c r="B342" s="41" t="s">
        <v>778</v>
      </c>
      <c r="C342" s="39" t="s">
        <v>973</v>
      </c>
      <c r="D342" s="39" t="s">
        <v>1098</v>
      </c>
      <c r="E342" s="42" t="s">
        <v>431</v>
      </c>
      <c r="F342" s="43" t="s">
        <v>9</v>
      </c>
      <c r="G342" s="38" t="s">
        <v>20</v>
      </c>
      <c r="H342" s="79" t="s">
        <v>42</v>
      </c>
      <c r="I342" s="87">
        <v>0</v>
      </c>
      <c r="J342" s="88">
        <v>0</v>
      </c>
      <c r="K342" s="89">
        <v>0</v>
      </c>
      <c r="L342" s="90">
        <v>0</v>
      </c>
      <c r="M342" s="89">
        <v>0</v>
      </c>
      <c r="N342" s="89">
        <v>0</v>
      </c>
      <c r="O342" s="109">
        <f>SUM(Table1[[#This Row],[2022]:[YTD 2024]])</f>
        <v>0</v>
      </c>
      <c r="P342" s="219">
        <f>IFERROR(((Table1[[#This Row],[2023]]-Table1[[#This Row],[2022]])/Table1[[#This Row],[2022]]),0)</f>
        <v>0</v>
      </c>
      <c r="Q342" s="219">
        <f>IFERROR(((Table1[[#This Row],[Volume 2023]]-Table1[[#This Row],[Volume 2022]])/Table1[[#This Row],[Volume 2022]]),0)</f>
        <v>0</v>
      </c>
      <c r="R342" s="219">
        <f>Table1[[#This Row],[YoY growth]]-Table1[[#This Row],[Volume growth]]</f>
        <v>0</v>
      </c>
      <c r="S342" s="46"/>
    </row>
    <row r="343" spans="1:19" hidden="1" x14ac:dyDescent="0.25">
      <c r="A343" s="45"/>
      <c r="B343" s="41" t="s">
        <v>778</v>
      </c>
      <c r="C343" s="39" t="s">
        <v>956</v>
      </c>
      <c r="D343" s="39" t="s">
        <v>1099</v>
      </c>
      <c r="E343" s="42" t="s">
        <v>433</v>
      </c>
      <c r="F343" s="43" t="s">
        <v>9</v>
      </c>
      <c r="G343" s="38" t="s">
        <v>20</v>
      </c>
      <c r="H343" s="79" t="s">
        <v>24</v>
      </c>
      <c r="I343" s="87">
        <v>2.5480999999999998</v>
      </c>
      <c r="J343" s="88">
        <v>2.6009000000000002</v>
      </c>
      <c r="K343" s="89">
        <v>0</v>
      </c>
      <c r="L343" s="90">
        <v>132.16820000000001</v>
      </c>
      <c r="M343" s="89">
        <v>141.76490000000001</v>
      </c>
      <c r="N343" s="89">
        <v>0</v>
      </c>
      <c r="O343" s="109">
        <f>SUM(Table1[[#This Row],[2022]:[YTD 2024]])</f>
        <v>5.149</v>
      </c>
      <c r="P343" s="219">
        <f>IFERROR(((Table1[[#This Row],[2023]]-Table1[[#This Row],[2022]])/Table1[[#This Row],[2022]]),0)</f>
        <v>2.0721321769161496E-2</v>
      </c>
      <c r="Q343" s="219">
        <f>IFERROR(((Table1[[#This Row],[Volume 2023]]-Table1[[#This Row],[Volume 2022]])/Table1[[#This Row],[Volume 2022]]),0)</f>
        <v>7.2609750303022941E-2</v>
      </c>
      <c r="R343" s="219">
        <f>Table1[[#This Row],[YoY growth]]-Table1[[#This Row],[Volume growth]]</f>
        <v>-5.1888428533861441E-2</v>
      </c>
      <c r="S343" s="46"/>
    </row>
    <row r="344" spans="1:19" hidden="1" x14ac:dyDescent="0.25">
      <c r="A344" s="45"/>
      <c r="B344" s="41" t="s">
        <v>779</v>
      </c>
      <c r="C344" s="39" t="s">
        <v>974</v>
      </c>
      <c r="D344" s="39" t="s">
        <v>1100</v>
      </c>
      <c r="E344" s="42" t="s">
        <v>435</v>
      </c>
      <c r="F344" s="43" t="s">
        <v>9</v>
      </c>
      <c r="G344" s="38" t="s">
        <v>69</v>
      </c>
      <c r="H344" s="79" t="s">
        <v>11</v>
      </c>
      <c r="I344" s="87">
        <v>0.15809999999999999</v>
      </c>
      <c r="J344" s="88">
        <v>2E-3</v>
      </c>
      <c r="K344" s="89">
        <v>1E-3</v>
      </c>
      <c r="L344" s="90">
        <v>2.1</v>
      </c>
      <c r="M344" s="89">
        <v>0.02</v>
      </c>
      <c r="N344" s="89">
        <v>0.02</v>
      </c>
      <c r="O344" s="109">
        <f>SUM(Table1[[#This Row],[2022]:[YTD 2024]])</f>
        <v>0.16109999999999999</v>
      </c>
      <c r="P344" s="219">
        <f>IFERROR(((Table1[[#This Row],[2023]]-Table1[[#This Row],[2022]])/Table1[[#This Row],[2022]]),0)</f>
        <v>-0.98734977862112583</v>
      </c>
      <c r="Q344" s="219">
        <f>IFERROR(((Table1[[#This Row],[Volume 2023]]-Table1[[#This Row],[Volume 2022]])/Table1[[#This Row],[Volume 2022]]),0)</f>
        <v>-0.99047619047619051</v>
      </c>
      <c r="R344" s="219">
        <f>Table1[[#This Row],[YoY growth]]-Table1[[#This Row],[Volume growth]]</f>
        <v>3.1264118550646813E-3</v>
      </c>
      <c r="S344" s="46"/>
    </row>
    <row r="345" spans="1:19" hidden="1" x14ac:dyDescent="0.25">
      <c r="A345" s="45"/>
      <c r="B345" s="41" t="s">
        <v>780</v>
      </c>
      <c r="C345" s="39" t="s">
        <v>975</v>
      </c>
      <c r="D345" s="39" t="s">
        <v>1101</v>
      </c>
      <c r="E345" s="42" t="s">
        <v>437</v>
      </c>
      <c r="F345" s="43" t="s">
        <v>9</v>
      </c>
      <c r="G345" s="38" t="s">
        <v>30</v>
      </c>
      <c r="H345" s="79" t="s">
        <v>34</v>
      </c>
      <c r="I345" s="87">
        <v>6.0000000000000001E-3</v>
      </c>
      <c r="J345" s="88">
        <v>0.35439999999999999</v>
      </c>
      <c r="K345" s="89">
        <v>0</v>
      </c>
      <c r="L345" s="90">
        <v>0.33839999999999998</v>
      </c>
      <c r="M345" s="89">
        <v>16.541699999999999</v>
      </c>
      <c r="N345" s="89">
        <v>0</v>
      </c>
      <c r="O345" s="109">
        <f>SUM(Table1[[#This Row],[2022]:[YTD 2024]])</f>
        <v>0.3604</v>
      </c>
      <c r="P345" s="219">
        <f>IFERROR(((Table1[[#This Row],[2023]]-Table1[[#This Row],[2022]])/Table1[[#This Row],[2022]]),0)</f>
        <v>58.066666666666663</v>
      </c>
      <c r="Q345" s="219">
        <f>IFERROR(((Table1[[#This Row],[Volume 2023]]-Table1[[#This Row],[Volume 2022]])/Table1[[#This Row],[Volume 2022]]),0)</f>
        <v>47.88209219858156</v>
      </c>
      <c r="R345" s="219">
        <f>Table1[[#This Row],[YoY growth]]-Table1[[#This Row],[Volume growth]]</f>
        <v>10.184574468085103</v>
      </c>
      <c r="S345" s="46"/>
    </row>
    <row r="346" spans="1:19" hidden="1" x14ac:dyDescent="0.25">
      <c r="A346" s="45"/>
      <c r="B346" s="41" t="s">
        <v>781</v>
      </c>
      <c r="C346" s="39" t="s">
        <v>976</v>
      </c>
      <c r="D346" s="39" t="s">
        <v>1102</v>
      </c>
      <c r="E346" s="42" t="s">
        <v>439</v>
      </c>
      <c r="F346" s="43" t="s">
        <v>9</v>
      </c>
      <c r="G346" s="38" t="s">
        <v>20</v>
      </c>
      <c r="H346" s="79" t="s">
        <v>24</v>
      </c>
      <c r="I346" s="87">
        <v>0</v>
      </c>
      <c r="J346" s="88">
        <v>0</v>
      </c>
      <c r="K346" s="89">
        <v>0</v>
      </c>
      <c r="L346" s="90">
        <v>0</v>
      </c>
      <c r="M346" s="89">
        <v>0</v>
      </c>
      <c r="N346" s="89">
        <v>0</v>
      </c>
      <c r="O346" s="109">
        <f>SUM(Table1[[#This Row],[2022]:[YTD 2024]])</f>
        <v>0</v>
      </c>
      <c r="P346" s="219">
        <f>IFERROR(((Table1[[#This Row],[2023]]-Table1[[#This Row],[2022]])/Table1[[#This Row],[2022]]),0)</f>
        <v>0</v>
      </c>
      <c r="Q346" s="219">
        <f>IFERROR(((Table1[[#This Row],[Volume 2023]]-Table1[[#This Row],[Volume 2022]])/Table1[[#This Row],[Volume 2022]]),0)</f>
        <v>0</v>
      </c>
      <c r="R346" s="219">
        <f>Table1[[#This Row],[YoY growth]]-Table1[[#This Row],[Volume growth]]</f>
        <v>0</v>
      </c>
      <c r="S346" s="46"/>
    </row>
    <row r="347" spans="1:19" hidden="1" x14ac:dyDescent="0.25">
      <c r="A347" s="45"/>
      <c r="B347" s="41" t="s">
        <v>782</v>
      </c>
      <c r="C347" s="39" t="s">
        <v>977</v>
      </c>
      <c r="D347" s="39" t="s">
        <v>1103</v>
      </c>
      <c r="E347" s="42" t="s">
        <v>824</v>
      </c>
      <c r="F347" s="43" t="s">
        <v>9</v>
      </c>
      <c r="G347" s="38" t="s">
        <v>20</v>
      </c>
      <c r="H347" s="79" t="s">
        <v>42</v>
      </c>
      <c r="I347" s="87">
        <v>0</v>
      </c>
      <c r="J347" s="88">
        <v>0</v>
      </c>
      <c r="K347" s="89">
        <v>9.8000000000000004E-2</v>
      </c>
      <c r="L347" s="90">
        <v>0</v>
      </c>
      <c r="M347" s="89">
        <v>0</v>
      </c>
      <c r="N347" s="89">
        <v>3.3592</v>
      </c>
      <c r="O347" s="109">
        <f>SUM(Table1[[#This Row],[2022]:[YTD 2024]])</f>
        <v>9.8000000000000004E-2</v>
      </c>
      <c r="P347" s="219">
        <f>IFERROR(((Table1[[#This Row],[2023]]-Table1[[#This Row],[2022]])/Table1[[#This Row],[2022]]),0)</f>
        <v>0</v>
      </c>
      <c r="Q347" s="219">
        <f>IFERROR(((Table1[[#This Row],[Volume 2023]]-Table1[[#This Row],[Volume 2022]])/Table1[[#This Row],[Volume 2022]]),0)</f>
        <v>0</v>
      </c>
      <c r="R347" s="219">
        <f>Table1[[#This Row],[YoY growth]]-Table1[[#This Row],[Volume growth]]</f>
        <v>0</v>
      </c>
      <c r="S347" s="46"/>
    </row>
    <row r="348" spans="1:19" hidden="1" x14ac:dyDescent="0.25">
      <c r="A348" s="45"/>
      <c r="B348" s="41" t="s">
        <v>783</v>
      </c>
      <c r="C348" s="39" t="s">
        <v>978</v>
      </c>
      <c r="D348" s="39" t="s">
        <v>1104</v>
      </c>
      <c r="E348" s="42" t="s">
        <v>442</v>
      </c>
      <c r="F348" s="43" t="s">
        <v>9</v>
      </c>
      <c r="G348" s="38" t="s">
        <v>20</v>
      </c>
      <c r="H348" s="79" t="s">
        <v>21</v>
      </c>
      <c r="I348" s="87">
        <v>0</v>
      </c>
      <c r="J348" s="88">
        <v>0</v>
      </c>
      <c r="K348" s="89">
        <v>0</v>
      </c>
      <c r="L348" s="90">
        <v>0</v>
      </c>
      <c r="M348" s="89">
        <v>0</v>
      </c>
      <c r="N348" s="89">
        <v>0</v>
      </c>
      <c r="O348" s="109">
        <f>SUM(Table1[[#This Row],[2022]:[YTD 2024]])</f>
        <v>0</v>
      </c>
      <c r="P348" s="219">
        <f>IFERROR(((Table1[[#This Row],[2023]]-Table1[[#This Row],[2022]])/Table1[[#This Row],[2022]]),0)</f>
        <v>0</v>
      </c>
      <c r="Q348" s="219">
        <f>IFERROR(((Table1[[#This Row],[Volume 2023]]-Table1[[#This Row],[Volume 2022]])/Table1[[#This Row],[Volume 2022]]),0)</f>
        <v>0</v>
      </c>
      <c r="R348" s="219">
        <f>Table1[[#This Row],[YoY growth]]-Table1[[#This Row],[Volume growth]]</f>
        <v>0</v>
      </c>
      <c r="S348" s="46"/>
    </row>
    <row r="349" spans="1:19" hidden="1" x14ac:dyDescent="0.25">
      <c r="A349" s="45"/>
      <c r="B349" s="41" t="s">
        <v>783</v>
      </c>
      <c r="C349" s="39" t="s">
        <v>978</v>
      </c>
      <c r="D349" s="39" t="s">
        <v>1104</v>
      </c>
      <c r="E349" s="42" t="s">
        <v>443</v>
      </c>
      <c r="F349" s="43" t="s">
        <v>9</v>
      </c>
      <c r="G349" s="38" t="s">
        <v>10</v>
      </c>
      <c r="H349" s="79" t="s">
        <v>42</v>
      </c>
      <c r="I349" s="87">
        <v>0</v>
      </c>
      <c r="J349" s="88">
        <v>0.79349999999999998</v>
      </c>
      <c r="K349" s="89">
        <v>0.7298</v>
      </c>
      <c r="L349" s="90">
        <v>0</v>
      </c>
      <c r="M349" s="89">
        <v>47.268799999999999</v>
      </c>
      <c r="N349" s="89">
        <v>43.602699999999999</v>
      </c>
      <c r="O349" s="109">
        <f>SUM(Table1[[#This Row],[2022]:[YTD 2024]])</f>
        <v>1.5232999999999999</v>
      </c>
      <c r="P349" s="219">
        <f>IFERROR(((Table1[[#This Row],[2023]]-Table1[[#This Row],[2022]])/Table1[[#This Row],[2022]]),0)</f>
        <v>0</v>
      </c>
      <c r="Q349" s="219">
        <f>IFERROR(((Table1[[#This Row],[Volume 2023]]-Table1[[#This Row],[Volume 2022]])/Table1[[#This Row],[Volume 2022]]),0)</f>
        <v>0</v>
      </c>
      <c r="R349" s="219">
        <f>Table1[[#This Row],[YoY growth]]-Table1[[#This Row],[Volume growth]]</f>
        <v>0</v>
      </c>
      <c r="S349" s="46"/>
    </row>
    <row r="350" spans="1:19" hidden="1" x14ac:dyDescent="0.25">
      <c r="A350" s="45"/>
      <c r="B350" s="41" t="s">
        <v>784</v>
      </c>
      <c r="C350" s="39" t="s">
        <v>979</v>
      </c>
      <c r="D350" s="39" t="s">
        <v>1105</v>
      </c>
      <c r="E350" s="42" t="s">
        <v>445</v>
      </c>
      <c r="F350" s="43" t="s">
        <v>9</v>
      </c>
      <c r="G350" s="38" t="s">
        <v>20</v>
      </c>
      <c r="H350" s="79" t="s">
        <v>68</v>
      </c>
      <c r="I350" s="87">
        <v>0.36020000000000002</v>
      </c>
      <c r="J350" s="88">
        <v>5.21E-2</v>
      </c>
      <c r="K350" s="89">
        <v>9.4000000000000004E-3</v>
      </c>
      <c r="L350" s="90">
        <v>19.065100000000001</v>
      </c>
      <c r="M350" s="89">
        <v>2.6206</v>
      </c>
      <c r="N350" s="89">
        <v>0.48</v>
      </c>
      <c r="O350" s="109">
        <f>SUM(Table1[[#This Row],[2022]:[YTD 2024]])</f>
        <v>0.42170000000000002</v>
      </c>
      <c r="P350" s="219">
        <f>IFERROR(((Table1[[#This Row],[2023]]-Table1[[#This Row],[2022]])/Table1[[#This Row],[2022]]),0)</f>
        <v>-0.85535813436979458</v>
      </c>
      <c r="Q350" s="219">
        <f>IFERROR(((Table1[[#This Row],[Volume 2023]]-Table1[[#This Row],[Volume 2022]])/Table1[[#This Row],[Volume 2022]]),0)</f>
        <v>-0.86254464964778577</v>
      </c>
      <c r="R350" s="219">
        <f>Table1[[#This Row],[YoY growth]]-Table1[[#This Row],[Volume growth]]</f>
        <v>7.1865152779911901E-3</v>
      </c>
      <c r="S350" s="46"/>
    </row>
    <row r="351" spans="1:19" hidden="1" x14ac:dyDescent="0.25">
      <c r="A351" s="45"/>
      <c r="B351" s="41" t="s">
        <v>785</v>
      </c>
      <c r="C351" s="39" t="s">
        <v>980</v>
      </c>
      <c r="D351" s="39" t="s">
        <v>1106</v>
      </c>
      <c r="E351" s="42" t="s">
        <v>447</v>
      </c>
      <c r="F351" s="43" t="s">
        <v>9</v>
      </c>
      <c r="G351" s="38" t="s">
        <v>20</v>
      </c>
      <c r="H351" s="79" t="s">
        <v>17</v>
      </c>
      <c r="I351" s="87">
        <v>0</v>
      </c>
      <c r="J351" s="88">
        <v>0</v>
      </c>
      <c r="K351" s="89">
        <v>2.0999999999999999E-3</v>
      </c>
      <c r="L351" s="90">
        <v>0</v>
      </c>
      <c r="M351" s="89">
        <v>0</v>
      </c>
      <c r="N351" s="89">
        <v>0.17710000000000001</v>
      </c>
      <c r="O351" s="109">
        <f>SUM(Table1[[#This Row],[2022]:[YTD 2024]])</f>
        <v>2.0999999999999999E-3</v>
      </c>
      <c r="P351" s="219">
        <f>IFERROR(((Table1[[#This Row],[2023]]-Table1[[#This Row],[2022]])/Table1[[#This Row],[2022]]),0)</f>
        <v>0</v>
      </c>
      <c r="Q351" s="219">
        <f>IFERROR(((Table1[[#This Row],[Volume 2023]]-Table1[[#This Row],[Volume 2022]])/Table1[[#This Row],[Volume 2022]]),0)</f>
        <v>0</v>
      </c>
      <c r="R351" s="219">
        <f>Table1[[#This Row],[YoY growth]]-Table1[[#This Row],[Volume growth]]</f>
        <v>0</v>
      </c>
      <c r="S351" s="46"/>
    </row>
    <row r="352" spans="1:19" hidden="1" x14ac:dyDescent="0.25">
      <c r="A352" s="45"/>
      <c r="B352" s="41" t="s">
        <v>786</v>
      </c>
      <c r="C352" s="39" t="s">
        <v>981</v>
      </c>
      <c r="D352" s="39" t="s">
        <v>1107</v>
      </c>
      <c r="E352" s="42" t="s">
        <v>449</v>
      </c>
      <c r="F352" s="43" t="s">
        <v>9</v>
      </c>
      <c r="G352" s="38" t="s">
        <v>30</v>
      </c>
      <c r="H352" s="79" t="s">
        <v>118</v>
      </c>
      <c r="I352" s="87">
        <v>1.4545999999999999</v>
      </c>
      <c r="J352" s="88">
        <v>0.15629999999999999</v>
      </c>
      <c r="K352" s="89">
        <v>5.8099999999999999E-2</v>
      </c>
      <c r="L352" s="90">
        <v>31.957999999999998</v>
      </c>
      <c r="M352" s="89">
        <v>3.1030000000000002</v>
      </c>
      <c r="N352" s="89">
        <v>1.1613</v>
      </c>
      <c r="O352" s="109">
        <f>SUM(Table1[[#This Row],[2022]:[YTD 2024]])</f>
        <v>1.669</v>
      </c>
      <c r="P352" s="219">
        <f>IFERROR(((Table1[[#This Row],[2023]]-Table1[[#This Row],[2022]])/Table1[[#This Row],[2022]]),0)</f>
        <v>-0.89254777945827024</v>
      </c>
      <c r="Q352" s="219">
        <f>IFERROR(((Table1[[#This Row],[Volume 2023]]-Table1[[#This Row],[Volume 2022]])/Table1[[#This Row],[Volume 2022]]),0)</f>
        <v>-0.9029038112522686</v>
      </c>
      <c r="R352" s="219">
        <f>Table1[[#This Row],[YoY growth]]-Table1[[#This Row],[Volume growth]]</f>
        <v>1.0356031793998355E-2</v>
      </c>
      <c r="S352" s="46"/>
    </row>
    <row r="353" spans="1:19" hidden="1" x14ac:dyDescent="0.25">
      <c r="A353" s="45"/>
      <c r="B353" s="41" t="s">
        <v>786</v>
      </c>
      <c r="C353" s="39" t="s">
        <v>981</v>
      </c>
      <c r="D353" s="39" t="s">
        <v>1107</v>
      </c>
      <c r="E353" s="42" t="s">
        <v>450</v>
      </c>
      <c r="F353" s="43" t="s">
        <v>9</v>
      </c>
      <c r="G353" s="38" t="s">
        <v>30</v>
      </c>
      <c r="H353" s="79" t="s">
        <v>42</v>
      </c>
      <c r="I353" s="87">
        <v>0.69610000000000005</v>
      </c>
      <c r="J353" s="88">
        <v>0</v>
      </c>
      <c r="K353" s="89">
        <v>0</v>
      </c>
      <c r="L353" s="90">
        <v>23.8918</v>
      </c>
      <c r="M353" s="89">
        <v>0</v>
      </c>
      <c r="N353" s="89">
        <v>0</v>
      </c>
      <c r="O353" s="109">
        <f>SUM(Table1[[#This Row],[2022]:[YTD 2024]])</f>
        <v>0.69610000000000005</v>
      </c>
      <c r="P353" s="219">
        <f>IFERROR(((Table1[[#This Row],[2023]]-Table1[[#This Row],[2022]])/Table1[[#This Row],[2022]]),0)</f>
        <v>-1</v>
      </c>
      <c r="Q353" s="219">
        <f>IFERROR(((Table1[[#This Row],[Volume 2023]]-Table1[[#This Row],[Volume 2022]])/Table1[[#This Row],[Volume 2022]]),0)</f>
        <v>-1</v>
      </c>
      <c r="R353" s="219">
        <f>Table1[[#This Row],[YoY growth]]-Table1[[#This Row],[Volume growth]]</f>
        <v>0</v>
      </c>
      <c r="S353" s="46"/>
    </row>
    <row r="354" spans="1:19" hidden="1" x14ac:dyDescent="0.25">
      <c r="A354" s="45"/>
      <c r="B354" s="41" t="s">
        <v>787</v>
      </c>
      <c r="C354" s="39" t="s">
        <v>982</v>
      </c>
      <c r="D354" s="39" t="s">
        <v>1108</v>
      </c>
      <c r="E354" s="42" t="s">
        <v>452</v>
      </c>
      <c r="F354" s="43" t="s">
        <v>9</v>
      </c>
      <c r="G354" s="38" t="s">
        <v>30</v>
      </c>
      <c r="H354" s="79" t="s">
        <v>88</v>
      </c>
      <c r="I354" s="87">
        <v>0.83640000000000003</v>
      </c>
      <c r="J354" s="88">
        <v>0.55679999999999996</v>
      </c>
      <c r="K354" s="89">
        <v>0.16950000000000001</v>
      </c>
      <c r="L354" s="90">
        <v>3.2871000000000001</v>
      </c>
      <c r="M354" s="89">
        <v>1.9970000000000001</v>
      </c>
      <c r="N354" s="89">
        <v>0.75749999999999995</v>
      </c>
      <c r="O354" s="109">
        <f>SUM(Table1[[#This Row],[2022]:[YTD 2024]])</f>
        <v>1.5627</v>
      </c>
      <c r="P354" s="219">
        <f>IFERROR(((Table1[[#This Row],[2023]]-Table1[[#This Row],[2022]])/Table1[[#This Row],[2022]]),0)</f>
        <v>-0.33428981348637021</v>
      </c>
      <c r="Q354" s="219">
        <f>IFERROR(((Table1[[#This Row],[Volume 2023]]-Table1[[#This Row],[Volume 2022]])/Table1[[#This Row],[Volume 2022]]),0)</f>
        <v>-0.3924736089562228</v>
      </c>
      <c r="R354" s="219">
        <f>Table1[[#This Row],[YoY growth]]-Table1[[#This Row],[Volume growth]]</f>
        <v>5.8183795469852584E-2</v>
      </c>
      <c r="S354" s="46"/>
    </row>
    <row r="355" spans="1:19" hidden="1" x14ac:dyDescent="0.25">
      <c r="A355" s="45"/>
      <c r="B355" s="41" t="s">
        <v>787</v>
      </c>
      <c r="C355" s="39" t="s">
        <v>982</v>
      </c>
      <c r="D355" s="39" t="s">
        <v>1108</v>
      </c>
      <c r="E355" s="42" t="s">
        <v>453</v>
      </c>
      <c r="F355" s="43" t="s">
        <v>9</v>
      </c>
      <c r="G355" s="38" t="s">
        <v>30</v>
      </c>
      <c r="H355" s="79" t="s">
        <v>103</v>
      </c>
      <c r="I355" s="87">
        <v>1.8599999999999998E-2</v>
      </c>
      <c r="J355" s="88">
        <v>0</v>
      </c>
      <c r="K355" s="89">
        <v>0</v>
      </c>
      <c r="L355" s="90">
        <v>0.14000000000000001</v>
      </c>
      <c r="M355" s="89">
        <v>0</v>
      </c>
      <c r="N355" s="89">
        <v>0</v>
      </c>
      <c r="O355" s="109">
        <f>SUM(Table1[[#This Row],[2022]:[YTD 2024]])</f>
        <v>1.8599999999999998E-2</v>
      </c>
      <c r="P355" s="219">
        <f>IFERROR(((Table1[[#This Row],[2023]]-Table1[[#This Row],[2022]])/Table1[[#This Row],[2022]]),0)</f>
        <v>-1</v>
      </c>
      <c r="Q355" s="219">
        <f>IFERROR(((Table1[[#This Row],[Volume 2023]]-Table1[[#This Row],[Volume 2022]])/Table1[[#This Row],[Volume 2022]]),0)</f>
        <v>-1</v>
      </c>
      <c r="R355" s="219">
        <f>Table1[[#This Row],[YoY growth]]-Table1[[#This Row],[Volume growth]]</f>
        <v>0</v>
      </c>
      <c r="S355" s="46"/>
    </row>
    <row r="356" spans="1:19" hidden="1" x14ac:dyDescent="0.25">
      <c r="A356" s="45"/>
      <c r="B356" s="41" t="s">
        <v>787</v>
      </c>
      <c r="C356" s="39" t="s">
        <v>982</v>
      </c>
      <c r="D356" s="39" t="s">
        <v>1108</v>
      </c>
      <c r="E356" s="42" t="s">
        <v>454</v>
      </c>
      <c r="F356" s="43" t="s">
        <v>9</v>
      </c>
      <c r="G356" s="38" t="s">
        <v>30</v>
      </c>
      <c r="H356" s="79" t="s">
        <v>103</v>
      </c>
      <c r="I356" s="87">
        <v>0.34599999999999997</v>
      </c>
      <c r="J356" s="88">
        <v>0.3881</v>
      </c>
      <c r="K356" s="89">
        <v>0.2717</v>
      </c>
      <c r="L356" s="90">
        <v>2.4157999999999999</v>
      </c>
      <c r="M356" s="89">
        <v>2.4979</v>
      </c>
      <c r="N356" s="89">
        <v>1.68</v>
      </c>
      <c r="O356" s="109">
        <f>SUM(Table1[[#This Row],[2022]:[YTD 2024]])</f>
        <v>1.0058</v>
      </c>
      <c r="P356" s="219">
        <f>IFERROR(((Table1[[#This Row],[2023]]-Table1[[#This Row],[2022]])/Table1[[#This Row],[2022]]),0)</f>
        <v>0.12167630057803477</v>
      </c>
      <c r="Q356" s="219">
        <f>IFERROR(((Table1[[#This Row],[Volume 2023]]-Table1[[#This Row],[Volume 2022]])/Table1[[#This Row],[Volume 2022]]),0)</f>
        <v>3.398460137428598E-2</v>
      </c>
      <c r="R356" s="219">
        <f>Table1[[#This Row],[YoY growth]]-Table1[[#This Row],[Volume growth]]</f>
        <v>8.7691699203748794E-2</v>
      </c>
      <c r="S356" s="46"/>
    </row>
    <row r="357" spans="1:19" hidden="1" x14ac:dyDescent="0.25">
      <c r="A357" s="45"/>
      <c r="B357" s="41" t="s">
        <v>787</v>
      </c>
      <c r="C357" s="39" t="s">
        <v>982</v>
      </c>
      <c r="D357" s="39" t="s">
        <v>1108</v>
      </c>
      <c r="E357" s="42" t="s">
        <v>455</v>
      </c>
      <c r="F357" s="43" t="s">
        <v>9</v>
      </c>
      <c r="G357" s="38" t="s">
        <v>30</v>
      </c>
      <c r="H357" s="79" t="s">
        <v>103</v>
      </c>
      <c r="I357" s="87">
        <v>0.25569999999999998</v>
      </c>
      <c r="J357" s="88">
        <v>2.6200000000000001E-2</v>
      </c>
      <c r="K357" s="89">
        <v>0</v>
      </c>
      <c r="L357" s="90">
        <v>2.27</v>
      </c>
      <c r="M357" s="89">
        <v>0.31</v>
      </c>
      <c r="N357" s="89">
        <v>0</v>
      </c>
      <c r="O357" s="109">
        <f>SUM(Table1[[#This Row],[2022]:[YTD 2024]])</f>
        <v>0.28189999999999998</v>
      </c>
      <c r="P357" s="219">
        <f>IFERROR(((Table1[[#This Row],[2023]]-Table1[[#This Row],[2022]])/Table1[[#This Row],[2022]]),0)</f>
        <v>-0.8975361752053187</v>
      </c>
      <c r="Q357" s="219">
        <f>IFERROR(((Table1[[#This Row],[Volume 2023]]-Table1[[#This Row],[Volume 2022]])/Table1[[#This Row],[Volume 2022]]),0)</f>
        <v>-0.86343612334801756</v>
      </c>
      <c r="R357" s="219">
        <f>Table1[[#This Row],[YoY growth]]-Table1[[#This Row],[Volume growth]]</f>
        <v>-3.4100051857301139E-2</v>
      </c>
      <c r="S357" s="46"/>
    </row>
    <row r="358" spans="1:19" hidden="1" x14ac:dyDescent="0.25">
      <c r="A358" s="45"/>
      <c r="B358" s="41" t="s">
        <v>788</v>
      </c>
      <c r="C358" s="39" t="s">
        <v>972</v>
      </c>
      <c r="D358" s="39" t="s">
        <v>1109</v>
      </c>
      <c r="E358" s="42" t="s">
        <v>457</v>
      </c>
      <c r="F358" s="43" t="s">
        <v>9</v>
      </c>
      <c r="G358" s="38" t="s">
        <v>20</v>
      </c>
      <c r="H358" s="79" t="s">
        <v>99</v>
      </c>
      <c r="I358" s="87">
        <v>4.2514000000000003</v>
      </c>
      <c r="J358" s="88">
        <v>9.5349000000000004</v>
      </c>
      <c r="K358" s="89">
        <v>4.3247999999999998</v>
      </c>
      <c r="L358" s="90">
        <v>118.9742</v>
      </c>
      <c r="M358" s="89">
        <v>264.43900000000002</v>
      </c>
      <c r="N358" s="89">
        <v>116.2043</v>
      </c>
      <c r="O358" s="109">
        <f>SUM(Table1[[#This Row],[2022]:[YTD 2024]])</f>
        <v>18.1111</v>
      </c>
      <c r="P358" s="219">
        <f>IFERROR(((Table1[[#This Row],[2023]]-Table1[[#This Row],[2022]])/Table1[[#This Row],[2022]]),0)</f>
        <v>1.2427670884884978</v>
      </c>
      <c r="Q358" s="219">
        <f>IFERROR(((Table1[[#This Row],[Volume 2023]]-Table1[[#This Row],[Volume 2022]])/Table1[[#This Row],[Volume 2022]]),0)</f>
        <v>1.2226583578624612</v>
      </c>
      <c r="R358" s="219">
        <f>Table1[[#This Row],[YoY growth]]-Table1[[#This Row],[Volume growth]]</f>
        <v>2.0108730626036575E-2</v>
      </c>
      <c r="S358" s="46"/>
    </row>
    <row r="359" spans="1:19" hidden="1" x14ac:dyDescent="0.25">
      <c r="A359" s="45"/>
      <c r="B359" s="41" t="s">
        <v>788</v>
      </c>
      <c r="C359" s="39" t="s">
        <v>972</v>
      </c>
      <c r="D359" s="39" t="s">
        <v>1109</v>
      </c>
      <c r="E359" s="42" t="s">
        <v>458</v>
      </c>
      <c r="F359" s="43" t="s">
        <v>9</v>
      </c>
      <c r="G359" s="38" t="s">
        <v>20</v>
      </c>
      <c r="H359" s="79" t="s">
        <v>99</v>
      </c>
      <c r="I359" s="87">
        <v>0</v>
      </c>
      <c r="J359" s="88">
        <v>3.1814</v>
      </c>
      <c r="K359" s="89">
        <v>1.8621000000000001</v>
      </c>
      <c r="L359" s="90">
        <v>0</v>
      </c>
      <c r="M359" s="89">
        <v>84.536500000000004</v>
      </c>
      <c r="N359" s="89">
        <v>48.9773</v>
      </c>
      <c r="O359" s="109">
        <f>SUM(Table1[[#This Row],[2022]:[YTD 2024]])</f>
        <v>5.0434999999999999</v>
      </c>
      <c r="P359" s="219">
        <f>IFERROR(((Table1[[#This Row],[2023]]-Table1[[#This Row],[2022]])/Table1[[#This Row],[2022]]),0)</f>
        <v>0</v>
      </c>
      <c r="Q359" s="219">
        <f>IFERROR(((Table1[[#This Row],[Volume 2023]]-Table1[[#This Row],[Volume 2022]])/Table1[[#This Row],[Volume 2022]]),0)</f>
        <v>0</v>
      </c>
      <c r="R359" s="219">
        <f>Table1[[#This Row],[YoY growth]]-Table1[[#This Row],[Volume growth]]</f>
        <v>0</v>
      </c>
      <c r="S359" s="46"/>
    </row>
    <row r="360" spans="1:19" hidden="1" x14ac:dyDescent="0.25">
      <c r="A360" s="45"/>
      <c r="B360" s="41" t="s">
        <v>788</v>
      </c>
      <c r="C360" s="39" t="s">
        <v>972</v>
      </c>
      <c r="D360" s="39" t="s">
        <v>1109</v>
      </c>
      <c r="E360" s="42" t="s">
        <v>459</v>
      </c>
      <c r="F360" s="43" t="s">
        <v>9</v>
      </c>
      <c r="G360" s="38" t="s">
        <v>10</v>
      </c>
      <c r="H360" s="79" t="s">
        <v>99</v>
      </c>
      <c r="I360" s="87">
        <v>9.6434999999999995</v>
      </c>
      <c r="J360" s="88">
        <v>0</v>
      </c>
      <c r="K360" s="89">
        <v>0</v>
      </c>
      <c r="L360" s="90">
        <v>280.5643</v>
      </c>
      <c r="M360" s="89">
        <v>0</v>
      </c>
      <c r="N360" s="89">
        <v>0</v>
      </c>
      <c r="O360" s="109">
        <f>SUM(Table1[[#This Row],[2022]:[YTD 2024]])</f>
        <v>9.6434999999999995</v>
      </c>
      <c r="P360" s="219">
        <f>IFERROR(((Table1[[#This Row],[2023]]-Table1[[#This Row],[2022]])/Table1[[#This Row],[2022]]),0)</f>
        <v>-1</v>
      </c>
      <c r="Q360" s="219">
        <f>IFERROR(((Table1[[#This Row],[Volume 2023]]-Table1[[#This Row],[Volume 2022]])/Table1[[#This Row],[Volume 2022]]),0)</f>
        <v>-1</v>
      </c>
      <c r="R360" s="219">
        <f>Table1[[#This Row],[YoY growth]]-Table1[[#This Row],[Volume growth]]</f>
        <v>0</v>
      </c>
      <c r="S360" s="46"/>
    </row>
    <row r="361" spans="1:19" hidden="1" x14ac:dyDescent="0.25">
      <c r="A361" s="45"/>
      <c r="B361" s="41" t="s">
        <v>788</v>
      </c>
      <c r="C361" s="39" t="s">
        <v>972</v>
      </c>
      <c r="D361" s="39" t="s">
        <v>1109</v>
      </c>
      <c r="E361" s="42" t="s">
        <v>460</v>
      </c>
      <c r="F361" s="43" t="s">
        <v>9</v>
      </c>
      <c r="G361" s="38" t="s">
        <v>10</v>
      </c>
      <c r="H361" s="79" t="s">
        <v>99</v>
      </c>
      <c r="I361" s="87">
        <v>12.711499999999999</v>
      </c>
      <c r="J361" s="88">
        <v>0</v>
      </c>
      <c r="K361" s="89">
        <v>0</v>
      </c>
      <c r="L361" s="90">
        <v>374.43990000000002</v>
      </c>
      <c r="M361" s="89">
        <v>0</v>
      </c>
      <c r="N361" s="89">
        <v>0</v>
      </c>
      <c r="O361" s="109">
        <f>SUM(Table1[[#This Row],[2022]:[YTD 2024]])</f>
        <v>12.711499999999999</v>
      </c>
      <c r="P361" s="219">
        <f>IFERROR(((Table1[[#This Row],[2023]]-Table1[[#This Row],[2022]])/Table1[[#This Row],[2022]]),0)</f>
        <v>-1</v>
      </c>
      <c r="Q361" s="219">
        <f>IFERROR(((Table1[[#This Row],[Volume 2023]]-Table1[[#This Row],[Volume 2022]])/Table1[[#This Row],[Volume 2022]]),0)</f>
        <v>-1</v>
      </c>
      <c r="R361" s="219">
        <f>Table1[[#This Row],[YoY growth]]-Table1[[#This Row],[Volume growth]]</f>
        <v>0</v>
      </c>
      <c r="S361" s="46"/>
    </row>
    <row r="362" spans="1:19" hidden="1" x14ac:dyDescent="0.25">
      <c r="A362" s="45"/>
      <c r="B362" s="41" t="s">
        <v>789</v>
      </c>
      <c r="C362" s="39" t="s">
        <v>983</v>
      </c>
      <c r="D362" s="39" t="s">
        <v>1110</v>
      </c>
      <c r="E362" s="42" t="s">
        <v>462</v>
      </c>
      <c r="F362" s="43" t="s">
        <v>9</v>
      </c>
      <c r="G362" s="38" t="s">
        <v>64</v>
      </c>
      <c r="H362" s="79" t="s">
        <v>24</v>
      </c>
      <c r="I362" s="87">
        <v>0</v>
      </c>
      <c r="J362" s="88">
        <v>0</v>
      </c>
      <c r="K362" s="89">
        <v>0.624</v>
      </c>
      <c r="L362" s="90">
        <v>0</v>
      </c>
      <c r="M362" s="89">
        <v>0</v>
      </c>
      <c r="N362" s="89">
        <v>34.035699999999999</v>
      </c>
      <c r="O362" s="109">
        <f>SUM(Table1[[#This Row],[2022]:[YTD 2024]])</f>
        <v>0.624</v>
      </c>
      <c r="P362" s="219">
        <f>IFERROR(((Table1[[#This Row],[2023]]-Table1[[#This Row],[2022]])/Table1[[#This Row],[2022]]),0)</f>
        <v>0</v>
      </c>
      <c r="Q362" s="219">
        <f>IFERROR(((Table1[[#This Row],[Volume 2023]]-Table1[[#This Row],[Volume 2022]])/Table1[[#This Row],[Volume 2022]]),0)</f>
        <v>0</v>
      </c>
      <c r="R362" s="219">
        <f>Table1[[#This Row],[YoY growth]]-Table1[[#This Row],[Volume growth]]</f>
        <v>0</v>
      </c>
      <c r="S362" s="46"/>
    </row>
    <row r="363" spans="1:19" x14ac:dyDescent="0.25">
      <c r="A363" s="45"/>
      <c r="B363" s="41" t="s">
        <v>754</v>
      </c>
      <c r="C363" s="39" t="s">
        <v>940</v>
      </c>
      <c r="D363" s="39" t="s">
        <v>1072</v>
      </c>
      <c r="E363" s="42" t="s">
        <v>271</v>
      </c>
      <c r="F363" s="43" t="s">
        <v>9</v>
      </c>
      <c r="G363" s="38" t="s">
        <v>10</v>
      </c>
      <c r="H363" s="79" t="s">
        <v>99</v>
      </c>
      <c r="I363" s="87">
        <v>198.11109999999999</v>
      </c>
      <c r="J363" s="88">
        <v>233.6309</v>
      </c>
      <c r="K363" s="89">
        <v>113.3126</v>
      </c>
      <c r="L363" s="90">
        <v>1569.5084999999999</v>
      </c>
      <c r="M363" s="89">
        <v>2030.1902</v>
      </c>
      <c r="N363" s="89">
        <v>989.67420000000004</v>
      </c>
      <c r="O363" s="109">
        <f>SUM(Table1[[#This Row],[2022]:[YTD 2024]])</f>
        <v>545.05459999999994</v>
      </c>
      <c r="P363" s="219">
        <f>IFERROR(((Table1[[#This Row],[2023]]-Table1[[#This Row],[2022]])/Table1[[#This Row],[2022]]),0)</f>
        <v>0.17929232637646253</v>
      </c>
      <c r="Q363" s="219">
        <f>IFERROR(((Table1[[#This Row],[Volume 2023]]-Table1[[#This Row],[Volume 2022]])/Table1[[#This Row],[Volume 2022]]),0)</f>
        <v>0.2935197228941418</v>
      </c>
      <c r="R363" s="219">
        <f>Table1[[#This Row],[YoY growth]]-Table1[[#This Row],[Volume growth]]</f>
        <v>-0.11422739651767927</v>
      </c>
      <c r="S363" s="46"/>
    </row>
    <row r="364" spans="1:19" hidden="1" x14ac:dyDescent="0.25">
      <c r="A364" s="45"/>
      <c r="B364" s="41" t="s">
        <v>791</v>
      </c>
      <c r="C364" s="39" t="s">
        <v>985</v>
      </c>
      <c r="D364" s="39" t="s">
        <v>1112</v>
      </c>
      <c r="E364" s="42" t="s">
        <v>466</v>
      </c>
      <c r="F364" s="43" t="s">
        <v>9</v>
      </c>
      <c r="G364" s="38" t="s">
        <v>30</v>
      </c>
      <c r="H364" s="79" t="s">
        <v>376</v>
      </c>
      <c r="I364" s="87">
        <v>6.59E-2</v>
      </c>
      <c r="J364" s="88">
        <v>0.95820000000000005</v>
      </c>
      <c r="K364" s="89">
        <v>0</v>
      </c>
      <c r="L364" s="90">
        <v>0.18509999999999999</v>
      </c>
      <c r="M364" s="89">
        <v>3.0327999999999999</v>
      </c>
      <c r="N364" s="89">
        <v>0</v>
      </c>
      <c r="O364" s="109">
        <f>SUM(Table1[[#This Row],[2022]:[YTD 2024]])</f>
        <v>1.0241</v>
      </c>
      <c r="P364" s="219">
        <f>IFERROR(((Table1[[#This Row],[2023]]-Table1[[#This Row],[2022]])/Table1[[#This Row],[2022]]),0)</f>
        <v>13.540212443095601</v>
      </c>
      <c r="Q364" s="219">
        <f>IFERROR(((Table1[[#This Row],[Volume 2023]]-Table1[[#This Row],[Volume 2022]])/Table1[[#This Row],[Volume 2022]]),0)</f>
        <v>15.384656942193411</v>
      </c>
      <c r="R364" s="219">
        <f>Table1[[#This Row],[YoY growth]]-Table1[[#This Row],[Volume growth]]</f>
        <v>-1.8444444990978095</v>
      </c>
      <c r="S364" s="46"/>
    </row>
    <row r="365" spans="1:19" hidden="1" x14ac:dyDescent="0.25">
      <c r="A365" s="45"/>
      <c r="B365" s="41" t="s">
        <v>791</v>
      </c>
      <c r="C365" s="39" t="s">
        <v>985</v>
      </c>
      <c r="D365" s="39" t="s">
        <v>1112</v>
      </c>
      <c r="E365" s="42" t="s">
        <v>467</v>
      </c>
      <c r="F365" s="43" t="s">
        <v>9</v>
      </c>
      <c r="G365" s="38" t="s">
        <v>30</v>
      </c>
      <c r="H365" s="79" t="s">
        <v>376</v>
      </c>
      <c r="I365" s="87">
        <v>5.1000000000000004E-3</v>
      </c>
      <c r="J365" s="88">
        <v>0.40570000000000001</v>
      </c>
      <c r="K365" s="89">
        <v>0</v>
      </c>
      <c r="L365" s="90">
        <v>1.37E-2</v>
      </c>
      <c r="M365" s="89">
        <v>1.3527</v>
      </c>
      <c r="N365" s="89">
        <v>0</v>
      </c>
      <c r="O365" s="109">
        <f>SUM(Table1[[#This Row],[2022]:[YTD 2024]])</f>
        <v>0.4108</v>
      </c>
      <c r="P365" s="219">
        <f>IFERROR(((Table1[[#This Row],[2023]]-Table1[[#This Row],[2022]])/Table1[[#This Row],[2022]]),0)</f>
        <v>78.549019607843135</v>
      </c>
      <c r="Q365" s="219">
        <f>IFERROR(((Table1[[#This Row],[Volume 2023]]-Table1[[#This Row],[Volume 2022]])/Table1[[#This Row],[Volume 2022]]),0)</f>
        <v>97.737226277372258</v>
      </c>
      <c r="R365" s="219">
        <f>Table1[[#This Row],[YoY growth]]-Table1[[#This Row],[Volume growth]]</f>
        <v>-19.188206669529123</v>
      </c>
      <c r="S365" s="46"/>
    </row>
    <row r="366" spans="1:19" hidden="1" x14ac:dyDescent="0.25">
      <c r="A366" s="45"/>
      <c r="B366" s="41" t="s">
        <v>791</v>
      </c>
      <c r="C366" s="39" t="s">
        <v>985</v>
      </c>
      <c r="D366" s="39" t="s">
        <v>1112</v>
      </c>
      <c r="E366" s="42" t="s">
        <v>468</v>
      </c>
      <c r="F366" s="43" t="s">
        <v>9</v>
      </c>
      <c r="G366" s="38" t="s">
        <v>30</v>
      </c>
      <c r="H366" s="79" t="s">
        <v>376</v>
      </c>
      <c r="I366" s="87">
        <v>0.1182</v>
      </c>
      <c r="J366" s="88">
        <v>1.0884</v>
      </c>
      <c r="K366" s="89">
        <v>0</v>
      </c>
      <c r="L366" s="90">
        <v>0.31890000000000002</v>
      </c>
      <c r="M366" s="89">
        <v>3.3033999999999999</v>
      </c>
      <c r="N366" s="89">
        <v>0</v>
      </c>
      <c r="O366" s="109">
        <f>SUM(Table1[[#This Row],[2022]:[YTD 2024]])</f>
        <v>1.2066000000000001</v>
      </c>
      <c r="P366" s="219">
        <f>IFERROR(((Table1[[#This Row],[2023]]-Table1[[#This Row],[2022]])/Table1[[#This Row],[2022]]),0)</f>
        <v>8.2081218274111674</v>
      </c>
      <c r="Q366" s="219">
        <f>IFERROR(((Table1[[#This Row],[Volume 2023]]-Table1[[#This Row],[Volume 2022]])/Table1[[#This Row],[Volume 2022]]),0)</f>
        <v>9.3587331451865783</v>
      </c>
      <c r="R366" s="219">
        <f>Table1[[#This Row],[YoY growth]]-Table1[[#This Row],[Volume growth]]</f>
        <v>-1.1506113177754109</v>
      </c>
      <c r="S366" s="46"/>
    </row>
    <row r="367" spans="1:19" hidden="1" x14ac:dyDescent="0.25">
      <c r="A367" s="45"/>
      <c r="B367" s="41" t="s">
        <v>791</v>
      </c>
      <c r="C367" s="39" t="s">
        <v>985</v>
      </c>
      <c r="D367" s="39" t="s">
        <v>1112</v>
      </c>
      <c r="E367" s="42" t="s">
        <v>469</v>
      </c>
      <c r="F367" s="43" t="s">
        <v>9</v>
      </c>
      <c r="G367" s="38" t="s">
        <v>64</v>
      </c>
      <c r="H367" s="79" t="s">
        <v>376</v>
      </c>
      <c r="I367" s="87">
        <v>0.87180000000000002</v>
      </c>
      <c r="J367" s="88">
        <v>4.3999999999999997E-2</v>
      </c>
      <c r="K367" s="89">
        <v>0</v>
      </c>
      <c r="L367" s="90">
        <v>8.5823999999999998</v>
      </c>
      <c r="M367" s="89">
        <v>0.58599999999999997</v>
      </c>
      <c r="N367" s="89">
        <v>0</v>
      </c>
      <c r="O367" s="109">
        <f>SUM(Table1[[#This Row],[2022]:[YTD 2024]])</f>
        <v>0.91580000000000006</v>
      </c>
      <c r="P367" s="219">
        <f>IFERROR(((Table1[[#This Row],[2023]]-Table1[[#This Row],[2022]])/Table1[[#This Row],[2022]]),0)</f>
        <v>-0.94952970864877262</v>
      </c>
      <c r="Q367" s="219">
        <f>IFERROR(((Table1[[#This Row],[Volume 2023]]-Table1[[#This Row],[Volume 2022]])/Table1[[#This Row],[Volume 2022]]),0)</f>
        <v>-0.93172073079791196</v>
      </c>
      <c r="R367" s="219">
        <f>Table1[[#This Row],[YoY growth]]-Table1[[#This Row],[Volume growth]]</f>
        <v>-1.7808977850860663E-2</v>
      </c>
      <c r="S367" s="46"/>
    </row>
    <row r="368" spans="1:19" hidden="1" x14ac:dyDescent="0.25">
      <c r="A368" s="45"/>
      <c r="B368" s="41" t="s">
        <v>791</v>
      </c>
      <c r="C368" s="39" t="s">
        <v>985</v>
      </c>
      <c r="D368" s="39" t="s">
        <v>1112</v>
      </c>
      <c r="E368" s="42" t="s">
        <v>470</v>
      </c>
      <c r="F368" s="43" t="s">
        <v>9</v>
      </c>
      <c r="G368" s="38" t="s">
        <v>64</v>
      </c>
      <c r="H368" s="79" t="s">
        <v>376</v>
      </c>
      <c r="I368" s="87">
        <v>5.4508000000000001</v>
      </c>
      <c r="J368" s="88">
        <v>2.1189</v>
      </c>
      <c r="K368" s="89">
        <v>0.77749999999999997</v>
      </c>
      <c r="L368" s="90">
        <v>70.866600000000005</v>
      </c>
      <c r="M368" s="89">
        <v>26.7118</v>
      </c>
      <c r="N368" s="89">
        <v>8.9403000000000006</v>
      </c>
      <c r="O368" s="109">
        <f>SUM(Table1[[#This Row],[2022]:[YTD 2024]])</f>
        <v>8.3472000000000008</v>
      </c>
      <c r="P368" s="219">
        <f>IFERROR(((Table1[[#This Row],[2023]]-Table1[[#This Row],[2022]])/Table1[[#This Row],[2022]]),0)</f>
        <v>-0.61126807074190947</v>
      </c>
      <c r="Q368" s="219">
        <f>IFERROR(((Table1[[#This Row],[Volume 2023]]-Table1[[#This Row],[Volume 2022]])/Table1[[#This Row],[Volume 2022]]),0)</f>
        <v>-0.62306925970767624</v>
      </c>
      <c r="R368" s="219">
        <f>Table1[[#This Row],[YoY growth]]-Table1[[#This Row],[Volume growth]]</f>
        <v>1.1801188965766762E-2</v>
      </c>
      <c r="S368" s="46"/>
    </row>
    <row r="369" spans="1:19" hidden="1" x14ac:dyDescent="0.25">
      <c r="A369" s="45"/>
      <c r="B369" s="41" t="s">
        <v>791</v>
      </c>
      <c r="C369" s="39" t="s">
        <v>985</v>
      </c>
      <c r="D369" s="39" t="s">
        <v>1112</v>
      </c>
      <c r="E369" s="42" t="s">
        <v>471</v>
      </c>
      <c r="F369" s="43" t="s">
        <v>9</v>
      </c>
      <c r="G369" s="38" t="s">
        <v>64</v>
      </c>
      <c r="H369" s="79" t="s">
        <v>376</v>
      </c>
      <c r="I369" s="87">
        <v>0</v>
      </c>
      <c r="J369" s="88">
        <v>0</v>
      </c>
      <c r="K369" s="89">
        <v>0</v>
      </c>
      <c r="L369" s="90">
        <v>0</v>
      </c>
      <c r="M369" s="89">
        <v>0</v>
      </c>
      <c r="N369" s="89">
        <v>0</v>
      </c>
      <c r="O369" s="109">
        <f>SUM(Table1[[#This Row],[2022]:[YTD 2024]])</f>
        <v>0</v>
      </c>
      <c r="P369" s="219">
        <f>IFERROR(((Table1[[#This Row],[2023]]-Table1[[#This Row],[2022]])/Table1[[#This Row],[2022]]),0)</f>
        <v>0</v>
      </c>
      <c r="Q369" s="219">
        <f>IFERROR(((Table1[[#This Row],[Volume 2023]]-Table1[[#This Row],[Volume 2022]])/Table1[[#This Row],[Volume 2022]]),0)</f>
        <v>0</v>
      </c>
      <c r="R369" s="219">
        <f>Table1[[#This Row],[YoY growth]]-Table1[[#This Row],[Volume growth]]</f>
        <v>0</v>
      </c>
      <c r="S369" s="46"/>
    </row>
    <row r="370" spans="1:19" hidden="1" x14ac:dyDescent="0.25">
      <c r="A370" s="45"/>
      <c r="B370" s="41" t="s">
        <v>791</v>
      </c>
      <c r="C370" s="39" t="s">
        <v>985</v>
      </c>
      <c r="D370" s="39" t="s">
        <v>1112</v>
      </c>
      <c r="E370" s="42" t="s">
        <v>472</v>
      </c>
      <c r="F370" s="43" t="s">
        <v>9</v>
      </c>
      <c r="G370" s="38" t="s">
        <v>30</v>
      </c>
      <c r="H370" s="79" t="s">
        <v>118</v>
      </c>
      <c r="I370" s="87">
        <v>9.06E-2</v>
      </c>
      <c r="J370" s="88">
        <v>0</v>
      </c>
      <c r="K370" s="89">
        <v>0</v>
      </c>
      <c r="L370" s="90">
        <v>1.3372999999999999</v>
      </c>
      <c r="M370" s="89">
        <v>0</v>
      </c>
      <c r="N370" s="89">
        <v>0</v>
      </c>
      <c r="O370" s="109">
        <f>SUM(Table1[[#This Row],[2022]:[YTD 2024]])</f>
        <v>9.06E-2</v>
      </c>
      <c r="P370" s="219">
        <f>IFERROR(((Table1[[#This Row],[2023]]-Table1[[#This Row],[2022]])/Table1[[#This Row],[2022]]),0)</f>
        <v>-1</v>
      </c>
      <c r="Q370" s="219">
        <f>IFERROR(((Table1[[#This Row],[Volume 2023]]-Table1[[#This Row],[Volume 2022]])/Table1[[#This Row],[Volume 2022]]),0)</f>
        <v>-1</v>
      </c>
      <c r="R370" s="219">
        <f>Table1[[#This Row],[YoY growth]]-Table1[[#This Row],[Volume growth]]</f>
        <v>0</v>
      </c>
      <c r="S370" s="46"/>
    </row>
    <row r="371" spans="1:19" hidden="1" x14ac:dyDescent="0.25">
      <c r="A371" s="45"/>
      <c r="B371" s="41" t="s">
        <v>791</v>
      </c>
      <c r="C371" s="39" t="s">
        <v>985</v>
      </c>
      <c r="D371" s="39" t="s">
        <v>1112</v>
      </c>
      <c r="E371" s="42" t="s">
        <v>473</v>
      </c>
      <c r="F371" s="43" t="s">
        <v>9</v>
      </c>
      <c r="G371" s="38" t="s">
        <v>10</v>
      </c>
      <c r="H371" s="79" t="s">
        <v>474</v>
      </c>
      <c r="I371" s="87">
        <v>1.3827</v>
      </c>
      <c r="J371" s="88">
        <v>0.7681</v>
      </c>
      <c r="K371" s="89">
        <v>2.3199999999999998E-2</v>
      </c>
      <c r="L371" s="90">
        <v>23.328099999999999</v>
      </c>
      <c r="M371" s="89">
        <v>13.2523</v>
      </c>
      <c r="N371" s="89">
        <v>0.52669999999999995</v>
      </c>
      <c r="O371" s="109">
        <f>SUM(Table1[[#This Row],[2022]:[YTD 2024]])</f>
        <v>2.1740000000000004</v>
      </c>
      <c r="P371" s="219">
        <f>IFERROR(((Table1[[#This Row],[2023]]-Table1[[#This Row],[2022]])/Table1[[#This Row],[2022]]),0)</f>
        <v>-0.44449265928979537</v>
      </c>
      <c r="Q371" s="219">
        <f>IFERROR(((Table1[[#This Row],[Volume 2023]]-Table1[[#This Row],[Volume 2022]])/Table1[[#This Row],[Volume 2022]]),0)</f>
        <v>-0.43191687278432445</v>
      </c>
      <c r="R371" s="219">
        <f>Table1[[#This Row],[YoY growth]]-Table1[[#This Row],[Volume growth]]</f>
        <v>-1.2575786505470921E-2</v>
      </c>
      <c r="S371" s="46"/>
    </row>
    <row r="372" spans="1:19" hidden="1" x14ac:dyDescent="0.25">
      <c r="A372" s="45"/>
      <c r="B372" s="41" t="s">
        <v>791</v>
      </c>
      <c r="C372" s="39" t="s">
        <v>985</v>
      </c>
      <c r="D372" s="39" t="s">
        <v>1112</v>
      </c>
      <c r="E372" s="42" t="s">
        <v>475</v>
      </c>
      <c r="F372" s="43" t="s">
        <v>9</v>
      </c>
      <c r="G372" s="38" t="s">
        <v>30</v>
      </c>
      <c r="H372" s="79" t="s">
        <v>476</v>
      </c>
      <c r="I372" s="87">
        <v>0</v>
      </c>
      <c r="J372" s="88">
        <v>0</v>
      </c>
      <c r="K372" s="89">
        <v>20.740400000000001</v>
      </c>
      <c r="L372" s="90">
        <v>0</v>
      </c>
      <c r="M372" s="89">
        <v>0</v>
      </c>
      <c r="N372" s="89">
        <v>310.0301</v>
      </c>
      <c r="O372" s="109">
        <f>SUM(Table1[[#This Row],[2022]:[YTD 2024]])</f>
        <v>20.740400000000001</v>
      </c>
      <c r="P372" s="219">
        <f>IFERROR(((Table1[[#This Row],[2023]]-Table1[[#This Row],[2022]])/Table1[[#This Row],[2022]]),0)</f>
        <v>0</v>
      </c>
      <c r="Q372" s="219">
        <f>IFERROR(((Table1[[#This Row],[Volume 2023]]-Table1[[#This Row],[Volume 2022]])/Table1[[#This Row],[Volume 2022]]),0)</f>
        <v>0</v>
      </c>
      <c r="R372" s="219">
        <f>Table1[[#This Row],[YoY growth]]-Table1[[#This Row],[Volume growth]]</f>
        <v>0</v>
      </c>
      <c r="S372" s="46"/>
    </row>
    <row r="373" spans="1:19" hidden="1" x14ac:dyDescent="0.25">
      <c r="A373" s="45"/>
      <c r="B373" s="41" t="s">
        <v>791</v>
      </c>
      <c r="C373" s="39" t="s">
        <v>985</v>
      </c>
      <c r="D373" s="39" t="s">
        <v>1112</v>
      </c>
      <c r="E373" s="42" t="s">
        <v>477</v>
      </c>
      <c r="F373" s="43" t="s">
        <v>9</v>
      </c>
      <c r="G373" s="38" t="s">
        <v>30</v>
      </c>
      <c r="H373" s="79" t="s">
        <v>476</v>
      </c>
      <c r="I373" s="87">
        <v>0</v>
      </c>
      <c r="J373" s="88">
        <v>0</v>
      </c>
      <c r="K373" s="89">
        <v>1.2435</v>
      </c>
      <c r="L373" s="90">
        <v>0</v>
      </c>
      <c r="M373" s="89">
        <v>0</v>
      </c>
      <c r="N373" s="89">
        <v>17.1813</v>
      </c>
      <c r="O373" s="109">
        <f>SUM(Table1[[#This Row],[2022]:[YTD 2024]])</f>
        <v>1.2435</v>
      </c>
      <c r="P373" s="219">
        <f>IFERROR(((Table1[[#This Row],[2023]]-Table1[[#This Row],[2022]])/Table1[[#This Row],[2022]]),0)</f>
        <v>0</v>
      </c>
      <c r="Q373" s="219">
        <f>IFERROR(((Table1[[#This Row],[Volume 2023]]-Table1[[#This Row],[Volume 2022]])/Table1[[#This Row],[Volume 2022]]),0)</f>
        <v>0</v>
      </c>
      <c r="R373" s="219">
        <f>Table1[[#This Row],[YoY growth]]-Table1[[#This Row],[Volume growth]]</f>
        <v>0</v>
      </c>
      <c r="S373" s="46"/>
    </row>
    <row r="374" spans="1:19" hidden="1" x14ac:dyDescent="0.25">
      <c r="A374" s="45"/>
      <c r="B374" s="41" t="s">
        <v>791</v>
      </c>
      <c r="C374" s="39" t="s">
        <v>985</v>
      </c>
      <c r="D374" s="39" t="s">
        <v>1112</v>
      </c>
      <c r="E374" s="42" t="s">
        <v>478</v>
      </c>
      <c r="F374" s="43" t="s">
        <v>9</v>
      </c>
      <c r="G374" s="38" t="s">
        <v>30</v>
      </c>
      <c r="H374" s="79" t="s">
        <v>476</v>
      </c>
      <c r="I374" s="87">
        <v>4.0780000000000003</v>
      </c>
      <c r="J374" s="88">
        <v>35.126199999999997</v>
      </c>
      <c r="K374" s="89">
        <v>26.273900000000001</v>
      </c>
      <c r="L374" s="90">
        <v>71.718599999999995</v>
      </c>
      <c r="M374" s="89">
        <v>592.5693</v>
      </c>
      <c r="N374" s="89">
        <v>441.30500000000001</v>
      </c>
      <c r="O374" s="109">
        <f>SUM(Table1[[#This Row],[2022]:[YTD 2024]])</f>
        <v>65.478099999999998</v>
      </c>
      <c r="P374" s="219">
        <f>IFERROR(((Table1[[#This Row],[2023]]-Table1[[#This Row],[2022]])/Table1[[#This Row],[2022]]),0)</f>
        <v>7.6135850907307496</v>
      </c>
      <c r="Q374" s="219">
        <f>IFERROR(((Table1[[#This Row],[Volume 2023]]-Table1[[#This Row],[Volume 2022]])/Table1[[#This Row],[Volume 2022]]),0)</f>
        <v>7.2624214638880291</v>
      </c>
      <c r="R374" s="219">
        <f>Table1[[#This Row],[YoY growth]]-Table1[[#This Row],[Volume growth]]</f>
        <v>0.35116362684272051</v>
      </c>
      <c r="S374" s="46"/>
    </row>
    <row r="375" spans="1:19" x14ac:dyDescent="0.25">
      <c r="A375" s="45"/>
      <c r="B375" s="41" t="s">
        <v>791</v>
      </c>
      <c r="C375" s="39" t="s">
        <v>985</v>
      </c>
      <c r="D375" s="39" t="s">
        <v>1112</v>
      </c>
      <c r="E375" s="42" t="s">
        <v>502</v>
      </c>
      <c r="F375" s="43" t="s">
        <v>9</v>
      </c>
      <c r="G375" s="38" t="s">
        <v>30</v>
      </c>
      <c r="H375" s="79" t="s">
        <v>256</v>
      </c>
      <c r="I375" s="87">
        <v>105.723</v>
      </c>
      <c r="J375" s="88">
        <v>231.39109999999999</v>
      </c>
      <c r="K375" s="89">
        <v>190.30779999999999</v>
      </c>
      <c r="L375" s="90">
        <v>3632.1455999999998</v>
      </c>
      <c r="M375" s="89">
        <v>7878.6941999999999</v>
      </c>
      <c r="N375" s="89">
        <v>6167.0902999999998</v>
      </c>
      <c r="O375" s="109">
        <f>SUM(Table1[[#This Row],[2022]:[YTD 2024]])</f>
        <v>527.42190000000005</v>
      </c>
      <c r="P375" s="219">
        <f>IFERROR(((Table1[[#This Row],[2023]]-Table1[[#This Row],[2022]])/Table1[[#This Row],[2022]]),0)</f>
        <v>1.1886543136309033</v>
      </c>
      <c r="Q375" s="219">
        <f>IFERROR(((Table1[[#This Row],[Volume 2023]]-Table1[[#This Row],[Volume 2022]])/Table1[[#This Row],[Volume 2022]]),0)</f>
        <v>1.1691570404005831</v>
      </c>
      <c r="R375" s="219">
        <f>Table1[[#This Row],[YoY growth]]-Table1[[#This Row],[Volume growth]]</f>
        <v>1.9497273230320245E-2</v>
      </c>
      <c r="S375" s="46"/>
    </row>
    <row r="376" spans="1:19" hidden="1" x14ac:dyDescent="0.25">
      <c r="A376" s="45"/>
      <c r="B376" s="41" t="s">
        <v>791</v>
      </c>
      <c r="C376" s="39" t="s">
        <v>985</v>
      </c>
      <c r="D376" s="39" t="s">
        <v>1112</v>
      </c>
      <c r="E376" s="42" t="s">
        <v>480</v>
      </c>
      <c r="F376" s="43" t="s">
        <v>9</v>
      </c>
      <c r="G376" s="38" t="s">
        <v>64</v>
      </c>
      <c r="H376" s="79" t="s">
        <v>15</v>
      </c>
      <c r="I376" s="87">
        <v>0</v>
      </c>
      <c r="J376" s="88">
        <v>0</v>
      </c>
      <c r="K376" s="89">
        <v>0</v>
      </c>
      <c r="L376" s="90">
        <v>0</v>
      </c>
      <c r="M376" s="89">
        <v>0</v>
      </c>
      <c r="N376" s="89">
        <v>0</v>
      </c>
      <c r="O376" s="109">
        <f>SUM(Table1[[#This Row],[2022]:[YTD 2024]])</f>
        <v>0</v>
      </c>
      <c r="P376" s="219">
        <f>IFERROR(((Table1[[#This Row],[2023]]-Table1[[#This Row],[2022]])/Table1[[#This Row],[2022]]),0)</f>
        <v>0</v>
      </c>
      <c r="Q376" s="219">
        <f>IFERROR(((Table1[[#This Row],[Volume 2023]]-Table1[[#This Row],[Volume 2022]])/Table1[[#This Row],[Volume 2022]]),0)</f>
        <v>0</v>
      </c>
      <c r="R376" s="219">
        <f>Table1[[#This Row],[YoY growth]]-Table1[[#This Row],[Volume growth]]</f>
        <v>0</v>
      </c>
      <c r="S376" s="46"/>
    </row>
    <row r="377" spans="1:19" hidden="1" x14ac:dyDescent="0.25">
      <c r="A377" s="45"/>
      <c r="B377" s="41" t="s">
        <v>791</v>
      </c>
      <c r="C377" s="39" t="s">
        <v>985</v>
      </c>
      <c r="D377" s="39" t="s">
        <v>1112</v>
      </c>
      <c r="E377" s="42" t="s">
        <v>481</v>
      </c>
      <c r="F377" s="43" t="s">
        <v>9</v>
      </c>
      <c r="G377" s="38" t="s">
        <v>30</v>
      </c>
      <c r="H377" s="79" t="s">
        <v>256</v>
      </c>
      <c r="I377" s="87">
        <v>8.5046999999999997</v>
      </c>
      <c r="J377" s="88">
        <v>12.872299999999999</v>
      </c>
      <c r="K377" s="89">
        <v>4.3821000000000003</v>
      </c>
      <c r="L377" s="90">
        <v>194.4057</v>
      </c>
      <c r="M377" s="89">
        <v>338.25259999999997</v>
      </c>
      <c r="N377" s="89">
        <v>110.48520000000001</v>
      </c>
      <c r="O377" s="109">
        <f>SUM(Table1[[#This Row],[2022]:[YTD 2024]])</f>
        <v>25.7591</v>
      </c>
      <c r="P377" s="219">
        <f>IFERROR(((Table1[[#This Row],[2023]]-Table1[[#This Row],[2022]])/Table1[[#This Row],[2022]]),0)</f>
        <v>0.51355133044081502</v>
      </c>
      <c r="Q377" s="219">
        <f>IFERROR(((Table1[[#This Row],[Volume 2023]]-Table1[[#This Row],[Volume 2022]])/Table1[[#This Row],[Volume 2022]]),0)</f>
        <v>0.73993149377821732</v>
      </c>
      <c r="R377" s="219">
        <f>Table1[[#This Row],[YoY growth]]-Table1[[#This Row],[Volume growth]]</f>
        <v>-0.2263801633374023</v>
      </c>
      <c r="S377" s="46"/>
    </row>
    <row r="378" spans="1:19" x14ac:dyDescent="0.25">
      <c r="A378" s="45"/>
      <c r="B378" s="41" t="s">
        <v>803</v>
      </c>
      <c r="C378" s="39" t="s">
        <v>1006</v>
      </c>
      <c r="D378" s="39" t="s">
        <v>1124</v>
      </c>
      <c r="E378" s="42" t="s">
        <v>618</v>
      </c>
      <c r="F378" s="43" t="s">
        <v>9</v>
      </c>
      <c r="G378" s="38" t="s">
        <v>20</v>
      </c>
      <c r="H378" s="79" t="s">
        <v>24</v>
      </c>
      <c r="I378" s="87">
        <v>251.465</v>
      </c>
      <c r="J378" s="88">
        <v>145.75579999999999</v>
      </c>
      <c r="K378" s="89">
        <v>77.822699999999998</v>
      </c>
      <c r="L378" s="90">
        <v>15122.0514</v>
      </c>
      <c r="M378" s="89">
        <v>8717.0684000000001</v>
      </c>
      <c r="N378" s="89">
        <v>4462.7493999999997</v>
      </c>
      <c r="O378" s="109">
        <f>SUM(Table1[[#This Row],[2022]:[YTD 2024]])</f>
        <v>475.04349999999999</v>
      </c>
      <c r="P378" s="219">
        <f>IFERROR(((Table1[[#This Row],[2023]]-Table1[[#This Row],[2022]])/Table1[[#This Row],[2022]]),0)</f>
        <v>-0.42037341180681209</v>
      </c>
      <c r="Q378" s="219">
        <f>IFERROR(((Table1[[#This Row],[Volume 2023]]-Table1[[#This Row],[Volume 2022]])/Table1[[#This Row],[Volume 2022]]),0)</f>
        <v>-0.42355252145221517</v>
      </c>
      <c r="R378" s="219">
        <f>Table1[[#This Row],[YoY growth]]-Table1[[#This Row],[Volume growth]]</f>
        <v>3.1791096454030776E-3</v>
      </c>
      <c r="S378" s="46"/>
    </row>
    <row r="379" spans="1:19" x14ac:dyDescent="0.25">
      <c r="A379" s="45"/>
      <c r="B379" s="41" t="s">
        <v>790</v>
      </c>
      <c r="C379" s="39" t="s">
        <v>984</v>
      </c>
      <c r="D379" s="39" t="s">
        <v>1111</v>
      </c>
      <c r="E379" s="42" t="s">
        <v>464</v>
      </c>
      <c r="F379" s="43" t="s">
        <v>9</v>
      </c>
      <c r="G379" s="38" t="s">
        <v>10</v>
      </c>
      <c r="H379" s="79" t="s">
        <v>37</v>
      </c>
      <c r="I379" s="87">
        <v>192.72300000000001</v>
      </c>
      <c r="J379" s="88">
        <v>183.24340000000001</v>
      </c>
      <c r="K379" s="89">
        <v>97.209599999999995</v>
      </c>
      <c r="L379" s="90">
        <v>7900.9691000000003</v>
      </c>
      <c r="M379" s="89">
        <v>6838.8454000000002</v>
      </c>
      <c r="N379" s="89">
        <v>3264.5805999999998</v>
      </c>
      <c r="O379" s="109">
        <f>SUM(Table1[[#This Row],[2022]:[YTD 2024]])</f>
        <v>473.17600000000004</v>
      </c>
      <c r="P379" s="219">
        <f>IFERROR(((Table1[[#This Row],[2023]]-Table1[[#This Row],[2022]])/Table1[[#This Row],[2022]]),0)</f>
        <v>-4.9187694255485873E-2</v>
      </c>
      <c r="Q379" s="219">
        <f>IFERROR(((Table1[[#This Row],[Volume 2023]]-Table1[[#This Row],[Volume 2022]])/Table1[[#This Row],[Volume 2022]]),0)</f>
        <v>-0.13442954738299129</v>
      </c>
      <c r="R379" s="219">
        <f>Table1[[#This Row],[YoY growth]]-Table1[[#This Row],[Volume growth]]</f>
        <v>8.5241853127505415E-2</v>
      </c>
      <c r="S379" s="46"/>
    </row>
    <row r="380" spans="1:19" hidden="1" x14ac:dyDescent="0.25">
      <c r="A380" s="45"/>
      <c r="B380" s="41" t="s">
        <v>791</v>
      </c>
      <c r="C380" s="39" t="s">
        <v>985</v>
      </c>
      <c r="D380" s="39" t="s">
        <v>1112</v>
      </c>
      <c r="E380" s="42" t="s">
        <v>484</v>
      </c>
      <c r="F380" s="43" t="s">
        <v>9</v>
      </c>
      <c r="G380" s="38" t="s">
        <v>30</v>
      </c>
      <c r="H380" s="79" t="s">
        <v>256</v>
      </c>
      <c r="I380" s="87">
        <v>0.2492</v>
      </c>
      <c r="J380" s="88">
        <v>5.8500000000000003E-2</v>
      </c>
      <c r="K380" s="89">
        <v>0</v>
      </c>
      <c r="L380" s="90">
        <v>4.6970000000000001</v>
      </c>
      <c r="M380" s="89">
        <v>1.1557999999999999</v>
      </c>
      <c r="N380" s="89">
        <v>0</v>
      </c>
      <c r="O380" s="109">
        <f>SUM(Table1[[#This Row],[2022]:[YTD 2024]])</f>
        <v>0.30770000000000003</v>
      </c>
      <c r="P380" s="219">
        <f>IFERROR(((Table1[[#This Row],[2023]]-Table1[[#This Row],[2022]])/Table1[[#This Row],[2022]]),0)</f>
        <v>-0.76524879614767261</v>
      </c>
      <c r="Q380" s="219">
        <f>IFERROR(((Table1[[#This Row],[Volume 2023]]-Table1[[#This Row],[Volume 2022]])/Table1[[#This Row],[Volume 2022]]),0)</f>
        <v>-0.7539280391739408</v>
      </c>
      <c r="R380" s="219">
        <f>Table1[[#This Row],[YoY growth]]-Table1[[#This Row],[Volume growth]]</f>
        <v>-1.1320756973731805E-2</v>
      </c>
      <c r="S380" s="46"/>
    </row>
    <row r="381" spans="1:19" hidden="1" x14ac:dyDescent="0.25">
      <c r="A381" s="45"/>
      <c r="B381" s="41" t="s">
        <v>791</v>
      </c>
      <c r="C381" s="39" t="s">
        <v>985</v>
      </c>
      <c r="D381" s="39" t="s">
        <v>1112</v>
      </c>
      <c r="E381" s="42" t="s">
        <v>485</v>
      </c>
      <c r="F381" s="43" t="s">
        <v>9</v>
      </c>
      <c r="G381" s="38" t="s">
        <v>30</v>
      </c>
      <c r="H381" s="79" t="s">
        <v>256</v>
      </c>
      <c r="I381" s="87">
        <v>0.97950000000000004</v>
      </c>
      <c r="J381" s="88">
        <v>0</v>
      </c>
      <c r="K381" s="89">
        <v>0</v>
      </c>
      <c r="L381" s="90">
        <v>23.239000000000001</v>
      </c>
      <c r="M381" s="89">
        <v>0</v>
      </c>
      <c r="N381" s="89">
        <v>0</v>
      </c>
      <c r="O381" s="109">
        <f>SUM(Table1[[#This Row],[2022]:[YTD 2024]])</f>
        <v>0.97950000000000004</v>
      </c>
      <c r="P381" s="219">
        <f>IFERROR(((Table1[[#This Row],[2023]]-Table1[[#This Row],[2022]])/Table1[[#This Row],[2022]]),0)</f>
        <v>-1</v>
      </c>
      <c r="Q381" s="219">
        <f>IFERROR(((Table1[[#This Row],[Volume 2023]]-Table1[[#This Row],[Volume 2022]])/Table1[[#This Row],[Volume 2022]]),0)</f>
        <v>-1</v>
      </c>
      <c r="R381" s="219">
        <f>Table1[[#This Row],[YoY growth]]-Table1[[#This Row],[Volume growth]]</f>
        <v>0</v>
      </c>
      <c r="S381" s="46"/>
    </row>
    <row r="382" spans="1:19" hidden="1" x14ac:dyDescent="0.25">
      <c r="A382" s="45"/>
      <c r="B382" s="41" t="s">
        <v>791</v>
      </c>
      <c r="C382" s="39" t="s">
        <v>985</v>
      </c>
      <c r="D382" s="39" t="s">
        <v>1112</v>
      </c>
      <c r="E382" s="42" t="s">
        <v>486</v>
      </c>
      <c r="F382" s="43" t="s">
        <v>9</v>
      </c>
      <c r="G382" s="38" t="s">
        <v>30</v>
      </c>
      <c r="H382" s="79" t="s">
        <v>256</v>
      </c>
      <c r="I382" s="87">
        <v>1.0518000000000001</v>
      </c>
      <c r="J382" s="88">
        <v>0</v>
      </c>
      <c r="K382" s="89">
        <v>0</v>
      </c>
      <c r="L382" s="90">
        <v>15.4772</v>
      </c>
      <c r="M382" s="89">
        <v>0</v>
      </c>
      <c r="N382" s="89">
        <v>0</v>
      </c>
      <c r="O382" s="109">
        <f>SUM(Table1[[#This Row],[2022]:[YTD 2024]])</f>
        <v>1.0518000000000001</v>
      </c>
      <c r="P382" s="219">
        <f>IFERROR(((Table1[[#This Row],[2023]]-Table1[[#This Row],[2022]])/Table1[[#This Row],[2022]]),0)</f>
        <v>-1</v>
      </c>
      <c r="Q382" s="219">
        <f>IFERROR(((Table1[[#This Row],[Volume 2023]]-Table1[[#This Row],[Volume 2022]])/Table1[[#This Row],[Volume 2022]]),0)</f>
        <v>-1</v>
      </c>
      <c r="R382" s="219">
        <f>Table1[[#This Row],[YoY growth]]-Table1[[#This Row],[Volume growth]]</f>
        <v>0</v>
      </c>
      <c r="S382" s="46"/>
    </row>
    <row r="383" spans="1:19" hidden="1" x14ac:dyDescent="0.25">
      <c r="A383" s="45"/>
      <c r="B383" s="41" t="s">
        <v>791</v>
      </c>
      <c r="C383" s="39" t="s">
        <v>985</v>
      </c>
      <c r="D383" s="39" t="s">
        <v>1112</v>
      </c>
      <c r="E383" s="42" t="s">
        <v>487</v>
      </c>
      <c r="F383" s="43" t="s">
        <v>9</v>
      </c>
      <c r="G383" s="38" t="s">
        <v>30</v>
      </c>
      <c r="H383" s="79" t="s">
        <v>256</v>
      </c>
      <c r="I383" s="87">
        <v>1.23</v>
      </c>
      <c r="J383" s="88">
        <v>5.5100000000000003E-2</v>
      </c>
      <c r="K383" s="89">
        <v>0</v>
      </c>
      <c r="L383" s="90">
        <v>22.518699999999999</v>
      </c>
      <c r="M383" s="89">
        <v>1.0911</v>
      </c>
      <c r="N383" s="89">
        <v>0</v>
      </c>
      <c r="O383" s="109">
        <f>SUM(Table1[[#This Row],[2022]:[YTD 2024]])</f>
        <v>1.2850999999999999</v>
      </c>
      <c r="P383" s="219">
        <f>IFERROR(((Table1[[#This Row],[2023]]-Table1[[#This Row],[2022]])/Table1[[#This Row],[2022]]),0)</f>
        <v>-0.95520325203252043</v>
      </c>
      <c r="Q383" s="219">
        <f>IFERROR(((Table1[[#This Row],[Volume 2023]]-Table1[[#This Row],[Volume 2022]])/Table1[[#This Row],[Volume 2022]]),0)</f>
        <v>-0.95154693654607059</v>
      </c>
      <c r="R383" s="219">
        <f>Table1[[#This Row],[YoY growth]]-Table1[[#This Row],[Volume growth]]</f>
        <v>-3.6563154864498459E-3</v>
      </c>
      <c r="S383" s="46"/>
    </row>
    <row r="384" spans="1:19" hidden="1" x14ac:dyDescent="0.25">
      <c r="A384" s="45"/>
      <c r="B384" s="41" t="s">
        <v>791</v>
      </c>
      <c r="C384" s="39" t="s">
        <v>985</v>
      </c>
      <c r="D384" s="39" t="s">
        <v>1112</v>
      </c>
      <c r="E384" s="42" t="s">
        <v>488</v>
      </c>
      <c r="F384" s="43" t="s">
        <v>9</v>
      </c>
      <c r="G384" s="38" t="s">
        <v>30</v>
      </c>
      <c r="H384" s="79" t="s">
        <v>256</v>
      </c>
      <c r="I384" s="87">
        <v>0.64070000000000005</v>
      </c>
      <c r="J384" s="88">
        <v>0</v>
      </c>
      <c r="K384" s="89">
        <v>0</v>
      </c>
      <c r="L384" s="90">
        <v>15.170299999999999</v>
      </c>
      <c r="M384" s="89">
        <v>0</v>
      </c>
      <c r="N384" s="89">
        <v>0</v>
      </c>
      <c r="O384" s="109">
        <f>SUM(Table1[[#This Row],[2022]:[YTD 2024]])</f>
        <v>0.64070000000000005</v>
      </c>
      <c r="P384" s="219">
        <f>IFERROR(((Table1[[#This Row],[2023]]-Table1[[#This Row],[2022]])/Table1[[#This Row],[2022]]),0)</f>
        <v>-1</v>
      </c>
      <c r="Q384" s="219">
        <f>IFERROR(((Table1[[#This Row],[Volume 2023]]-Table1[[#This Row],[Volume 2022]])/Table1[[#This Row],[Volume 2022]]),0)</f>
        <v>-1</v>
      </c>
      <c r="R384" s="219">
        <f>Table1[[#This Row],[YoY growth]]-Table1[[#This Row],[Volume growth]]</f>
        <v>0</v>
      </c>
      <c r="S384" s="46"/>
    </row>
    <row r="385" spans="1:19" hidden="1" x14ac:dyDescent="0.25">
      <c r="A385" s="45"/>
      <c r="B385" s="41" t="s">
        <v>791</v>
      </c>
      <c r="C385" s="39" t="s">
        <v>985</v>
      </c>
      <c r="D385" s="39" t="s">
        <v>1112</v>
      </c>
      <c r="E385" s="42" t="s">
        <v>489</v>
      </c>
      <c r="F385" s="43" t="s">
        <v>9</v>
      </c>
      <c r="G385" s="38" t="s">
        <v>30</v>
      </c>
      <c r="H385" s="79" t="s">
        <v>256</v>
      </c>
      <c r="I385" s="87">
        <v>0.8125</v>
      </c>
      <c r="J385" s="88">
        <v>2.2100000000000002E-2</v>
      </c>
      <c r="K385" s="89">
        <v>0</v>
      </c>
      <c r="L385" s="90">
        <v>14.451000000000001</v>
      </c>
      <c r="M385" s="89">
        <v>0.38290000000000002</v>
      </c>
      <c r="N385" s="89">
        <v>0</v>
      </c>
      <c r="O385" s="109">
        <f>SUM(Table1[[#This Row],[2022]:[YTD 2024]])</f>
        <v>0.83460000000000001</v>
      </c>
      <c r="P385" s="219">
        <f>IFERROR(((Table1[[#This Row],[2023]]-Table1[[#This Row],[2022]])/Table1[[#This Row],[2022]]),0)</f>
        <v>-0.9728</v>
      </c>
      <c r="Q385" s="219">
        <f>IFERROR(((Table1[[#This Row],[Volume 2023]]-Table1[[#This Row],[Volume 2022]])/Table1[[#This Row],[Volume 2022]]),0)</f>
        <v>-0.97350356376721336</v>
      </c>
      <c r="R385" s="219">
        <f>Table1[[#This Row],[YoY growth]]-Table1[[#This Row],[Volume growth]]</f>
        <v>7.0356376721336655E-4</v>
      </c>
      <c r="S385" s="46"/>
    </row>
    <row r="386" spans="1:19" hidden="1" x14ac:dyDescent="0.25">
      <c r="A386" s="45"/>
      <c r="B386" s="41" t="s">
        <v>791</v>
      </c>
      <c r="C386" s="39" t="s">
        <v>985</v>
      </c>
      <c r="D386" s="39" t="s">
        <v>1112</v>
      </c>
      <c r="E386" s="42" t="s">
        <v>490</v>
      </c>
      <c r="F386" s="43" t="s">
        <v>9</v>
      </c>
      <c r="G386" s="38" t="s">
        <v>30</v>
      </c>
      <c r="H386" s="79" t="s">
        <v>256</v>
      </c>
      <c r="I386" s="87">
        <v>0.40889999999999999</v>
      </c>
      <c r="J386" s="88">
        <v>7.7899999999999997E-2</v>
      </c>
      <c r="K386" s="89">
        <v>0</v>
      </c>
      <c r="L386" s="90">
        <v>9.6999999999999993</v>
      </c>
      <c r="M386" s="89">
        <v>1.9962</v>
      </c>
      <c r="N386" s="89">
        <v>0</v>
      </c>
      <c r="O386" s="109">
        <f>SUM(Table1[[#This Row],[2022]:[YTD 2024]])</f>
        <v>0.48680000000000001</v>
      </c>
      <c r="P386" s="219">
        <f>IFERROR(((Table1[[#This Row],[2023]]-Table1[[#This Row],[2022]])/Table1[[#This Row],[2022]]),0)</f>
        <v>-0.80948887258498403</v>
      </c>
      <c r="Q386" s="219">
        <f>IFERROR(((Table1[[#This Row],[Volume 2023]]-Table1[[#This Row],[Volume 2022]])/Table1[[#This Row],[Volume 2022]]),0)</f>
        <v>-0.79420618556701028</v>
      </c>
      <c r="R386" s="219">
        <f>Table1[[#This Row],[YoY growth]]-Table1[[#This Row],[Volume growth]]</f>
        <v>-1.5282687017973751E-2</v>
      </c>
      <c r="S386" s="46"/>
    </row>
    <row r="387" spans="1:19" hidden="1" x14ac:dyDescent="0.25">
      <c r="A387" s="45"/>
      <c r="B387" s="41" t="s">
        <v>791</v>
      </c>
      <c r="C387" s="39" t="s">
        <v>985</v>
      </c>
      <c r="D387" s="39" t="s">
        <v>1112</v>
      </c>
      <c r="E387" s="42" t="s">
        <v>491</v>
      </c>
      <c r="F387" s="43" t="s">
        <v>9</v>
      </c>
      <c r="G387" s="38" t="s">
        <v>30</v>
      </c>
      <c r="H387" s="79" t="s">
        <v>256</v>
      </c>
      <c r="I387" s="87">
        <v>1.716</v>
      </c>
      <c r="J387" s="88">
        <v>0</v>
      </c>
      <c r="K387" s="89">
        <v>0</v>
      </c>
      <c r="L387" s="90">
        <v>43.815600000000003</v>
      </c>
      <c r="M387" s="89">
        <v>0</v>
      </c>
      <c r="N387" s="89">
        <v>0</v>
      </c>
      <c r="O387" s="109">
        <f>SUM(Table1[[#This Row],[2022]:[YTD 2024]])</f>
        <v>1.716</v>
      </c>
      <c r="P387" s="219">
        <f>IFERROR(((Table1[[#This Row],[2023]]-Table1[[#This Row],[2022]])/Table1[[#This Row],[2022]]),0)</f>
        <v>-1</v>
      </c>
      <c r="Q387" s="219">
        <f>IFERROR(((Table1[[#This Row],[Volume 2023]]-Table1[[#This Row],[Volume 2022]])/Table1[[#This Row],[Volume 2022]]),0)</f>
        <v>-1</v>
      </c>
      <c r="R387" s="219">
        <f>Table1[[#This Row],[YoY growth]]-Table1[[#This Row],[Volume growth]]</f>
        <v>0</v>
      </c>
      <c r="S387" s="46"/>
    </row>
    <row r="388" spans="1:19" hidden="1" x14ac:dyDescent="0.25">
      <c r="A388" s="45"/>
      <c r="B388" s="41" t="s">
        <v>791</v>
      </c>
      <c r="C388" s="39" t="s">
        <v>985</v>
      </c>
      <c r="D388" s="39" t="s">
        <v>1112</v>
      </c>
      <c r="E388" s="42" t="s">
        <v>492</v>
      </c>
      <c r="F388" s="43" t="s">
        <v>9</v>
      </c>
      <c r="G388" s="38" t="s">
        <v>30</v>
      </c>
      <c r="H388" s="79" t="s">
        <v>256</v>
      </c>
      <c r="I388" s="87">
        <v>0.17050000000000001</v>
      </c>
      <c r="J388" s="88">
        <v>7.7700000000000005E-2</v>
      </c>
      <c r="K388" s="89">
        <v>0</v>
      </c>
      <c r="L388" s="90">
        <v>3.5674000000000001</v>
      </c>
      <c r="M388" s="89">
        <v>1.7087000000000001</v>
      </c>
      <c r="N388" s="89">
        <v>0</v>
      </c>
      <c r="O388" s="109">
        <f>SUM(Table1[[#This Row],[2022]:[YTD 2024]])</f>
        <v>0.24820000000000003</v>
      </c>
      <c r="P388" s="219">
        <f>IFERROR(((Table1[[#This Row],[2023]]-Table1[[#This Row],[2022]])/Table1[[#This Row],[2022]]),0)</f>
        <v>-0.54428152492668624</v>
      </c>
      <c r="Q388" s="219">
        <f>IFERROR(((Table1[[#This Row],[Volume 2023]]-Table1[[#This Row],[Volume 2022]])/Table1[[#This Row],[Volume 2022]]),0)</f>
        <v>-0.52102371475023823</v>
      </c>
      <c r="R388" s="219">
        <f>Table1[[#This Row],[YoY growth]]-Table1[[#This Row],[Volume growth]]</f>
        <v>-2.3257810176448013E-2</v>
      </c>
      <c r="S388" s="46"/>
    </row>
    <row r="389" spans="1:19" hidden="1" x14ac:dyDescent="0.25">
      <c r="A389" s="45"/>
      <c r="B389" s="41" t="s">
        <v>791</v>
      </c>
      <c r="C389" s="39" t="s">
        <v>985</v>
      </c>
      <c r="D389" s="39" t="s">
        <v>1112</v>
      </c>
      <c r="E389" s="42" t="s">
        <v>493</v>
      </c>
      <c r="F389" s="43" t="s">
        <v>9</v>
      </c>
      <c r="G389" s="38" t="s">
        <v>30</v>
      </c>
      <c r="H389" s="79" t="s">
        <v>256</v>
      </c>
      <c r="I389" s="87">
        <v>1.5501</v>
      </c>
      <c r="J389" s="88">
        <v>0.42659999999999998</v>
      </c>
      <c r="K389" s="89">
        <v>0.12859999999999999</v>
      </c>
      <c r="L389" s="90">
        <v>28.959800000000001</v>
      </c>
      <c r="M389" s="89">
        <v>8.7736999999999998</v>
      </c>
      <c r="N389" s="89">
        <v>2.5320999999999998</v>
      </c>
      <c r="O389" s="109">
        <f>SUM(Table1[[#This Row],[2022]:[YTD 2024]])</f>
        <v>2.1053000000000002</v>
      </c>
      <c r="P389" s="219">
        <f>IFERROR(((Table1[[#This Row],[2023]]-Table1[[#This Row],[2022]])/Table1[[#This Row],[2022]]),0)</f>
        <v>-0.7247919489065221</v>
      </c>
      <c r="Q389" s="219">
        <f>IFERROR(((Table1[[#This Row],[Volume 2023]]-Table1[[#This Row],[Volume 2022]])/Table1[[#This Row],[Volume 2022]]),0)</f>
        <v>-0.69703865358186179</v>
      </c>
      <c r="R389" s="219">
        <f>Table1[[#This Row],[YoY growth]]-Table1[[#This Row],[Volume growth]]</f>
        <v>-2.775329532466031E-2</v>
      </c>
      <c r="S389" s="46"/>
    </row>
    <row r="390" spans="1:19" hidden="1" x14ac:dyDescent="0.25">
      <c r="A390" s="45"/>
      <c r="B390" s="41" t="s">
        <v>791</v>
      </c>
      <c r="C390" s="39" t="s">
        <v>985</v>
      </c>
      <c r="D390" s="39" t="s">
        <v>1112</v>
      </c>
      <c r="E390" s="42" t="s">
        <v>494</v>
      </c>
      <c r="F390" s="43" t="s">
        <v>9</v>
      </c>
      <c r="G390" s="38" t="s">
        <v>30</v>
      </c>
      <c r="H390" s="79" t="s">
        <v>256</v>
      </c>
      <c r="I390" s="87">
        <v>0.83640000000000003</v>
      </c>
      <c r="J390" s="88">
        <v>0.51139999999999997</v>
      </c>
      <c r="K390" s="89">
        <v>0</v>
      </c>
      <c r="L390" s="90">
        <v>18.6389</v>
      </c>
      <c r="M390" s="89">
        <v>9.5508000000000006</v>
      </c>
      <c r="N390" s="89">
        <v>0</v>
      </c>
      <c r="O390" s="109">
        <f>SUM(Table1[[#This Row],[2022]:[YTD 2024]])</f>
        <v>1.3477999999999999</v>
      </c>
      <c r="P390" s="219">
        <f>IFERROR(((Table1[[#This Row],[2023]]-Table1[[#This Row],[2022]])/Table1[[#This Row],[2022]]),0)</f>
        <v>-0.38857006217120998</v>
      </c>
      <c r="Q390" s="219">
        <f>IFERROR(((Table1[[#This Row],[Volume 2023]]-Table1[[#This Row],[Volume 2022]])/Table1[[#This Row],[Volume 2022]]),0)</f>
        <v>-0.48758778683291393</v>
      </c>
      <c r="R390" s="219">
        <f>Table1[[#This Row],[YoY growth]]-Table1[[#This Row],[Volume growth]]</f>
        <v>9.9017724661703943E-2</v>
      </c>
      <c r="S390" s="46"/>
    </row>
    <row r="391" spans="1:19" hidden="1" x14ac:dyDescent="0.25">
      <c r="A391" s="45"/>
      <c r="B391" s="41" t="s">
        <v>791</v>
      </c>
      <c r="C391" s="39" t="s">
        <v>985</v>
      </c>
      <c r="D391" s="39" t="s">
        <v>1112</v>
      </c>
      <c r="E391" s="42" t="s">
        <v>495</v>
      </c>
      <c r="F391" s="43" t="s">
        <v>9</v>
      </c>
      <c r="G391" s="38" t="s">
        <v>30</v>
      </c>
      <c r="H391" s="79" t="s">
        <v>256</v>
      </c>
      <c r="I391" s="87">
        <v>0.72089999999999999</v>
      </c>
      <c r="J391" s="88">
        <v>0</v>
      </c>
      <c r="K391" s="89">
        <v>0</v>
      </c>
      <c r="L391" s="90">
        <v>9.8262</v>
      </c>
      <c r="M391" s="89">
        <v>0</v>
      </c>
      <c r="N391" s="89">
        <v>0</v>
      </c>
      <c r="O391" s="109">
        <f>SUM(Table1[[#This Row],[2022]:[YTD 2024]])</f>
        <v>0.72089999999999999</v>
      </c>
      <c r="P391" s="219">
        <f>IFERROR(((Table1[[#This Row],[2023]]-Table1[[#This Row],[2022]])/Table1[[#This Row],[2022]]),0)</f>
        <v>-1</v>
      </c>
      <c r="Q391" s="219">
        <f>IFERROR(((Table1[[#This Row],[Volume 2023]]-Table1[[#This Row],[Volume 2022]])/Table1[[#This Row],[Volume 2022]]),0)</f>
        <v>-1</v>
      </c>
      <c r="R391" s="219">
        <f>Table1[[#This Row],[YoY growth]]-Table1[[#This Row],[Volume growth]]</f>
        <v>0</v>
      </c>
      <c r="S391" s="46"/>
    </row>
    <row r="392" spans="1:19" hidden="1" x14ac:dyDescent="0.25">
      <c r="A392" s="45"/>
      <c r="B392" s="41" t="s">
        <v>791</v>
      </c>
      <c r="C392" s="39" t="s">
        <v>985</v>
      </c>
      <c r="D392" s="39" t="s">
        <v>1112</v>
      </c>
      <c r="E392" s="42" t="s">
        <v>496</v>
      </c>
      <c r="F392" s="43" t="s">
        <v>9</v>
      </c>
      <c r="G392" s="38" t="s">
        <v>30</v>
      </c>
      <c r="H392" s="79" t="s">
        <v>256</v>
      </c>
      <c r="I392" s="87">
        <v>0.48470000000000002</v>
      </c>
      <c r="J392" s="88">
        <v>0</v>
      </c>
      <c r="K392" s="89">
        <v>0</v>
      </c>
      <c r="L392" s="90">
        <v>10.088699999999999</v>
      </c>
      <c r="M392" s="89">
        <v>0</v>
      </c>
      <c r="N392" s="89">
        <v>0</v>
      </c>
      <c r="O392" s="109">
        <f>SUM(Table1[[#This Row],[2022]:[YTD 2024]])</f>
        <v>0.48470000000000002</v>
      </c>
      <c r="P392" s="219">
        <f>IFERROR(((Table1[[#This Row],[2023]]-Table1[[#This Row],[2022]])/Table1[[#This Row],[2022]]),0)</f>
        <v>-1</v>
      </c>
      <c r="Q392" s="219">
        <f>IFERROR(((Table1[[#This Row],[Volume 2023]]-Table1[[#This Row],[Volume 2022]])/Table1[[#This Row],[Volume 2022]]),0)</f>
        <v>-1</v>
      </c>
      <c r="R392" s="219">
        <f>Table1[[#This Row],[YoY growth]]-Table1[[#This Row],[Volume growth]]</f>
        <v>0</v>
      </c>
      <c r="S392" s="46"/>
    </row>
    <row r="393" spans="1:19" hidden="1" x14ac:dyDescent="0.25">
      <c r="A393" s="45"/>
      <c r="B393" s="41" t="s">
        <v>791</v>
      </c>
      <c r="C393" s="39" t="s">
        <v>985</v>
      </c>
      <c r="D393" s="39" t="s">
        <v>1112</v>
      </c>
      <c r="E393" s="42" t="s">
        <v>497</v>
      </c>
      <c r="F393" s="43" t="s">
        <v>9</v>
      </c>
      <c r="G393" s="38" t="s">
        <v>30</v>
      </c>
      <c r="H393" s="79" t="s">
        <v>256</v>
      </c>
      <c r="I393" s="87">
        <v>1.3634999999999999</v>
      </c>
      <c r="J393" s="88">
        <v>2.1999999999999999E-2</v>
      </c>
      <c r="K393" s="89">
        <v>0</v>
      </c>
      <c r="L393" s="90">
        <v>21.971299999999999</v>
      </c>
      <c r="M393" s="89">
        <v>0.34660000000000002</v>
      </c>
      <c r="N393" s="89">
        <v>0</v>
      </c>
      <c r="O393" s="109">
        <f>SUM(Table1[[#This Row],[2022]:[YTD 2024]])</f>
        <v>1.3855</v>
      </c>
      <c r="P393" s="219">
        <f>IFERROR(((Table1[[#This Row],[2023]]-Table1[[#This Row],[2022]])/Table1[[#This Row],[2022]]),0)</f>
        <v>-0.98386505317198381</v>
      </c>
      <c r="Q393" s="219">
        <f>IFERROR(((Table1[[#This Row],[Volume 2023]]-Table1[[#This Row],[Volume 2022]])/Table1[[#This Row],[Volume 2022]]),0)</f>
        <v>-0.98422487517807322</v>
      </c>
      <c r="R393" s="219">
        <f>Table1[[#This Row],[YoY growth]]-Table1[[#This Row],[Volume growth]]</f>
        <v>3.5982200608941639E-4</v>
      </c>
      <c r="S393" s="46"/>
    </row>
    <row r="394" spans="1:19" hidden="1" x14ac:dyDescent="0.25">
      <c r="A394" s="45"/>
      <c r="B394" s="41" t="s">
        <v>791</v>
      </c>
      <c r="C394" s="39" t="s">
        <v>985</v>
      </c>
      <c r="D394" s="39" t="s">
        <v>1112</v>
      </c>
      <c r="E394" s="42" t="s">
        <v>498</v>
      </c>
      <c r="F394" s="43" t="s">
        <v>9</v>
      </c>
      <c r="G394" s="38" t="s">
        <v>30</v>
      </c>
      <c r="H394" s="79" t="s">
        <v>256</v>
      </c>
      <c r="I394" s="87">
        <v>0.2001</v>
      </c>
      <c r="J394" s="88">
        <v>0</v>
      </c>
      <c r="K394" s="89">
        <v>0</v>
      </c>
      <c r="L394" s="90">
        <v>3.1530999999999998</v>
      </c>
      <c r="M394" s="89">
        <v>0</v>
      </c>
      <c r="N394" s="89">
        <v>0</v>
      </c>
      <c r="O394" s="109">
        <f>SUM(Table1[[#This Row],[2022]:[YTD 2024]])</f>
        <v>0.2001</v>
      </c>
      <c r="P394" s="219">
        <f>IFERROR(((Table1[[#This Row],[2023]]-Table1[[#This Row],[2022]])/Table1[[#This Row],[2022]]),0)</f>
        <v>-1</v>
      </c>
      <c r="Q394" s="219">
        <f>IFERROR(((Table1[[#This Row],[Volume 2023]]-Table1[[#This Row],[Volume 2022]])/Table1[[#This Row],[Volume 2022]]),0)</f>
        <v>-1</v>
      </c>
      <c r="R394" s="219">
        <f>Table1[[#This Row],[YoY growth]]-Table1[[#This Row],[Volume growth]]</f>
        <v>0</v>
      </c>
      <c r="S394" s="46"/>
    </row>
    <row r="395" spans="1:19" hidden="1" x14ac:dyDescent="0.25">
      <c r="A395" s="45"/>
      <c r="B395" s="41" t="s">
        <v>791</v>
      </c>
      <c r="C395" s="39" t="s">
        <v>985</v>
      </c>
      <c r="D395" s="39" t="s">
        <v>1112</v>
      </c>
      <c r="E395" s="42" t="s">
        <v>499</v>
      </c>
      <c r="F395" s="43" t="s">
        <v>9</v>
      </c>
      <c r="G395" s="38" t="s">
        <v>30</v>
      </c>
      <c r="H395" s="79" t="s">
        <v>256</v>
      </c>
      <c r="I395" s="87">
        <v>0.30409999999999998</v>
      </c>
      <c r="J395" s="88">
        <v>0</v>
      </c>
      <c r="K395" s="89">
        <v>0</v>
      </c>
      <c r="L395" s="90">
        <v>4.4311999999999996</v>
      </c>
      <c r="M395" s="89">
        <v>0</v>
      </c>
      <c r="N395" s="89">
        <v>0</v>
      </c>
      <c r="O395" s="109">
        <f>SUM(Table1[[#This Row],[2022]:[YTD 2024]])</f>
        <v>0.30409999999999998</v>
      </c>
      <c r="P395" s="219">
        <f>IFERROR(((Table1[[#This Row],[2023]]-Table1[[#This Row],[2022]])/Table1[[#This Row],[2022]]),0)</f>
        <v>-1</v>
      </c>
      <c r="Q395" s="219">
        <f>IFERROR(((Table1[[#This Row],[Volume 2023]]-Table1[[#This Row],[Volume 2022]])/Table1[[#This Row],[Volume 2022]]),0)</f>
        <v>-1</v>
      </c>
      <c r="R395" s="219">
        <f>Table1[[#This Row],[YoY growth]]-Table1[[#This Row],[Volume growth]]</f>
        <v>0</v>
      </c>
      <c r="S395" s="46"/>
    </row>
    <row r="396" spans="1:19" hidden="1" x14ac:dyDescent="0.25">
      <c r="A396" s="45"/>
      <c r="B396" s="41" t="s">
        <v>791</v>
      </c>
      <c r="C396" s="39" t="s">
        <v>985</v>
      </c>
      <c r="D396" s="39" t="s">
        <v>1112</v>
      </c>
      <c r="E396" s="42" t="s">
        <v>500</v>
      </c>
      <c r="F396" s="43" t="s">
        <v>9</v>
      </c>
      <c r="G396" s="38" t="s">
        <v>30</v>
      </c>
      <c r="H396" s="79" t="s">
        <v>256</v>
      </c>
      <c r="I396" s="87">
        <v>1.4756</v>
      </c>
      <c r="J396" s="88">
        <v>0.29549999999999998</v>
      </c>
      <c r="K396" s="89">
        <v>0.13869999999999999</v>
      </c>
      <c r="L396" s="90">
        <v>38.575499999999998</v>
      </c>
      <c r="M396" s="89">
        <v>5.6929999999999996</v>
      </c>
      <c r="N396" s="89">
        <v>2.5320999999999998</v>
      </c>
      <c r="O396" s="109">
        <f>SUM(Table1[[#This Row],[2022]:[YTD 2024]])</f>
        <v>1.9098000000000002</v>
      </c>
      <c r="P396" s="219">
        <f>IFERROR(((Table1[[#This Row],[2023]]-Table1[[#This Row],[2022]])/Table1[[#This Row],[2022]]),0)</f>
        <v>-0.79974247763621575</v>
      </c>
      <c r="Q396" s="219">
        <f>IFERROR(((Table1[[#This Row],[Volume 2023]]-Table1[[#This Row],[Volume 2022]])/Table1[[#This Row],[Volume 2022]]),0)</f>
        <v>-0.85241928166841652</v>
      </c>
      <c r="R396" s="219">
        <f>Table1[[#This Row],[YoY growth]]-Table1[[#This Row],[Volume growth]]</f>
        <v>5.2676804032200764E-2</v>
      </c>
      <c r="S396" s="46"/>
    </row>
    <row r="397" spans="1:19" hidden="1" x14ac:dyDescent="0.25">
      <c r="A397" s="45"/>
      <c r="B397" s="41" t="s">
        <v>791</v>
      </c>
      <c r="C397" s="39" t="s">
        <v>985</v>
      </c>
      <c r="D397" s="39" t="s">
        <v>1112</v>
      </c>
      <c r="E397" s="42" t="s">
        <v>501</v>
      </c>
      <c r="F397" s="43" t="s">
        <v>9</v>
      </c>
      <c r="G397" s="38" t="s">
        <v>30</v>
      </c>
      <c r="H397" s="79" t="s">
        <v>256</v>
      </c>
      <c r="I397" s="87">
        <v>0.92279999999999995</v>
      </c>
      <c r="J397" s="88">
        <v>0</v>
      </c>
      <c r="K397" s="89">
        <v>0</v>
      </c>
      <c r="L397" s="90">
        <v>21.822199999999999</v>
      </c>
      <c r="M397" s="89">
        <v>0</v>
      </c>
      <c r="N397" s="89">
        <v>0</v>
      </c>
      <c r="O397" s="109">
        <f>SUM(Table1[[#This Row],[2022]:[YTD 2024]])</f>
        <v>0.92279999999999995</v>
      </c>
      <c r="P397" s="219">
        <f>IFERROR(((Table1[[#This Row],[2023]]-Table1[[#This Row],[2022]])/Table1[[#This Row],[2022]]),0)</f>
        <v>-1</v>
      </c>
      <c r="Q397" s="219">
        <f>IFERROR(((Table1[[#This Row],[Volume 2023]]-Table1[[#This Row],[Volume 2022]])/Table1[[#This Row],[Volume 2022]]),0)</f>
        <v>-1</v>
      </c>
      <c r="R397" s="219">
        <f>Table1[[#This Row],[YoY growth]]-Table1[[#This Row],[Volume growth]]</f>
        <v>0</v>
      </c>
      <c r="S397" s="46"/>
    </row>
    <row r="398" spans="1:19" x14ac:dyDescent="0.25">
      <c r="A398" s="45"/>
      <c r="B398" s="41" t="s">
        <v>791</v>
      </c>
      <c r="C398" s="39" t="s">
        <v>985</v>
      </c>
      <c r="D398" s="39" t="s">
        <v>1112</v>
      </c>
      <c r="E398" s="42" t="s">
        <v>508</v>
      </c>
      <c r="F398" s="43" t="s">
        <v>9</v>
      </c>
      <c r="G398" s="38" t="s">
        <v>64</v>
      </c>
      <c r="H398" s="79" t="s">
        <v>256</v>
      </c>
      <c r="I398" s="87">
        <v>95.148099999999999</v>
      </c>
      <c r="J398" s="88">
        <v>213.16730000000001</v>
      </c>
      <c r="K398" s="89">
        <v>155.60400000000001</v>
      </c>
      <c r="L398" s="90">
        <v>3171.4767999999999</v>
      </c>
      <c r="M398" s="89">
        <v>7264.2154</v>
      </c>
      <c r="N398" s="89">
        <v>5013.7686000000003</v>
      </c>
      <c r="O398" s="109">
        <f>SUM(Table1[[#This Row],[2022]:[YTD 2024]])</f>
        <v>463.9194</v>
      </c>
      <c r="P398" s="219">
        <f>IFERROR(((Table1[[#This Row],[2023]]-Table1[[#This Row],[2022]])/Table1[[#This Row],[2022]]),0)</f>
        <v>1.2403736911194234</v>
      </c>
      <c r="Q398" s="219">
        <f>IFERROR(((Table1[[#This Row],[Volume 2023]]-Table1[[#This Row],[Volume 2022]])/Table1[[#This Row],[Volume 2022]]),0)</f>
        <v>1.2904835375116097</v>
      </c>
      <c r="R398" s="219">
        <f>Table1[[#This Row],[YoY growth]]-Table1[[#This Row],[Volume growth]]</f>
        <v>-5.0109846392186297E-2</v>
      </c>
      <c r="S398" s="46"/>
    </row>
    <row r="399" spans="1:19" hidden="1" x14ac:dyDescent="0.25">
      <c r="A399" s="45"/>
      <c r="B399" s="41" t="s">
        <v>791</v>
      </c>
      <c r="C399" s="39" t="s">
        <v>985</v>
      </c>
      <c r="D399" s="39" t="s">
        <v>1112</v>
      </c>
      <c r="E399" s="42" t="s">
        <v>503</v>
      </c>
      <c r="F399" s="43" t="s">
        <v>9</v>
      </c>
      <c r="G399" s="38" t="s">
        <v>30</v>
      </c>
      <c r="H399" s="79" t="s">
        <v>256</v>
      </c>
      <c r="I399" s="87">
        <v>0.97140000000000004</v>
      </c>
      <c r="J399" s="88">
        <v>3.1E-2</v>
      </c>
      <c r="K399" s="89">
        <v>0</v>
      </c>
      <c r="L399" s="90">
        <v>22.952100000000002</v>
      </c>
      <c r="M399" s="89">
        <v>0.70540000000000003</v>
      </c>
      <c r="N399" s="89">
        <v>0</v>
      </c>
      <c r="O399" s="109">
        <f>SUM(Table1[[#This Row],[2022]:[YTD 2024]])</f>
        <v>1.0024</v>
      </c>
      <c r="P399" s="219">
        <f>IFERROR(((Table1[[#This Row],[2023]]-Table1[[#This Row],[2022]])/Table1[[#This Row],[2022]]),0)</f>
        <v>-0.96808729668519655</v>
      </c>
      <c r="Q399" s="219">
        <f>IFERROR(((Table1[[#This Row],[Volume 2023]]-Table1[[#This Row],[Volume 2022]])/Table1[[#This Row],[Volume 2022]]),0)</f>
        <v>-0.96926642877993729</v>
      </c>
      <c r="R399" s="219">
        <f>Table1[[#This Row],[YoY growth]]-Table1[[#This Row],[Volume growth]]</f>
        <v>1.1791320947407424E-3</v>
      </c>
      <c r="S399" s="46"/>
    </row>
    <row r="400" spans="1:19" hidden="1" x14ac:dyDescent="0.25">
      <c r="A400" s="45"/>
      <c r="B400" s="41" t="s">
        <v>791</v>
      </c>
      <c r="C400" s="39" t="s">
        <v>985</v>
      </c>
      <c r="D400" s="39" t="s">
        <v>1112</v>
      </c>
      <c r="E400" s="42" t="s">
        <v>504</v>
      </c>
      <c r="F400" s="43" t="s">
        <v>9</v>
      </c>
      <c r="G400" s="38" t="s">
        <v>30</v>
      </c>
      <c r="H400" s="79" t="s">
        <v>256</v>
      </c>
      <c r="I400" s="87">
        <v>0.23680000000000001</v>
      </c>
      <c r="J400" s="88">
        <v>0</v>
      </c>
      <c r="K400" s="89">
        <v>0</v>
      </c>
      <c r="L400" s="90">
        <v>4.3052000000000001</v>
      </c>
      <c r="M400" s="89">
        <v>0</v>
      </c>
      <c r="N400" s="89">
        <v>0</v>
      </c>
      <c r="O400" s="109">
        <f>SUM(Table1[[#This Row],[2022]:[YTD 2024]])</f>
        <v>0.23680000000000001</v>
      </c>
      <c r="P400" s="219">
        <f>IFERROR(((Table1[[#This Row],[2023]]-Table1[[#This Row],[2022]])/Table1[[#This Row],[2022]]),0)</f>
        <v>-1</v>
      </c>
      <c r="Q400" s="219">
        <f>IFERROR(((Table1[[#This Row],[Volume 2023]]-Table1[[#This Row],[Volume 2022]])/Table1[[#This Row],[Volume 2022]]),0)</f>
        <v>-1</v>
      </c>
      <c r="R400" s="219">
        <f>Table1[[#This Row],[YoY growth]]-Table1[[#This Row],[Volume growth]]</f>
        <v>0</v>
      </c>
      <c r="S400" s="46"/>
    </row>
    <row r="401" spans="1:19" hidden="1" x14ac:dyDescent="0.25">
      <c r="A401" s="45"/>
      <c r="B401" s="41" t="s">
        <v>791</v>
      </c>
      <c r="C401" s="39" t="s">
        <v>985</v>
      </c>
      <c r="D401" s="39" t="s">
        <v>1112</v>
      </c>
      <c r="E401" s="42" t="s">
        <v>505</v>
      </c>
      <c r="F401" s="43" t="s">
        <v>9</v>
      </c>
      <c r="G401" s="38" t="s">
        <v>64</v>
      </c>
      <c r="H401" s="79" t="s">
        <v>256</v>
      </c>
      <c r="I401" s="87">
        <v>40.155500000000004</v>
      </c>
      <c r="J401" s="88">
        <v>53.039099999999998</v>
      </c>
      <c r="K401" s="89">
        <v>19.640599999999999</v>
      </c>
      <c r="L401" s="90">
        <v>809.24120000000005</v>
      </c>
      <c r="M401" s="89">
        <v>1117.5988</v>
      </c>
      <c r="N401" s="89">
        <v>353.57029999999997</v>
      </c>
      <c r="O401" s="109">
        <f>SUM(Table1[[#This Row],[2022]:[YTD 2024]])</f>
        <v>112.83520000000001</v>
      </c>
      <c r="P401" s="219">
        <f>IFERROR(((Table1[[#This Row],[2023]]-Table1[[#This Row],[2022]])/Table1[[#This Row],[2022]]),0)</f>
        <v>0.3208427239107966</v>
      </c>
      <c r="Q401" s="219">
        <f>IFERROR(((Table1[[#This Row],[Volume 2023]]-Table1[[#This Row],[Volume 2022]])/Table1[[#This Row],[Volume 2022]]),0)</f>
        <v>0.38104535458649402</v>
      </c>
      <c r="R401" s="219">
        <f>Table1[[#This Row],[YoY growth]]-Table1[[#This Row],[Volume growth]]</f>
        <v>-6.0202630675697422E-2</v>
      </c>
      <c r="S401" s="46"/>
    </row>
    <row r="402" spans="1:19" hidden="1" x14ac:dyDescent="0.25">
      <c r="A402" s="45"/>
      <c r="B402" s="41" t="s">
        <v>791</v>
      </c>
      <c r="C402" s="39" t="s">
        <v>985</v>
      </c>
      <c r="D402" s="39" t="s">
        <v>1112</v>
      </c>
      <c r="E402" s="42" t="s">
        <v>506</v>
      </c>
      <c r="F402" s="43" t="s">
        <v>9</v>
      </c>
      <c r="G402" s="38" t="s">
        <v>64</v>
      </c>
      <c r="H402" s="79" t="s">
        <v>256</v>
      </c>
      <c r="I402" s="87">
        <v>124.0141</v>
      </c>
      <c r="J402" s="88">
        <v>119.1621</v>
      </c>
      <c r="K402" s="89">
        <v>72.991100000000003</v>
      </c>
      <c r="L402" s="90">
        <v>4179.8078999999998</v>
      </c>
      <c r="M402" s="89">
        <v>4057.9854</v>
      </c>
      <c r="N402" s="89">
        <v>2439.5360000000001</v>
      </c>
      <c r="O402" s="109">
        <f>SUM(Table1[[#This Row],[2022]:[YTD 2024]])</f>
        <v>316.16730000000001</v>
      </c>
      <c r="P402" s="219">
        <f>IFERROR(((Table1[[#This Row],[2023]]-Table1[[#This Row],[2022]])/Table1[[#This Row],[2022]]),0)</f>
        <v>-3.9124583414305338E-2</v>
      </c>
      <c r="Q402" s="219">
        <f>IFERROR(((Table1[[#This Row],[Volume 2023]]-Table1[[#This Row],[Volume 2022]])/Table1[[#This Row],[Volume 2022]]),0)</f>
        <v>-2.914547819290924E-2</v>
      </c>
      <c r="R402" s="219">
        <f>Table1[[#This Row],[YoY growth]]-Table1[[#This Row],[Volume growth]]</f>
        <v>-9.9791052213960979E-3</v>
      </c>
      <c r="S402" s="46"/>
    </row>
    <row r="403" spans="1:19" hidden="1" x14ac:dyDescent="0.25">
      <c r="A403" s="45"/>
      <c r="B403" s="41" t="s">
        <v>791</v>
      </c>
      <c r="C403" s="39" t="s">
        <v>985</v>
      </c>
      <c r="D403" s="39" t="s">
        <v>1112</v>
      </c>
      <c r="E403" s="42" t="s">
        <v>507</v>
      </c>
      <c r="F403" s="43" t="s">
        <v>9</v>
      </c>
      <c r="G403" s="38" t="s">
        <v>64</v>
      </c>
      <c r="H403" s="79" t="s">
        <v>256</v>
      </c>
      <c r="I403" s="87">
        <v>126.2456</v>
      </c>
      <c r="J403" s="88">
        <v>161.7927</v>
      </c>
      <c r="K403" s="89">
        <v>82.616799999999998</v>
      </c>
      <c r="L403" s="90">
        <v>2585.6873000000001</v>
      </c>
      <c r="M403" s="89">
        <v>3416.431</v>
      </c>
      <c r="N403" s="89">
        <v>1611.8206</v>
      </c>
      <c r="O403" s="109">
        <f>SUM(Table1[[#This Row],[2022]:[YTD 2024]])</f>
        <v>370.6551</v>
      </c>
      <c r="P403" s="219">
        <f>IFERROR(((Table1[[#This Row],[2023]]-Table1[[#This Row],[2022]])/Table1[[#This Row],[2022]]),0)</f>
        <v>0.28157100128638146</v>
      </c>
      <c r="Q403" s="219">
        <f>IFERROR(((Table1[[#This Row],[Volume 2023]]-Table1[[#This Row],[Volume 2022]])/Table1[[#This Row],[Volume 2022]]),0)</f>
        <v>0.32128544700668171</v>
      </c>
      <c r="R403" s="219">
        <f>Table1[[#This Row],[YoY growth]]-Table1[[#This Row],[Volume growth]]</f>
        <v>-3.9714445720300251E-2</v>
      </c>
      <c r="S403" s="46"/>
    </row>
    <row r="404" spans="1:19" x14ac:dyDescent="0.25">
      <c r="A404" s="45"/>
      <c r="B404" s="41" t="s">
        <v>714</v>
      </c>
      <c r="C404" s="39" t="s">
        <v>881</v>
      </c>
      <c r="D404" s="39" t="s">
        <v>1034</v>
      </c>
      <c r="E404" s="42" t="s">
        <v>48</v>
      </c>
      <c r="F404" s="43" t="s">
        <v>9</v>
      </c>
      <c r="G404" s="38" t="s">
        <v>10</v>
      </c>
      <c r="H404" s="79" t="s">
        <v>42</v>
      </c>
      <c r="I404" s="87">
        <v>221.17019999999999</v>
      </c>
      <c r="J404" s="88">
        <v>159.9896</v>
      </c>
      <c r="K404" s="89">
        <v>77.865600000000001</v>
      </c>
      <c r="L404" s="90">
        <v>6715.8593000000001</v>
      </c>
      <c r="M404" s="89">
        <v>4333.2687999999998</v>
      </c>
      <c r="N404" s="89">
        <v>2035.5381</v>
      </c>
      <c r="O404" s="109">
        <f>SUM(Table1[[#This Row],[2022]:[YTD 2024]])</f>
        <v>459.02539999999999</v>
      </c>
      <c r="P404" s="219">
        <f>IFERROR(((Table1[[#This Row],[2023]]-Table1[[#This Row],[2022]])/Table1[[#This Row],[2022]]),0)</f>
        <v>-0.27662225742889412</v>
      </c>
      <c r="Q404" s="219">
        <f>IFERROR(((Table1[[#This Row],[Volume 2023]]-Table1[[#This Row],[Volume 2022]])/Table1[[#This Row],[Volume 2022]]),0)</f>
        <v>-0.35477075882158521</v>
      </c>
      <c r="R404" s="219">
        <f>Table1[[#This Row],[YoY growth]]-Table1[[#This Row],[Volume growth]]</f>
        <v>7.8148501392691083E-2</v>
      </c>
      <c r="S404" s="46"/>
    </row>
    <row r="405" spans="1:19" hidden="1" x14ac:dyDescent="0.25">
      <c r="A405" s="45"/>
      <c r="B405" s="41" t="s">
        <v>791</v>
      </c>
      <c r="C405" s="39" t="s">
        <v>985</v>
      </c>
      <c r="D405" s="39" t="s">
        <v>1112</v>
      </c>
      <c r="E405" s="42" t="s">
        <v>509</v>
      </c>
      <c r="F405" s="43" t="s">
        <v>9</v>
      </c>
      <c r="G405" s="38" t="s">
        <v>64</v>
      </c>
      <c r="H405" s="79" t="s">
        <v>363</v>
      </c>
      <c r="I405" s="87">
        <v>19.249199999999998</v>
      </c>
      <c r="J405" s="88">
        <v>1.4004000000000001</v>
      </c>
      <c r="K405" s="89">
        <v>0</v>
      </c>
      <c r="L405" s="90">
        <v>316.69850000000002</v>
      </c>
      <c r="M405" s="89">
        <v>25.215900000000001</v>
      </c>
      <c r="N405" s="89">
        <v>0</v>
      </c>
      <c r="O405" s="109">
        <f>SUM(Table1[[#This Row],[2022]:[YTD 2024]])</f>
        <v>20.6496</v>
      </c>
      <c r="P405" s="219">
        <f>IFERROR(((Table1[[#This Row],[2023]]-Table1[[#This Row],[2022]])/Table1[[#This Row],[2022]]),0)</f>
        <v>-0.92724892463063391</v>
      </c>
      <c r="Q405" s="219">
        <f>IFERROR(((Table1[[#This Row],[Volume 2023]]-Table1[[#This Row],[Volume 2022]])/Table1[[#This Row],[Volume 2022]]),0)</f>
        <v>-0.9203788461265211</v>
      </c>
      <c r="R405" s="219">
        <f>Table1[[#This Row],[YoY growth]]-Table1[[#This Row],[Volume growth]]</f>
        <v>-6.8700785041128087E-3</v>
      </c>
      <c r="S405" s="46"/>
    </row>
    <row r="406" spans="1:19" hidden="1" x14ac:dyDescent="0.25">
      <c r="A406" s="45"/>
      <c r="B406" s="41" t="s">
        <v>791</v>
      </c>
      <c r="C406" s="39" t="s">
        <v>985</v>
      </c>
      <c r="D406" s="39" t="s">
        <v>1112</v>
      </c>
      <c r="E406" s="42" t="s">
        <v>510</v>
      </c>
      <c r="F406" s="43" t="s">
        <v>9</v>
      </c>
      <c r="G406" s="38" t="s">
        <v>64</v>
      </c>
      <c r="H406" s="79" t="s">
        <v>34</v>
      </c>
      <c r="I406" s="87">
        <v>0.76639999999999997</v>
      </c>
      <c r="J406" s="88">
        <v>3.6499999999999998E-2</v>
      </c>
      <c r="K406" s="89">
        <v>0</v>
      </c>
      <c r="L406" s="90">
        <v>14.48</v>
      </c>
      <c r="M406" s="89">
        <v>0.67200000000000004</v>
      </c>
      <c r="N406" s="89">
        <v>0</v>
      </c>
      <c r="O406" s="109">
        <f>SUM(Table1[[#This Row],[2022]:[YTD 2024]])</f>
        <v>0.80289999999999995</v>
      </c>
      <c r="P406" s="219">
        <f>IFERROR(((Table1[[#This Row],[2023]]-Table1[[#This Row],[2022]])/Table1[[#This Row],[2022]]),0)</f>
        <v>-0.95237473903966596</v>
      </c>
      <c r="Q406" s="219">
        <f>IFERROR(((Table1[[#This Row],[Volume 2023]]-Table1[[#This Row],[Volume 2022]])/Table1[[#This Row],[Volume 2022]]),0)</f>
        <v>-0.95359116022099444</v>
      </c>
      <c r="R406" s="219">
        <f>Table1[[#This Row],[YoY growth]]-Table1[[#This Row],[Volume growth]]</f>
        <v>1.2164211813284753E-3</v>
      </c>
      <c r="S406" s="46"/>
    </row>
    <row r="407" spans="1:19" hidden="1" x14ac:dyDescent="0.25">
      <c r="A407" s="45"/>
      <c r="B407" s="41" t="s">
        <v>791</v>
      </c>
      <c r="C407" s="39" t="s">
        <v>985</v>
      </c>
      <c r="D407" s="39" t="s">
        <v>1112</v>
      </c>
      <c r="E407" s="42" t="s">
        <v>511</v>
      </c>
      <c r="F407" s="43" t="s">
        <v>9</v>
      </c>
      <c r="G407" s="38" t="s">
        <v>64</v>
      </c>
      <c r="H407" s="79" t="s">
        <v>34</v>
      </c>
      <c r="I407" s="87">
        <v>0.17649999999999999</v>
      </c>
      <c r="J407" s="88">
        <v>0</v>
      </c>
      <c r="K407" s="89">
        <v>0</v>
      </c>
      <c r="L407" s="90">
        <v>2.9144999999999999</v>
      </c>
      <c r="M407" s="89">
        <v>0</v>
      </c>
      <c r="N407" s="89">
        <v>0</v>
      </c>
      <c r="O407" s="109">
        <f>SUM(Table1[[#This Row],[2022]:[YTD 2024]])</f>
        <v>0.17649999999999999</v>
      </c>
      <c r="P407" s="219">
        <f>IFERROR(((Table1[[#This Row],[2023]]-Table1[[#This Row],[2022]])/Table1[[#This Row],[2022]]),0)</f>
        <v>-1</v>
      </c>
      <c r="Q407" s="219">
        <f>IFERROR(((Table1[[#This Row],[Volume 2023]]-Table1[[#This Row],[Volume 2022]])/Table1[[#This Row],[Volume 2022]]),0)</f>
        <v>-1</v>
      </c>
      <c r="R407" s="219">
        <f>Table1[[#This Row],[YoY growth]]-Table1[[#This Row],[Volume growth]]</f>
        <v>0</v>
      </c>
      <c r="S407" s="46"/>
    </row>
    <row r="408" spans="1:19" hidden="1" x14ac:dyDescent="0.25">
      <c r="A408" s="45"/>
      <c r="B408" s="41" t="s">
        <v>791</v>
      </c>
      <c r="C408" s="39" t="s">
        <v>985</v>
      </c>
      <c r="D408" s="39" t="s">
        <v>1112</v>
      </c>
      <c r="E408" s="42" t="s">
        <v>512</v>
      </c>
      <c r="F408" s="43" t="s">
        <v>9</v>
      </c>
      <c r="G408" s="38" t="s">
        <v>64</v>
      </c>
      <c r="H408" s="79" t="s">
        <v>34</v>
      </c>
      <c r="I408" s="87">
        <v>3.9998</v>
      </c>
      <c r="J408" s="88">
        <v>2.0327000000000002</v>
      </c>
      <c r="K408" s="89">
        <v>0.44619999999999999</v>
      </c>
      <c r="L408" s="90">
        <v>76.599100000000007</v>
      </c>
      <c r="M408" s="89">
        <v>45.206499999999998</v>
      </c>
      <c r="N408" s="89">
        <v>9.7993000000000006</v>
      </c>
      <c r="O408" s="109">
        <f>SUM(Table1[[#This Row],[2022]:[YTD 2024]])</f>
        <v>6.4787000000000008</v>
      </c>
      <c r="P408" s="219">
        <f>IFERROR(((Table1[[#This Row],[2023]]-Table1[[#This Row],[2022]])/Table1[[#This Row],[2022]]),0)</f>
        <v>-0.49179958997949891</v>
      </c>
      <c r="Q408" s="219">
        <f>IFERROR(((Table1[[#This Row],[Volume 2023]]-Table1[[#This Row],[Volume 2022]])/Table1[[#This Row],[Volume 2022]]),0)</f>
        <v>-0.4098298805077345</v>
      </c>
      <c r="R408" s="219">
        <f>Table1[[#This Row],[YoY growth]]-Table1[[#This Row],[Volume growth]]</f>
        <v>-8.1969709471764407E-2</v>
      </c>
      <c r="S408" s="46"/>
    </row>
    <row r="409" spans="1:19" hidden="1" x14ac:dyDescent="0.25">
      <c r="A409" s="45"/>
      <c r="B409" s="41" t="s">
        <v>791</v>
      </c>
      <c r="C409" s="39" t="s">
        <v>985</v>
      </c>
      <c r="D409" s="39" t="s">
        <v>1112</v>
      </c>
      <c r="E409" s="42" t="s">
        <v>513</v>
      </c>
      <c r="F409" s="43" t="s">
        <v>9</v>
      </c>
      <c r="G409" s="38" t="s">
        <v>64</v>
      </c>
      <c r="H409" s="79" t="s">
        <v>34</v>
      </c>
      <c r="I409" s="87">
        <v>3.4256000000000002</v>
      </c>
      <c r="J409" s="88">
        <v>0.1051</v>
      </c>
      <c r="K409" s="89">
        <v>0</v>
      </c>
      <c r="L409" s="90">
        <v>52.9163</v>
      </c>
      <c r="M409" s="89">
        <v>1.5987</v>
      </c>
      <c r="N409" s="89">
        <v>0</v>
      </c>
      <c r="O409" s="109">
        <f>SUM(Table1[[#This Row],[2022]:[YTD 2024]])</f>
        <v>3.5307000000000004</v>
      </c>
      <c r="P409" s="219">
        <f>IFERROR(((Table1[[#This Row],[2023]]-Table1[[#This Row],[2022]])/Table1[[#This Row],[2022]]),0)</f>
        <v>-0.96931924334423158</v>
      </c>
      <c r="Q409" s="219">
        <f>IFERROR(((Table1[[#This Row],[Volume 2023]]-Table1[[#This Row],[Volume 2022]])/Table1[[#This Row],[Volume 2022]]),0)</f>
        <v>-0.96978813711465084</v>
      </c>
      <c r="R409" s="219">
        <f>Table1[[#This Row],[YoY growth]]-Table1[[#This Row],[Volume growth]]</f>
        <v>4.6889377041925417E-4</v>
      </c>
      <c r="S409" s="46"/>
    </row>
    <row r="410" spans="1:19" hidden="1" x14ac:dyDescent="0.25">
      <c r="A410" s="45"/>
      <c r="B410" s="41" t="s">
        <v>791</v>
      </c>
      <c r="C410" s="39" t="s">
        <v>985</v>
      </c>
      <c r="D410" s="39" t="s">
        <v>1112</v>
      </c>
      <c r="E410" s="42" t="s">
        <v>514</v>
      </c>
      <c r="F410" s="43" t="s">
        <v>9</v>
      </c>
      <c r="G410" s="38" t="s">
        <v>64</v>
      </c>
      <c r="H410" s="79" t="s">
        <v>34</v>
      </c>
      <c r="I410" s="87">
        <v>2.7799999999999998E-2</v>
      </c>
      <c r="J410" s="88">
        <v>0</v>
      </c>
      <c r="K410" s="89">
        <v>0</v>
      </c>
      <c r="L410" s="90">
        <v>0.59</v>
      </c>
      <c r="M410" s="89">
        <v>0</v>
      </c>
      <c r="N410" s="89">
        <v>0</v>
      </c>
      <c r="O410" s="109">
        <f>SUM(Table1[[#This Row],[2022]:[YTD 2024]])</f>
        <v>2.7799999999999998E-2</v>
      </c>
      <c r="P410" s="219">
        <f>IFERROR(((Table1[[#This Row],[2023]]-Table1[[#This Row],[2022]])/Table1[[#This Row],[2022]]),0)</f>
        <v>-1</v>
      </c>
      <c r="Q410" s="219">
        <f>IFERROR(((Table1[[#This Row],[Volume 2023]]-Table1[[#This Row],[Volume 2022]])/Table1[[#This Row],[Volume 2022]]),0)</f>
        <v>-1</v>
      </c>
      <c r="R410" s="219">
        <f>Table1[[#This Row],[YoY growth]]-Table1[[#This Row],[Volume growth]]</f>
        <v>0</v>
      </c>
      <c r="S410" s="46"/>
    </row>
    <row r="411" spans="1:19" hidden="1" x14ac:dyDescent="0.25">
      <c r="A411" s="45"/>
      <c r="B411" s="41" t="s">
        <v>791</v>
      </c>
      <c r="C411" s="39" t="s">
        <v>985</v>
      </c>
      <c r="D411" s="39" t="s">
        <v>1112</v>
      </c>
      <c r="E411" s="42" t="s">
        <v>515</v>
      </c>
      <c r="F411" s="43" t="s">
        <v>9</v>
      </c>
      <c r="G411" s="38" t="s">
        <v>64</v>
      </c>
      <c r="H411" s="79" t="s">
        <v>34</v>
      </c>
      <c r="I411" s="87">
        <v>2.0205000000000002</v>
      </c>
      <c r="J411" s="88">
        <v>6.1100000000000002E-2</v>
      </c>
      <c r="K411" s="89">
        <v>4.3E-3</v>
      </c>
      <c r="L411" s="90">
        <v>30.746600000000001</v>
      </c>
      <c r="M411" s="89">
        <v>0.89600000000000002</v>
      </c>
      <c r="N411" s="89">
        <v>5.6000000000000001E-2</v>
      </c>
      <c r="O411" s="109">
        <f>SUM(Table1[[#This Row],[2022]:[YTD 2024]])</f>
        <v>2.0859000000000005</v>
      </c>
      <c r="P411" s="219">
        <f>IFERROR(((Table1[[#This Row],[2023]]-Table1[[#This Row],[2022]])/Table1[[#This Row],[2022]]),0)</f>
        <v>-0.96975996040584023</v>
      </c>
      <c r="Q411" s="219">
        <f>IFERROR(((Table1[[#This Row],[Volume 2023]]-Table1[[#This Row],[Volume 2022]])/Table1[[#This Row],[Volume 2022]]),0)</f>
        <v>-0.97085856647564284</v>
      </c>
      <c r="R411" s="219">
        <f>Table1[[#This Row],[YoY growth]]-Table1[[#This Row],[Volume growth]]</f>
        <v>1.0986060698026101E-3</v>
      </c>
      <c r="S411" s="46"/>
    </row>
    <row r="412" spans="1:19" hidden="1" x14ac:dyDescent="0.25">
      <c r="A412" s="45"/>
      <c r="B412" s="41" t="s">
        <v>791</v>
      </c>
      <c r="C412" s="39" t="s">
        <v>985</v>
      </c>
      <c r="D412" s="39" t="s">
        <v>1112</v>
      </c>
      <c r="E412" s="42" t="s">
        <v>516</v>
      </c>
      <c r="F412" s="43" t="s">
        <v>9</v>
      </c>
      <c r="G412" s="38" t="s">
        <v>64</v>
      </c>
      <c r="H412" s="79" t="s">
        <v>34</v>
      </c>
      <c r="I412" s="87">
        <v>0</v>
      </c>
      <c r="J412" s="88">
        <v>0</v>
      </c>
      <c r="K412" s="89">
        <v>0</v>
      </c>
      <c r="L412" s="90">
        <v>0</v>
      </c>
      <c r="M412" s="89">
        <v>0</v>
      </c>
      <c r="N412" s="89">
        <v>0</v>
      </c>
      <c r="O412" s="109">
        <f>SUM(Table1[[#This Row],[2022]:[YTD 2024]])</f>
        <v>0</v>
      </c>
      <c r="P412" s="219">
        <f>IFERROR(((Table1[[#This Row],[2023]]-Table1[[#This Row],[2022]])/Table1[[#This Row],[2022]]),0)</f>
        <v>0</v>
      </c>
      <c r="Q412" s="219">
        <f>IFERROR(((Table1[[#This Row],[Volume 2023]]-Table1[[#This Row],[Volume 2022]])/Table1[[#This Row],[Volume 2022]]),0)</f>
        <v>0</v>
      </c>
      <c r="R412" s="219">
        <f>Table1[[#This Row],[YoY growth]]-Table1[[#This Row],[Volume growth]]</f>
        <v>0</v>
      </c>
      <c r="S412" s="46"/>
    </row>
    <row r="413" spans="1:19" hidden="1" x14ac:dyDescent="0.25">
      <c r="A413" s="45"/>
      <c r="B413" s="41" t="s">
        <v>791</v>
      </c>
      <c r="C413" s="39" t="s">
        <v>985</v>
      </c>
      <c r="D413" s="39" t="s">
        <v>1112</v>
      </c>
      <c r="E413" s="42" t="s">
        <v>517</v>
      </c>
      <c r="F413" s="43" t="s">
        <v>9</v>
      </c>
      <c r="G413" s="38" t="s">
        <v>64</v>
      </c>
      <c r="H413" s="79" t="s">
        <v>34</v>
      </c>
      <c r="I413" s="87">
        <v>2.1128999999999998</v>
      </c>
      <c r="J413" s="88">
        <v>3.0200000000000001E-2</v>
      </c>
      <c r="K413" s="89">
        <v>0</v>
      </c>
      <c r="L413" s="90">
        <v>32.116500000000002</v>
      </c>
      <c r="M413" s="89">
        <v>0.44800000000000001</v>
      </c>
      <c r="N413" s="89">
        <v>0</v>
      </c>
      <c r="O413" s="109">
        <f>SUM(Table1[[#This Row],[2022]:[YTD 2024]])</f>
        <v>2.1430999999999996</v>
      </c>
      <c r="P413" s="219">
        <f>IFERROR(((Table1[[#This Row],[2023]]-Table1[[#This Row],[2022]])/Table1[[#This Row],[2022]]),0)</f>
        <v>-0.9857068484074023</v>
      </c>
      <c r="Q413" s="219">
        <f>IFERROR(((Table1[[#This Row],[Volume 2023]]-Table1[[#This Row],[Volume 2022]])/Table1[[#This Row],[Volume 2022]]),0)</f>
        <v>-0.98605078386499145</v>
      </c>
      <c r="R413" s="219">
        <f>Table1[[#This Row],[YoY growth]]-Table1[[#This Row],[Volume growth]]</f>
        <v>3.4393545758915067E-4</v>
      </c>
      <c r="S413" s="46"/>
    </row>
    <row r="414" spans="1:19" hidden="1" x14ac:dyDescent="0.25">
      <c r="A414" s="45"/>
      <c r="B414" s="41" t="s">
        <v>791</v>
      </c>
      <c r="C414" s="39" t="s">
        <v>985</v>
      </c>
      <c r="D414" s="39" t="s">
        <v>1112</v>
      </c>
      <c r="E414" s="42" t="s">
        <v>518</v>
      </c>
      <c r="F414" s="43" t="s">
        <v>9</v>
      </c>
      <c r="G414" s="38" t="s">
        <v>64</v>
      </c>
      <c r="H414" s="79" t="s">
        <v>34</v>
      </c>
      <c r="I414" s="87">
        <v>0</v>
      </c>
      <c r="J414" s="88">
        <v>0</v>
      </c>
      <c r="K414" s="89">
        <v>0</v>
      </c>
      <c r="L414" s="90">
        <v>0</v>
      </c>
      <c r="M414" s="89">
        <v>0</v>
      </c>
      <c r="N414" s="89">
        <v>0</v>
      </c>
      <c r="O414" s="109">
        <f>SUM(Table1[[#This Row],[2022]:[YTD 2024]])</f>
        <v>0</v>
      </c>
      <c r="P414" s="219">
        <f>IFERROR(((Table1[[#This Row],[2023]]-Table1[[#This Row],[2022]])/Table1[[#This Row],[2022]]),0)</f>
        <v>0</v>
      </c>
      <c r="Q414" s="219">
        <f>IFERROR(((Table1[[#This Row],[Volume 2023]]-Table1[[#This Row],[Volume 2022]])/Table1[[#This Row],[Volume 2022]]),0)</f>
        <v>0</v>
      </c>
      <c r="R414" s="219">
        <f>Table1[[#This Row],[YoY growth]]-Table1[[#This Row],[Volume growth]]</f>
        <v>0</v>
      </c>
      <c r="S414" s="46"/>
    </row>
    <row r="415" spans="1:19" hidden="1" x14ac:dyDescent="0.25">
      <c r="A415" s="45"/>
      <c r="B415" s="41" t="s">
        <v>791</v>
      </c>
      <c r="C415" s="39" t="s">
        <v>985</v>
      </c>
      <c r="D415" s="39" t="s">
        <v>1112</v>
      </c>
      <c r="E415" s="42" t="s">
        <v>519</v>
      </c>
      <c r="F415" s="43" t="s">
        <v>9</v>
      </c>
      <c r="G415" s="38" t="s">
        <v>64</v>
      </c>
      <c r="H415" s="79" t="s">
        <v>34</v>
      </c>
      <c r="I415" s="87">
        <v>0.03</v>
      </c>
      <c r="J415" s="88">
        <v>5.8999999999999999E-3</v>
      </c>
      <c r="K415" s="89">
        <v>0</v>
      </c>
      <c r="L415" s="90">
        <v>0.67200000000000004</v>
      </c>
      <c r="M415" s="89">
        <v>0.16800000000000001</v>
      </c>
      <c r="N415" s="89">
        <v>0</v>
      </c>
      <c r="O415" s="109">
        <f>SUM(Table1[[#This Row],[2022]:[YTD 2024]])</f>
        <v>3.5900000000000001E-2</v>
      </c>
      <c r="P415" s="219">
        <f>IFERROR(((Table1[[#This Row],[2023]]-Table1[[#This Row],[2022]])/Table1[[#This Row],[2022]]),0)</f>
        <v>-0.80333333333333334</v>
      </c>
      <c r="Q415" s="219">
        <f>IFERROR(((Table1[[#This Row],[Volume 2023]]-Table1[[#This Row],[Volume 2022]])/Table1[[#This Row],[Volume 2022]]),0)</f>
        <v>-0.75</v>
      </c>
      <c r="R415" s="219">
        <f>Table1[[#This Row],[YoY growth]]-Table1[[#This Row],[Volume growth]]</f>
        <v>-5.3333333333333344E-2</v>
      </c>
      <c r="S415" s="46"/>
    </row>
    <row r="416" spans="1:19" hidden="1" x14ac:dyDescent="0.25">
      <c r="A416" s="45"/>
      <c r="B416" s="41" t="s">
        <v>791</v>
      </c>
      <c r="C416" s="39" t="s">
        <v>985</v>
      </c>
      <c r="D416" s="39" t="s">
        <v>1112</v>
      </c>
      <c r="E416" s="42" t="s">
        <v>520</v>
      </c>
      <c r="F416" s="43" t="s">
        <v>9</v>
      </c>
      <c r="G416" s="38" t="s">
        <v>64</v>
      </c>
      <c r="H416" s="79" t="s">
        <v>34</v>
      </c>
      <c r="I416" s="87">
        <v>3.5200000000000002E-2</v>
      </c>
      <c r="J416" s="88">
        <v>0</v>
      </c>
      <c r="K416" s="89">
        <v>0</v>
      </c>
      <c r="L416" s="90">
        <v>0.65949999999999998</v>
      </c>
      <c r="M416" s="89">
        <v>0</v>
      </c>
      <c r="N416" s="89">
        <v>0</v>
      </c>
      <c r="O416" s="109">
        <f>SUM(Table1[[#This Row],[2022]:[YTD 2024]])</f>
        <v>3.5200000000000002E-2</v>
      </c>
      <c r="P416" s="219">
        <f>IFERROR(((Table1[[#This Row],[2023]]-Table1[[#This Row],[2022]])/Table1[[#This Row],[2022]]),0)</f>
        <v>-1</v>
      </c>
      <c r="Q416" s="219">
        <f>IFERROR(((Table1[[#This Row],[Volume 2023]]-Table1[[#This Row],[Volume 2022]])/Table1[[#This Row],[Volume 2022]]),0)</f>
        <v>-1</v>
      </c>
      <c r="R416" s="219">
        <f>Table1[[#This Row],[YoY growth]]-Table1[[#This Row],[Volume growth]]</f>
        <v>0</v>
      </c>
      <c r="S416" s="46"/>
    </row>
    <row r="417" spans="1:19" hidden="1" x14ac:dyDescent="0.25">
      <c r="A417" s="45"/>
      <c r="B417" s="41" t="s">
        <v>791</v>
      </c>
      <c r="C417" s="39" t="s">
        <v>985</v>
      </c>
      <c r="D417" s="39" t="s">
        <v>1112</v>
      </c>
      <c r="E417" s="42" t="s">
        <v>521</v>
      </c>
      <c r="F417" s="43" t="s">
        <v>9</v>
      </c>
      <c r="G417" s="38" t="s">
        <v>64</v>
      </c>
      <c r="H417" s="79" t="s">
        <v>34</v>
      </c>
      <c r="I417" s="87">
        <v>0.17460000000000001</v>
      </c>
      <c r="J417" s="88">
        <v>5.2699999999999997E-2</v>
      </c>
      <c r="K417" s="89">
        <v>1.09E-2</v>
      </c>
      <c r="L417" s="90">
        <v>3.8159000000000001</v>
      </c>
      <c r="M417" s="89">
        <v>1.4</v>
      </c>
      <c r="N417" s="89">
        <v>0.28000000000000003</v>
      </c>
      <c r="O417" s="109">
        <f>SUM(Table1[[#This Row],[2022]:[YTD 2024]])</f>
        <v>0.2382</v>
      </c>
      <c r="P417" s="219">
        <f>IFERROR(((Table1[[#This Row],[2023]]-Table1[[#This Row],[2022]])/Table1[[#This Row],[2022]]),0)</f>
        <v>-0.69816723940435288</v>
      </c>
      <c r="Q417" s="219">
        <f>IFERROR(((Table1[[#This Row],[Volume 2023]]-Table1[[#This Row],[Volume 2022]])/Table1[[#This Row],[Volume 2022]]),0)</f>
        <v>-0.63311407531643915</v>
      </c>
      <c r="R417" s="219">
        <f>Table1[[#This Row],[YoY growth]]-Table1[[#This Row],[Volume growth]]</f>
        <v>-6.5053164087913729E-2</v>
      </c>
      <c r="S417" s="46"/>
    </row>
    <row r="418" spans="1:19" hidden="1" x14ac:dyDescent="0.25">
      <c r="A418" s="45"/>
      <c r="B418" s="41" t="s">
        <v>791</v>
      </c>
      <c r="C418" s="39" t="s">
        <v>985</v>
      </c>
      <c r="D418" s="39" t="s">
        <v>1112</v>
      </c>
      <c r="E418" s="42" t="s">
        <v>522</v>
      </c>
      <c r="F418" s="43" t="s">
        <v>9</v>
      </c>
      <c r="G418" s="38" t="s">
        <v>64</v>
      </c>
      <c r="H418" s="79" t="s">
        <v>34</v>
      </c>
      <c r="I418" s="87">
        <v>0</v>
      </c>
      <c r="J418" s="88">
        <v>0</v>
      </c>
      <c r="K418" s="89">
        <v>0</v>
      </c>
      <c r="L418" s="90">
        <v>0</v>
      </c>
      <c r="M418" s="89">
        <v>0</v>
      </c>
      <c r="N418" s="89">
        <v>0</v>
      </c>
      <c r="O418" s="109">
        <f>SUM(Table1[[#This Row],[2022]:[YTD 2024]])</f>
        <v>0</v>
      </c>
      <c r="P418" s="219">
        <f>IFERROR(((Table1[[#This Row],[2023]]-Table1[[#This Row],[2022]])/Table1[[#This Row],[2022]]),0)</f>
        <v>0</v>
      </c>
      <c r="Q418" s="219">
        <f>IFERROR(((Table1[[#This Row],[Volume 2023]]-Table1[[#This Row],[Volume 2022]])/Table1[[#This Row],[Volume 2022]]),0)</f>
        <v>0</v>
      </c>
      <c r="R418" s="219">
        <f>Table1[[#This Row],[YoY growth]]-Table1[[#This Row],[Volume growth]]</f>
        <v>0</v>
      </c>
      <c r="S418" s="46"/>
    </row>
    <row r="419" spans="1:19" hidden="1" x14ac:dyDescent="0.25">
      <c r="A419" s="45"/>
      <c r="B419" s="41" t="s">
        <v>791</v>
      </c>
      <c r="C419" s="39" t="s">
        <v>985</v>
      </c>
      <c r="D419" s="39" t="s">
        <v>1112</v>
      </c>
      <c r="E419" s="42" t="s">
        <v>523</v>
      </c>
      <c r="F419" s="43" t="s">
        <v>9</v>
      </c>
      <c r="G419" s="38" t="s">
        <v>64</v>
      </c>
      <c r="H419" s="79" t="s">
        <v>34</v>
      </c>
      <c r="I419" s="87">
        <v>1.0412999999999999</v>
      </c>
      <c r="J419" s="88">
        <v>0</v>
      </c>
      <c r="K419" s="89">
        <v>0</v>
      </c>
      <c r="L419" s="90">
        <v>23.5031</v>
      </c>
      <c r="M419" s="89">
        <v>0</v>
      </c>
      <c r="N419" s="89">
        <v>0</v>
      </c>
      <c r="O419" s="109">
        <f>SUM(Table1[[#This Row],[2022]:[YTD 2024]])</f>
        <v>1.0412999999999999</v>
      </c>
      <c r="P419" s="219">
        <f>IFERROR(((Table1[[#This Row],[2023]]-Table1[[#This Row],[2022]])/Table1[[#This Row],[2022]]),0)</f>
        <v>-1</v>
      </c>
      <c r="Q419" s="219">
        <f>IFERROR(((Table1[[#This Row],[Volume 2023]]-Table1[[#This Row],[Volume 2022]])/Table1[[#This Row],[Volume 2022]]),0)</f>
        <v>-1</v>
      </c>
      <c r="R419" s="219">
        <f>Table1[[#This Row],[YoY growth]]-Table1[[#This Row],[Volume growth]]</f>
        <v>0</v>
      </c>
      <c r="S419" s="46"/>
    </row>
    <row r="420" spans="1:19" hidden="1" x14ac:dyDescent="0.25">
      <c r="A420" s="45"/>
      <c r="B420" s="41" t="s">
        <v>791</v>
      </c>
      <c r="C420" s="39" t="s">
        <v>985</v>
      </c>
      <c r="D420" s="39" t="s">
        <v>1112</v>
      </c>
      <c r="E420" s="42" t="s">
        <v>524</v>
      </c>
      <c r="F420" s="43" t="s">
        <v>9</v>
      </c>
      <c r="G420" s="38" t="s">
        <v>64</v>
      </c>
      <c r="H420" s="79" t="s">
        <v>34</v>
      </c>
      <c r="I420" s="87">
        <v>3.8100000000000002E-2</v>
      </c>
      <c r="J420" s="88">
        <v>7.4000000000000003E-3</v>
      </c>
      <c r="K420" s="89">
        <v>1.11E-2</v>
      </c>
      <c r="L420" s="90">
        <v>0.67200000000000004</v>
      </c>
      <c r="M420" s="89">
        <v>0.112</v>
      </c>
      <c r="N420" s="89">
        <v>0.16800000000000001</v>
      </c>
      <c r="O420" s="109">
        <f>SUM(Table1[[#This Row],[2022]:[YTD 2024]])</f>
        <v>5.6599999999999998E-2</v>
      </c>
      <c r="P420" s="219">
        <f>IFERROR(((Table1[[#This Row],[2023]]-Table1[[#This Row],[2022]])/Table1[[#This Row],[2022]]),0)</f>
        <v>-0.80577427821522307</v>
      </c>
      <c r="Q420" s="219">
        <f>IFERROR(((Table1[[#This Row],[Volume 2023]]-Table1[[#This Row],[Volume 2022]])/Table1[[#This Row],[Volume 2022]]),0)</f>
        <v>-0.83333333333333337</v>
      </c>
      <c r="R420" s="219">
        <f>Table1[[#This Row],[YoY growth]]-Table1[[#This Row],[Volume growth]]</f>
        <v>2.7559055118110298E-2</v>
      </c>
      <c r="S420" s="46"/>
    </row>
    <row r="421" spans="1:19" hidden="1" x14ac:dyDescent="0.25">
      <c r="A421" s="45"/>
      <c r="B421" s="41" t="s">
        <v>791</v>
      </c>
      <c r="C421" s="39" t="s">
        <v>985</v>
      </c>
      <c r="D421" s="39" t="s">
        <v>1112</v>
      </c>
      <c r="E421" s="42" t="s">
        <v>525</v>
      </c>
      <c r="F421" s="43" t="s">
        <v>9</v>
      </c>
      <c r="G421" s="38" t="s">
        <v>64</v>
      </c>
      <c r="H421" s="79" t="s">
        <v>34</v>
      </c>
      <c r="I421" s="87">
        <v>1.0855999999999999</v>
      </c>
      <c r="J421" s="88">
        <v>0.58120000000000005</v>
      </c>
      <c r="K421" s="89">
        <v>0</v>
      </c>
      <c r="L421" s="90">
        <v>19.170200000000001</v>
      </c>
      <c r="M421" s="89">
        <v>10.2963</v>
      </c>
      <c r="N421" s="89">
        <v>0</v>
      </c>
      <c r="O421" s="109">
        <f>SUM(Table1[[#This Row],[2022]:[YTD 2024]])</f>
        <v>1.6667999999999998</v>
      </c>
      <c r="P421" s="219">
        <f>IFERROR(((Table1[[#This Row],[2023]]-Table1[[#This Row],[2022]])/Table1[[#This Row],[2022]]),0)</f>
        <v>-0.46462785556374347</v>
      </c>
      <c r="Q421" s="219">
        <f>IFERROR(((Table1[[#This Row],[Volume 2023]]-Table1[[#This Row],[Volume 2022]])/Table1[[#This Row],[Volume 2022]]),0)</f>
        <v>-0.462900752209158</v>
      </c>
      <c r="R421" s="219">
        <f>Table1[[#This Row],[YoY growth]]-Table1[[#This Row],[Volume growth]]</f>
        <v>-1.7271033545854797E-3</v>
      </c>
      <c r="S421" s="46"/>
    </row>
    <row r="422" spans="1:19" hidden="1" x14ac:dyDescent="0.25">
      <c r="A422" s="45"/>
      <c r="B422" s="41" t="s">
        <v>791</v>
      </c>
      <c r="C422" s="39" t="s">
        <v>985</v>
      </c>
      <c r="D422" s="39" t="s">
        <v>1112</v>
      </c>
      <c r="E422" s="42" t="s">
        <v>526</v>
      </c>
      <c r="F422" s="43" t="s">
        <v>9</v>
      </c>
      <c r="G422" s="38" t="s">
        <v>64</v>
      </c>
      <c r="H422" s="79" t="s">
        <v>34</v>
      </c>
      <c r="I422" s="87">
        <v>0.72109999999999996</v>
      </c>
      <c r="J422" s="88">
        <v>5.3105000000000002</v>
      </c>
      <c r="K422" s="89">
        <v>0</v>
      </c>
      <c r="L422" s="90">
        <v>13.8162</v>
      </c>
      <c r="M422" s="89">
        <v>130.43450000000001</v>
      </c>
      <c r="N422" s="89">
        <v>0</v>
      </c>
      <c r="O422" s="109">
        <f>SUM(Table1[[#This Row],[2022]:[YTD 2024]])</f>
        <v>6.0316000000000001</v>
      </c>
      <c r="P422" s="219">
        <f>IFERROR(((Table1[[#This Row],[2023]]-Table1[[#This Row],[2022]])/Table1[[#This Row],[2022]]),0)</f>
        <v>6.364443211759812</v>
      </c>
      <c r="Q422" s="219">
        <f>IFERROR(((Table1[[#This Row],[Volume 2023]]-Table1[[#This Row],[Volume 2022]])/Table1[[#This Row],[Volume 2022]]),0)</f>
        <v>8.4406928098898408</v>
      </c>
      <c r="R422" s="219">
        <f>Table1[[#This Row],[YoY growth]]-Table1[[#This Row],[Volume growth]]</f>
        <v>-2.0762495981300289</v>
      </c>
      <c r="S422" s="46"/>
    </row>
    <row r="423" spans="1:19" hidden="1" x14ac:dyDescent="0.25">
      <c r="A423" s="45"/>
      <c r="B423" s="41" t="s">
        <v>791</v>
      </c>
      <c r="C423" s="39" t="s">
        <v>985</v>
      </c>
      <c r="D423" s="39" t="s">
        <v>1112</v>
      </c>
      <c r="E423" s="42" t="s">
        <v>527</v>
      </c>
      <c r="F423" s="43" t="s">
        <v>9</v>
      </c>
      <c r="G423" s="38" t="s">
        <v>64</v>
      </c>
      <c r="H423" s="79" t="s">
        <v>34</v>
      </c>
      <c r="I423" s="87">
        <v>0.80620000000000003</v>
      </c>
      <c r="J423" s="88">
        <v>0</v>
      </c>
      <c r="K423" s="89">
        <v>0</v>
      </c>
      <c r="L423" s="90">
        <v>18.060500000000001</v>
      </c>
      <c r="M423" s="89">
        <v>0</v>
      </c>
      <c r="N423" s="89">
        <v>0</v>
      </c>
      <c r="O423" s="109">
        <f>SUM(Table1[[#This Row],[2022]:[YTD 2024]])</f>
        <v>0.80620000000000003</v>
      </c>
      <c r="P423" s="219">
        <f>IFERROR(((Table1[[#This Row],[2023]]-Table1[[#This Row],[2022]])/Table1[[#This Row],[2022]]),0)</f>
        <v>-1</v>
      </c>
      <c r="Q423" s="219">
        <f>IFERROR(((Table1[[#This Row],[Volume 2023]]-Table1[[#This Row],[Volume 2022]])/Table1[[#This Row],[Volume 2022]]),0)</f>
        <v>-1</v>
      </c>
      <c r="R423" s="219">
        <f>Table1[[#This Row],[YoY growth]]-Table1[[#This Row],[Volume growth]]</f>
        <v>0</v>
      </c>
      <c r="S423" s="46"/>
    </row>
    <row r="424" spans="1:19" hidden="1" x14ac:dyDescent="0.25">
      <c r="A424" s="45"/>
      <c r="B424" s="41" t="s">
        <v>791</v>
      </c>
      <c r="C424" s="39" t="s">
        <v>985</v>
      </c>
      <c r="D424" s="39" t="s">
        <v>1112</v>
      </c>
      <c r="E424" s="42" t="s">
        <v>528</v>
      </c>
      <c r="F424" s="43" t="s">
        <v>9</v>
      </c>
      <c r="G424" s="38" t="s">
        <v>30</v>
      </c>
      <c r="H424" s="79" t="s">
        <v>37</v>
      </c>
      <c r="I424" s="87">
        <v>15.5359</v>
      </c>
      <c r="J424" s="88">
        <v>0.67789999999999995</v>
      </c>
      <c r="K424" s="89">
        <v>0</v>
      </c>
      <c r="L424" s="90">
        <v>345.3125</v>
      </c>
      <c r="M424" s="89">
        <v>13.0631</v>
      </c>
      <c r="N424" s="89">
        <v>0</v>
      </c>
      <c r="O424" s="109">
        <f>SUM(Table1[[#This Row],[2022]:[YTD 2024]])</f>
        <v>16.213799999999999</v>
      </c>
      <c r="P424" s="219">
        <f>IFERROR(((Table1[[#This Row],[2023]]-Table1[[#This Row],[2022]])/Table1[[#This Row],[2022]]),0)</f>
        <v>-0.95636557907813524</v>
      </c>
      <c r="Q424" s="219">
        <f>IFERROR(((Table1[[#This Row],[Volume 2023]]-Table1[[#This Row],[Volume 2022]])/Table1[[#This Row],[Volume 2022]]),0)</f>
        <v>-0.96217020814479637</v>
      </c>
      <c r="R424" s="219">
        <f>Table1[[#This Row],[YoY growth]]-Table1[[#This Row],[Volume growth]]</f>
        <v>5.8046290666611267E-3</v>
      </c>
      <c r="S424" s="46"/>
    </row>
    <row r="425" spans="1:19" hidden="1" x14ac:dyDescent="0.25">
      <c r="A425" s="45"/>
      <c r="B425" s="41" t="s">
        <v>791</v>
      </c>
      <c r="C425" s="39" t="s">
        <v>985</v>
      </c>
      <c r="D425" s="39" t="s">
        <v>1112</v>
      </c>
      <c r="E425" s="42" t="s">
        <v>529</v>
      </c>
      <c r="F425" s="43" t="s">
        <v>9</v>
      </c>
      <c r="G425" s="38" t="s">
        <v>10</v>
      </c>
      <c r="H425" s="79" t="s">
        <v>37</v>
      </c>
      <c r="I425" s="87">
        <v>0.33579999999999999</v>
      </c>
      <c r="J425" s="88">
        <v>0</v>
      </c>
      <c r="K425" s="89">
        <v>0</v>
      </c>
      <c r="L425" s="90">
        <v>9.1472999999999995</v>
      </c>
      <c r="M425" s="89">
        <v>0</v>
      </c>
      <c r="N425" s="89">
        <v>0</v>
      </c>
      <c r="O425" s="109">
        <f>SUM(Table1[[#This Row],[2022]:[YTD 2024]])</f>
        <v>0.33579999999999999</v>
      </c>
      <c r="P425" s="219">
        <f>IFERROR(((Table1[[#This Row],[2023]]-Table1[[#This Row],[2022]])/Table1[[#This Row],[2022]]),0)</f>
        <v>-1</v>
      </c>
      <c r="Q425" s="219">
        <f>IFERROR(((Table1[[#This Row],[Volume 2023]]-Table1[[#This Row],[Volume 2022]])/Table1[[#This Row],[Volume 2022]]),0)</f>
        <v>-1</v>
      </c>
      <c r="R425" s="219">
        <f>Table1[[#This Row],[YoY growth]]-Table1[[#This Row],[Volume growth]]</f>
        <v>0</v>
      </c>
      <c r="S425" s="46"/>
    </row>
    <row r="426" spans="1:19" hidden="1" x14ac:dyDescent="0.25">
      <c r="A426" s="45"/>
      <c r="B426" s="41" t="s">
        <v>791</v>
      </c>
      <c r="C426" s="39" t="s">
        <v>985</v>
      </c>
      <c r="D426" s="39" t="s">
        <v>1112</v>
      </c>
      <c r="E426" s="42" t="s">
        <v>530</v>
      </c>
      <c r="F426" s="43" t="s">
        <v>9</v>
      </c>
      <c r="G426" s="38" t="s">
        <v>10</v>
      </c>
      <c r="H426" s="79" t="s">
        <v>37</v>
      </c>
      <c r="I426" s="87">
        <v>27.901900000000001</v>
      </c>
      <c r="J426" s="88">
        <v>8.1903000000000006</v>
      </c>
      <c r="K426" s="89">
        <v>0.88470000000000004</v>
      </c>
      <c r="L426" s="90">
        <v>618.1096</v>
      </c>
      <c r="M426" s="89">
        <v>185.2071</v>
      </c>
      <c r="N426" s="89">
        <v>18.353999999999999</v>
      </c>
      <c r="O426" s="109">
        <f>SUM(Table1[[#This Row],[2022]:[YTD 2024]])</f>
        <v>36.976900000000008</v>
      </c>
      <c r="P426" s="219">
        <f>IFERROR(((Table1[[#This Row],[2023]]-Table1[[#This Row],[2022]])/Table1[[#This Row],[2022]]),0)</f>
        <v>-0.70646085033635697</v>
      </c>
      <c r="Q426" s="219">
        <f>IFERROR(((Table1[[#This Row],[Volume 2023]]-Table1[[#This Row],[Volume 2022]])/Table1[[#This Row],[Volume 2022]]),0)</f>
        <v>-0.70036527502565893</v>
      </c>
      <c r="R426" s="219">
        <f>Table1[[#This Row],[YoY growth]]-Table1[[#This Row],[Volume growth]]</f>
        <v>-6.0955753106980426E-3</v>
      </c>
      <c r="S426" s="46"/>
    </row>
    <row r="427" spans="1:19" hidden="1" x14ac:dyDescent="0.25">
      <c r="A427" s="45"/>
      <c r="B427" s="41" t="s">
        <v>791</v>
      </c>
      <c r="C427" s="39" t="s">
        <v>985</v>
      </c>
      <c r="D427" s="39" t="s">
        <v>1112</v>
      </c>
      <c r="E427" s="42" t="s">
        <v>531</v>
      </c>
      <c r="F427" s="43" t="s">
        <v>9</v>
      </c>
      <c r="G427" s="38" t="s">
        <v>10</v>
      </c>
      <c r="H427" s="79" t="s">
        <v>37</v>
      </c>
      <c r="I427" s="87">
        <v>2.58E-2</v>
      </c>
      <c r="J427" s="88">
        <v>7.9000000000000008E-3</v>
      </c>
      <c r="K427" s="89">
        <v>0</v>
      </c>
      <c r="L427" s="90">
        <v>0.57599999999999996</v>
      </c>
      <c r="M427" s="89">
        <v>0.38400000000000001</v>
      </c>
      <c r="N427" s="89">
        <v>0</v>
      </c>
      <c r="O427" s="109">
        <f>SUM(Table1[[#This Row],[2022]:[YTD 2024]])</f>
        <v>3.3700000000000001E-2</v>
      </c>
      <c r="P427" s="219">
        <f>IFERROR(((Table1[[#This Row],[2023]]-Table1[[#This Row],[2022]])/Table1[[#This Row],[2022]]),0)</f>
        <v>-0.69379844961240311</v>
      </c>
      <c r="Q427" s="219">
        <f>IFERROR(((Table1[[#This Row],[Volume 2023]]-Table1[[#This Row],[Volume 2022]])/Table1[[#This Row],[Volume 2022]]),0)</f>
        <v>-0.33333333333333326</v>
      </c>
      <c r="R427" s="219">
        <f>Table1[[#This Row],[YoY growth]]-Table1[[#This Row],[Volume growth]]</f>
        <v>-0.36046511627906985</v>
      </c>
      <c r="S427" s="46"/>
    </row>
    <row r="428" spans="1:19" hidden="1" x14ac:dyDescent="0.25">
      <c r="A428" s="45"/>
      <c r="B428" s="41" t="s">
        <v>791</v>
      </c>
      <c r="C428" s="39" t="s">
        <v>985</v>
      </c>
      <c r="D428" s="39" t="s">
        <v>1112</v>
      </c>
      <c r="E428" s="42" t="s">
        <v>532</v>
      </c>
      <c r="F428" s="43" t="s">
        <v>9</v>
      </c>
      <c r="G428" s="38" t="s">
        <v>10</v>
      </c>
      <c r="H428" s="79" t="s">
        <v>37</v>
      </c>
      <c r="I428" s="87">
        <v>0</v>
      </c>
      <c r="J428" s="88">
        <v>0</v>
      </c>
      <c r="K428" s="89">
        <v>0</v>
      </c>
      <c r="L428" s="90">
        <v>0</v>
      </c>
      <c r="M428" s="89">
        <v>0</v>
      </c>
      <c r="N428" s="89">
        <v>0</v>
      </c>
      <c r="O428" s="109">
        <f>SUM(Table1[[#This Row],[2022]:[YTD 2024]])</f>
        <v>0</v>
      </c>
      <c r="P428" s="219">
        <f>IFERROR(((Table1[[#This Row],[2023]]-Table1[[#This Row],[2022]])/Table1[[#This Row],[2022]]),0)</f>
        <v>0</v>
      </c>
      <c r="Q428" s="219">
        <f>IFERROR(((Table1[[#This Row],[Volume 2023]]-Table1[[#This Row],[Volume 2022]])/Table1[[#This Row],[Volume 2022]]),0)</f>
        <v>0</v>
      </c>
      <c r="R428" s="219">
        <f>Table1[[#This Row],[YoY growth]]-Table1[[#This Row],[Volume growth]]</f>
        <v>0</v>
      </c>
      <c r="S428" s="46"/>
    </row>
    <row r="429" spans="1:19" hidden="1" x14ac:dyDescent="0.25">
      <c r="A429" s="45"/>
      <c r="B429" s="41" t="s">
        <v>791</v>
      </c>
      <c r="C429" s="39" t="s">
        <v>985</v>
      </c>
      <c r="D429" s="39" t="s">
        <v>1112</v>
      </c>
      <c r="E429" s="42" t="s">
        <v>533</v>
      </c>
      <c r="F429" s="43" t="s">
        <v>9</v>
      </c>
      <c r="G429" s="38" t="s">
        <v>10</v>
      </c>
      <c r="H429" s="79" t="s">
        <v>37</v>
      </c>
      <c r="I429" s="87">
        <v>0.55289999999999995</v>
      </c>
      <c r="J429" s="88">
        <v>0.47820000000000001</v>
      </c>
      <c r="K429" s="89">
        <v>8.14E-2</v>
      </c>
      <c r="L429" s="90">
        <v>17.2395</v>
      </c>
      <c r="M429" s="89">
        <v>16.416799999999999</v>
      </c>
      <c r="N429" s="89">
        <v>2.5183</v>
      </c>
      <c r="O429" s="109">
        <f>SUM(Table1[[#This Row],[2022]:[YTD 2024]])</f>
        <v>1.1124999999999998</v>
      </c>
      <c r="P429" s="219">
        <f>IFERROR(((Table1[[#This Row],[2023]]-Table1[[#This Row],[2022]])/Table1[[#This Row],[2022]]),0)</f>
        <v>-0.13510580575149203</v>
      </c>
      <c r="Q429" s="219">
        <f>IFERROR(((Table1[[#This Row],[Volume 2023]]-Table1[[#This Row],[Volume 2022]])/Table1[[#This Row],[Volume 2022]]),0)</f>
        <v>-4.7721801676382791E-2</v>
      </c>
      <c r="R429" s="219">
        <f>Table1[[#This Row],[YoY growth]]-Table1[[#This Row],[Volume growth]]</f>
        <v>-8.738400407510924E-2</v>
      </c>
      <c r="S429" s="46"/>
    </row>
    <row r="430" spans="1:19" hidden="1" x14ac:dyDescent="0.25">
      <c r="A430" s="45"/>
      <c r="B430" s="41" t="s">
        <v>791</v>
      </c>
      <c r="C430" s="39" t="s">
        <v>985</v>
      </c>
      <c r="D430" s="39" t="s">
        <v>1112</v>
      </c>
      <c r="E430" s="42" t="s">
        <v>534</v>
      </c>
      <c r="F430" s="43" t="s">
        <v>9</v>
      </c>
      <c r="G430" s="38" t="s">
        <v>10</v>
      </c>
      <c r="H430" s="79" t="s">
        <v>37</v>
      </c>
      <c r="I430" s="87">
        <v>3.53</v>
      </c>
      <c r="J430" s="88">
        <v>1.6247</v>
      </c>
      <c r="K430" s="89">
        <v>0</v>
      </c>
      <c r="L430" s="90">
        <v>92.468000000000004</v>
      </c>
      <c r="M430" s="89">
        <v>38.321599999999997</v>
      </c>
      <c r="N430" s="89">
        <v>0</v>
      </c>
      <c r="O430" s="109">
        <f>SUM(Table1[[#This Row],[2022]:[YTD 2024]])</f>
        <v>5.1547000000000001</v>
      </c>
      <c r="P430" s="219">
        <f>IFERROR(((Table1[[#This Row],[2023]]-Table1[[#This Row],[2022]])/Table1[[#This Row],[2022]]),0)</f>
        <v>-0.53974504249291777</v>
      </c>
      <c r="Q430" s="219">
        <f>IFERROR(((Table1[[#This Row],[Volume 2023]]-Table1[[#This Row],[Volume 2022]])/Table1[[#This Row],[Volume 2022]]),0)</f>
        <v>-0.58556906172946321</v>
      </c>
      <c r="R430" s="219">
        <f>Table1[[#This Row],[YoY growth]]-Table1[[#This Row],[Volume growth]]</f>
        <v>4.5824019236545444E-2</v>
      </c>
      <c r="S430" s="46"/>
    </row>
    <row r="431" spans="1:19" hidden="1" x14ac:dyDescent="0.25">
      <c r="A431" s="45"/>
      <c r="B431" s="41" t="s">
        <v>791</v>
      </c>
      <c r="C431" s="39" t="s">
        <v>985</v>
      </c>
      <c r="D431" s="39" t="s">
        <v>1112</v>
      </c>
      <c r="E431" s="42" t="s">
        <v>535</v>
      </c>
      <c r="F431" s="43" t="s">
        <v>9</v>
      </c>
      <c r="G431" s="38" t="s">
        <v>30</v>
      </c>
      <c r="H431" s="79" t="s">
        <v>37</v>
      </c>
      <c r="I431" s="87">
        <v>0.42930000000000001</v>
      </c>
      <c r="J431" s="88">
        <v>0.67159999999999997</v>
      </c>
      <c r="K431" s="89">
        <v>0</v>
      </c>
      <c r="L431" s="90">
        <v>9.3439999999999994</v>
      </c>
      <c r="M431" s="89">
        <v>12.986599999999999</v>
      </c>
      <c r="N431" s="89">
        <v>0</v>
      </c>
      <c r="O431" s="109">
        <f>SUM(Table1[[#This Row],[2022]:[YTD 2024]])</f>
        <v>1.1009</v>
      </c>
      <c r="P431" s="219">
        <f>IFERROR(((Table1[[#This Row],[2023]]-Table1[[#This Row],[2022]])/Table1[[#This Row],[2022]]),0)</f>
        <v>0.56440717447006739</v>
      </c>
      <c r="Q431" s="219">
        <f>IFERROR(((Table1[[#This Row],[Volume 2023]]-Table1[[#This Row],[Volume 2022]])/Table1[[#This Row],[Volume 2022]]),0)</f>
        <v>0.38983304794520551</v>
      </c>
      <c r="R431" s="219">
        <f>Table1[[#This Row],[YoY growth]]-Table1[[#This Row],[Volume growth]]</f>
        <v>0.17457412652486187</v>
      </c>
      <c r="S431" s="46"/>
    </row>
    <row r="432" spans="1:19" hidden="1" x14ac:dyDescent="0.25">
      <c r="A432" s="45"/>
      <c r="B432" s="41" t="s">
        <v>791</v>
      </c>
      <c r="C432" s="39" t="s">
        <v>985</v>
      </c>
      <c r="D432" s="39" t="s">
        <v>1112</v>
      </c>
      <c r="E432" s="42" t="s">
        <v>536</v>
      </c>
      <c r="F432" s="43" t="s">
        <v>9</v>
      </c>
      <c r="G432" s="38" t="s">
        <v>10</v>
      </c>
      <c r="H432" s="79" t="s">
        <v>37</v>
      </c>
      <c r="I432" s="87">
        <v>0.48170000000000002</v>
      </c>
      <c r="J432" s="88">
        <v>0</v>
      </c>
      <c r="K432" s="89">
        <v>0</v>
      </c>
      <c r="L432" s="90">
        <v>13.007199999999999</v>
      </c>
      <c r="M432" s="89">
        <v>0</v>
      </c>
      <c r="N432" s="89">
        <v>0</v>
      </c>
      <c r="O432" s="109">
        <f>SUM(Table1[[#This Row],[2022]:[YTD 2024]])</f>
        <v>0.48170000000000002</v>
      </c>
      <c r="P432" s="219">
        <f>IFERROR(((Table1[[#This Row],[2023]]-Table1[[#This Row],[2022]])/Table1[[#This Row],[2022]]),0)</f>
        <v>-1</v>
      </c>
      <c r="Q432" s="219">
        <f>IFERROR(((Table1[[#This Row],[Volume 2023]]-Table1[[#This Row],[Volume 2022]])/Table1[[#This Row],[Volume 2022]]),0)</f>
        <v>-1</v>
      </c>
      <c r="R432" s="219">
        <f>Table1[[#This Row],[YoY growth]]-Table1[[#This Row],[Volume growth]]</f>
        <v>0</v>
      </c>
      <c r="S432" s="46"/>
    </row>
    <row r="433" spans="1:19" hidden="1" x14ac:dyDescent="0.25">
      <c r="A433" s="45"/>
      <c r="B433" s="41" t="s">
        <v>791</v>
      </c>
      <c r="C433" s="39" t="s">
        <v>985</v>
      </c>
      <c r="D433" s="39" t="s">
        <v>1112</v>
      </c>
      <c r="E433" s="42" t="s">
        <v>537</v>
      </c>
      <c r="F433" s="43" t="s">
        <v>9</v>
      </c>
      <c r="G433" s="38" t="s">
        <v>10</v>
      </c>
      <c r="H433" s="79" t="s">
        <v>37</v>
      </c>
      <c r="I433" s="87">
        <v>0</v>
      </c>
      <c r="J433" s="88">
        <v>0</v>
      </c>
      <c r="K433" s="89">
        <v>8.9800000000000005E-2</v>
      </c>
      <c r="L433" s="90">
        <v>0</v>
      </c>
      <c r="M433" s="89">
        <v>0</v>
      </c>
      <c r="N433" s="89">
        <v>1.9842</v>
      </c>
      <c r="O433" s="109">
        <f>SUM(Table1[[#This Row],[2022]:[YTD 2024]])</f>
        <v>8.9800000000000005E-2</v>
      </c>
      <c r="P433" s="219">
        <f>IFERROR(((Table1[[#This Row],[2023]]-Table1[[#This Row],[2022]])/Table1[[#This Row],[2022]]),0)</f>
        <v>0</v>
      </c>
      <c r="Q433" s="219">
        <f>IFERROR(((Table1[[#This Row],[Volume 2023]]-Table1[[#This Row],[Volume 2022]])/Table1[[#This Row],[Volume 2022]]),0)</f>
        <v>0</v>
      </c>
      <c r="R433" s="219">
        <f>Table1[[#This Row],[YoY growth]]-Table1[[#This Row],[Volume growth]]</f>
        <v>0</v>
      </c>
      <c r="S433" s="46"/>
    </row>
    <row r="434" spans="1:19" hidden="1" x14ac:dyDescent="0.25">
      <c r="A434" s="45"/>
      <c r="B434" s="41" t="s">
        <v>791</v>
      </c>
      <c r="C434" s="39" t="s">
        <v>985</v>
      </c>
      <c r="D434" s="39" t="s">
        <v>1112</v>
      </c>
      <c r="E434" s="42" t="s">
        <v>538</v>
      </c>
      <c r="F434" s="43" t="s">
        <v>9</v>
      </c>
      <c r="G434" s="38" t="s">
        <v>10</v>
      </c>
      <c r="H434" s="79" t="s">
        <v>37</v>
      </c>
      <c r="I434" s="87">
        <v>0</v>
      </c>
      <c r="J434" s="88">
        <v>0</v>
      </c>
      <c r="K434" s="89">
        <v>0</v>
      </c>
      <c r="L434" s="90">
        <v>0</v>
      </c>
      <c r="M434" s="89">
        <v>0</v>
      </c>
      <c r="N434" s="89">
        <v>0</v>
      </c>
      <c r="O434" s="109">
        <f>SUM(Table1[[#This Row],[2022]:[YTD 2024]])</f>
        <v>0</v>
      </c>
      <c r="P434" s="219">
        <f>IFERROR(((Table1[[#This Row],[2023]]-Table1[[#This Row],[2022]])/Table1[[#This Row],[2022]]),0)</f>
        <v>0</v>
      </c>
      <c r="Q434" s="219">
        <f>IFERROR(((Table1[[#This Row],[Volume 2023]]-Table1[[#This Row],[Volume 2022]])/Table1[[#This Row],[Volume 2022]]),0)</f>
        <v>0</v>
      </c>
      <c r="R434" s="219">
        <f>Table1[[#This Row],[YoY growth]]-Table1[[#This Row],[Volume growth]]</f>
        <v>0</v>
      </c>
      <c r="S434" s="46"/>
    </row>
    <row r="435" spans="1:19" hidden="1" x14ac:dyDescent="0.25">
      <c r="A435" s="45"/>
      <c r="B435" s="41" t="s">
        <v>791</v>
      </c>
      <c r="C435" s="39" t="s">
        <v>985</v>
      </c>
      <c r="D435" s="39" t="s">
        <v>1112</v>
      </c>
      <c r="E435" s="42" t="s">
        <v>539</v>
      </c>
      <c r="F435" s="43" t="s">
        <v>9</v>
      </c>
      <c r="G435" s="38" t="s">
        <v>10</v>
      </c>
      <c r="H435" s="79" t="s">
        <v>37</v>
      </c>
      <c r="I435" s="87">
        <v>0</v>
      </c>
      <c r="J435" s="88">
        <v>0</v>
      </c>
      <c r="K435" s="89">
        <v>0.16889999999999999</v>
      </c>
      <c r="L435" s="90">
        <v>0</v>
      </c>
      <c r="M435" s="89">
        <v>0</v>
      </c>
      <c r="N435" s="89">
        <v>4.3247</v>
      </c>
      <c r="O435" s="109">
        <f>SUM(Table1[[#This Row],[2022]:[YTD 2024]])</f>
        <v>0.16889999999999999</v>
      </c>
      <c r="P435" s="219">
        <f>IFERROR(((Table1[[#This Row],[2023]]-Table1[[#This Row],[2022]])/Table1[[#This Row],[2022]]),0)</f>
        <v>0</v>
      </c>
      <c r="Q435" s="219">
        <f>IFERROR(((Table1[[#This Row],[Volume 2023]]-Table1[[#This Row],[Volume 2022]])/Table1[[#This Row],[Volume 2022]]),0)</f>
        <v>0</v>
      </c>
      <c r="R435" s="219">
        <f>Table1[[#This Row],[YoY growth]]-Table1[[#This Row],[Volume growth]]</f>
        <v>0</v>
      </c>
      <c r="S435" s="46"/>
    </row>
    <row r="436" spans="1:19" hidden="1" x14ac:dyDescent="0.25">
      <c r="A436" s="45"/>
      <c r="B436" s="41" t="s">
        <v>791</v>
      </c>
      <c r="C436" s="39" t="s">
        <v>985</v>
      </c>
      <c r="D436" s="39" t="s">
        <v>1112</v>
      </c>
      <c r="E436" s="42" t="s">
        <v>540</v>
      </c>
      <c r="F436" s="43" t="s">
        <v>9</v>
      </c>
      <c r="G436" s="38" t="s">
        <v>10</v>
      </c>
      <c r="H436" s="79" t="s">
        <v>37</v>
      </c>
      <c r="I436" s="87">
        <v>4.2949000000000002</v>
      </c>
      <c r="J436" s="88">
        <v>0.33839999999999998</v>
      </c>
      <c r="K436" s="89">
        <v>0</v>
      </c>
      <c r="L436" s="90">
        <v>87.926599999999993</v>
      </c>
      <c r="M436" s="89">
        <v>6.2496999999999998</v>
      </c>
      <c r="N436" s="89">
        <v>0</v>
      </c>
      <c r="O436" s="109">
        <f>SUM(Table1[[#This Row],[2022]:[YTD 2024]])</f>
        <v>4.6333000000000002</v>
      </c>
      <c r="P436" s="219">
        <f>IFERROR(((Table1[[#This Row],[2023]]-Table1[[#This Row],[2022]])/Table1[[#This Row],[2022]]),0)</f>
        <v>-0.92120887564320475</v>
      </c>
      <c r="Q436" s="219">
        <f>IFERROR(((Table1[[#This Row],[Volume 2023]]-Table1[[#This Row],[Volume 2022]])/Table1[[#This Row],[Volume 2022]]),0)</f>
        <v>-0.92892139580058819</v>
      </c>
      <c r="R436" s="219">
        <f>Table1[[#This Row],[YoY growth]]-Table1[[#This Row],[Volume growth]]</f>
        <v>7.7125201573834401E-3</v>
      </c>
      <c r="S436" s="46"/>
    </row>
    <row r="437" spans="1:19" hidden="1" x14ac:dyDescent="0.25">
      <c r="A437" s="45"/>
      <c r="B437" s="41" t="s">
        <v>791</v>
      </c>
      <c r="C437" s="39" t="s">
        <v>985</v>
      </c>
      <c r="D437" s="39" t="s">
        <v>1112</v>
      </c>
      <c r="E437" s="42" t="s">
        <v>541</v>
      </c>
      <c r="F437" s="43" t="s">
        <v>9</v>
      </c>
      <c r="G437" s="38" t="s">
        <v>10</v>
      </c>
      <c r="H437" s="79" t="s">
        <v>37</v>
      </c>
      <c r="I437" s="87">
        <v>13.5303</v>
      </c>
      <c r="J437" s="88">
        <v>2.3972000000000002</v>
      </c>
      <c r="K437" s="89">
        <v>0.73670000000000002</v>
      </c>
      <c r="L437" s="90">
        <v>272.4522</v>
      </c>
      <c r="M437" s="89">
        <v>43.2258</v>
      </c>
      <c r="N437" s="89">
        <v>13.669700000000001</v>
      </c>
      <c r="O437" s="109">
        <f>SUM(Table1[[#This Row],[2022]:[YTD 2024]])</f>
        <v>16.664200000000001</v>
      </c>
      <c r="P437" s="219">
        <f>IFERROR(((Table1[[#This Row],[2023]]-Table1[[#This Row],[2022]])/Table1[[#This Row],[2022]]),0)</f>
        <v>-0.82282728394787996</v>
      </c>
      <c r="Q437" s="219">
        <f>IFERROR(((Table1[[#This Row],[Volume 2023]]-Table1[[#This Row],[Volume 2022]])/Table1[[#This Row],[Volume 2022]]),0)</f>
        <v>-0.84134538095122746</v>
      </c>
      <c r="R437" s="219">
        <f>Table1[[#This Row],[YoY growth]]-Table1[[#This Row],[Volume growth]]</f>
        <v>1.85180970033475E-2</v>
      </c>
      <c r="S437" s="46"/>
    </row>
    <row r="438" spans="1:19" hidden="1" x14ac:dyDescent="0.25">
      <c r="A438" s="45"/>
      <c r="B438" s="41" t="s">
        <v>791</v>
      </c>
      <c r="C438" s="39" t="s">
        <v>985</v>
      </c>
      <c r="D438" s="39" t="s">
        <v>1112</v>
      </c>
      <c r="E438" s="42" t="s">
        <v>542</v>
      </c>
      <c r="F438" s="43" t="s">
        <v>9</v>
      </c>
      <c r="G438" s="38" t="s">
        <v>10</v>
      </c>
      <c r="H438" s="79" t="s">
        <v>37</v>
      </c>
      <c r="I438" s="87">
        <v>8.9724000000000004</v>
      </c>
      <c r="J438" s="88">
        <v>2.3250000000000002</v>
      </c>
      <c r="K438" s="89">
        <v>9.6000000000000002E-2</v>
      </c>
      <c r="L438" s="90">
        <v>202.00700000000001</v>
      </c>
      <c r="M438" s="89">
        <v>55.267699999999998</v>
      </c>
      <c r="N438" s="89">
        <v>2.0488</v>
      </c>
      <c r="O438" s="109">
        <f>SUM(Table1[[#This Row],[2022]:[YTD 2024]])</f>
        <v>11.3934</v>
      </c>
      <c r="P438" s="219">
        <f>IFERROR(((Table1[[#This Row],[2023]]-Table1[[#This Row],[2022]])/Table1[[#This Row],[2022]]),0)</f>
        <v>-0.74087200748963489</v>
      </c>
      <c r="Q438" s="219">
        <f>IFERROR(((Table1[[#This Row],[Volume 2023]]-Table1[[#This Row],[Volume 2022]])/Table1[[#This Row],[Volume 2022]]),0)</f>
        <v>-0.72640700569782235</v>
      </c>
      <c r="R438" s="219">
        <f>Table1[[#This Row],[YoY growth]]-Table1[[#This Row],[Volume growth]]</f>
        <v>-1.4465001791812537E-2</v>
      </c>
      <c r="S438" s="46"/>
    </row>
    <row r="439" spans="1:19" hidden="1" x14ac:dyDescent="0.25">
      <c r="A439" s="45"/>
      <c r="B439" s="41" t="s">
        <v>791</v>
      </c>
      <c r="C439" s="39" t="s">
        <v>985</v>
      </c>
      <c r="D439" s="39" t="s">
        <v>1112</v>
      </c>
      <c r="E439" s="42" t="s">
        <v>543</v>
      </c>
      <c r="F439" s="43" t="s">
        <v>9</v>
      </c>
      <c r="G439" s="38" t="s">
        <v>10</v>
      </c>
      <c r="H439" s="79" t="s">
        <v>37</v>
      </c>
      <c r="I439" s="87">
        <v>0.24310000000000001</v>
      </c>
      <c r="J439" s="88">
        <v>0.1048</v>
      </c>
      <c r="K439" s="89">
        <v>0</v>
      </c>
      <c r="L439" s="90">
        <v>5.5039999999999996</v>
      </c>
      <c r="M439" s="89">
        <v>2.3589000000000002</v>
      </c>
      <c r="N439" s="89">
        <v>0</v>
      </c>
      <c r="O439" s="109">
        <f>SUM(Table1[[#This Row],[2022]:[YTD 2024]])</f>
        <v>0.34789999999999999</v>
      </c>
      <c r="P439" s="219">
        <f>IFERROR(((Table1[[#This Row],[2023]]-Table1[[#This Row],[2022]])/Table1[[#This Row],[2022]]),0)</f>
        <v>-0.5689016865487454</v>
      </c>
      <c r="Q439" s="219">
        <f>IFERROR(((Table1[[#This Row],[Volume 2023]]-Table1[[#This Row],[Volume 2022]])/Table1[[#This Row],[Volume 2022]]),0)</f>
        <v>-0.57142078488372083</v>
      </c>
      <c r="R439" s="219">
        <f>Table1[[#This Row],[YoY growth]]-Table1[[#This Row],[Volume growth]]</f>
        <v>2.5190983349754337E-3</v>
      </c>
      <c r="S439" s="46"/>
    </row>
    <row r="440" spans="1:19" hidden="1" x14ac:dyDescent="0.25">
      <c r="A440" s="45"/>
      <c r="B440" s="41" t="s">
        <v>791</v>
      </c>
      <c r="C440" s="39" t="s">
        <v>985</v>
      </c>
      <c r="D440" s="39" t="s">
        <v>1112</v>
      </c>
      <c r="E440" s="42" t="s">
        <v>544</v>
      </c>
      <c r="F440" s="43" t="s">
        <v>9</v>
      </c>
      <c r="G440" s="38" t="s">
        <v>10</v>
      </c>
      <c r="H440" s="79" t="s">
        <v>37</v>
      </c>
      <c r="I440" s="87">
        <v>0</v>
      </c>
      <c r="J440" s="88">
        <v>0</v>
      </c>
      <c r="K440" s="89">
        <v>0</v>
      </c>
      <c r="L440" s="90">
        <v>0</v>
      </c>
      <c r="M440" s="89">
        <v>0</v>
      </c>
      <c r="N440" s="89">
        <v>0</v>
      </c>
      <c r="O440" s="109">
        <f>SUM(Table1[[#This Row],[2022]:[YTD 2024]])</f>
        <v>0</v>
      </c>
      <c r="P440" s="219">
        <f>IFERROR(((Table1[[#This Row],[2023]]-Table1[[#This Row],[2022]])/Table1[[#This Row],[2022]]),0)</f>
        <v>0</v>
      </c>
      <c r="Q440" s="219">
        <f>IFERROR(((Table1[[#This Row],[Volume 2023]]-Table1[[#This Row],[Volume 2022]])/Table1[[#This Row],[Volume 2022]]),0)</f>
        <v>0</v>
      </c>
      <c r="R440" s="219">
        <f>Table1[[#This Row],[YoY growth]]-Table1[[#This Row],[Volume growth]]</f>
        <v>0</v>
      </c>
      <c r="S440" s="46"/>
    </row>
    <row r="441" spans="1:19" hidden="1" x14ac:dyDescent="0.25">
      <c r="A441" s="45"/>
      <c r="B441" s="41" t="s">
        <v>791</v>
      </c>
      <c r="C441" s="39" t="s">
        <v>985</v>
      </c>
      <c r="D441" s="39" t="s">
        <v>1112</v>
      </c>
      <c r="E441" s="42" t="s">
        <v>545</v>
      </c>
      <c r="F441" s="43" t="s">
        <v>9</v>
      </c>
      <c r="G441" s="38" t="s">
        <v>10</v>
      </c>
      <c r="H441" s="79" t="s">
        <v>37</v>
      </c>
      <c r="I441" s="87">
        <v>0</v>
      </c>
      <c r="J441" s="88">
        <v>0</v>
      </c>
      <c r="K441" s="89">
        <v>0</v>
      </c>
      <c r="L441" s="90">
        <v>0</v>
      </c>
      <c r="M441" s="89">
        <v>0</v>
      </c>
      <c r="N441" s="89">
        <v>0</v>
      </c>
      <c r="O441" s="109">
        <f>SUM(Table1[[#This Row],[2022]:[YTD 2024]])</f>
        <v>0</v>
      </c>
      <c r="P441" s="219">
        <f>IFERROR(((Table1[[#This Row],[2023]]-Table1[[#This Row],[2022]])/Table1[[#This Row],[2022]]),0)</f>
        <v>0</v>
      </c>
      <c r="Q441" s="219">
        <f>IFERROR(((Table1[[#This Row],[Volume 2023]]-Table1[[#This Row],[Volume 2022]])/Table1[[#This Row],[Volume 2022]]),0)</f>
        <v>0</v>
      </c>
      <c r="R441" s="219">
        <f>Table1[[#This Row],[YoY growth]]-Table1[[#This Row],[Volume growth]]</f>
        <v>0</v>
      </c>
      <c r="S441" s="46"/>
    </row>
    <row r="442" spans="1:19" x14ac:dyDescent="0.25">
      <c r="A442" s="45"/>
      <c r="B442" s="41" t="s">
        <v>744</v>
      </c>
      <c r="C442" s="39" t="s">
        <v>924</v>
      </c>
      <c r="D442" s="39" t="s">
        <v>1062</v>
      </c>
      <c r="E442" s="42" t="s">
        <v>203</v>
      </c>
      <c r="F442" s="43" t="s">
        <v>9</v>
      </c>
      <c r="G442" s="38" t="s">
        <v>20</v>
      </c>
      <c r="H442" s="79" t="s">
        <v>42</v>
      </c>
      <c r="I442" s="87">
        <v>225.05289999999999</v>
      </c>
      <c r="J442" s="88">
        <v>160.9256</v>
      </c>
      <c r="K442" s="89">
        <v>66.089799999999997</v>
      </c>
      <c r="L442" s="90">
        <v>14096.87</v>
      </c>
      <c r="M442" s="89">
        <v>9843.2201000000005</v>
      </c>
      <c r="N442" s="89">
        <v>3643.3836000000001</v>
      </c>
      <c r="O442" s="109">
        <f>SUM(Table1[[#This Row],[2022]:[YTD 2024]])</f>
        <v>452.06830000000002</v>
      </c>
      <c r="P442" s="219">
        <f>IFERROR(((Table1[[#This Row],[2023]]-Table1[[#This Row],[2022]])/Table1[[#This Row],[2022]]),0)</f>
        <v>-0.28494322890307122</v>
      </c>
      <c r="Q442" s="219">
        <f>IFERROR(((Table1[[#This Row],[Volume 2023]]-Table1[[#This Row],[Volume 2022]])/Table1[[#This Row],[Volume 2022]]),0)</f>
        <v>-0.30174428082262233</v>
      </c>
      <c r="R442" s="219">
        <f>Table1[[#This Row],[YoY growth]]-Table1[[#This Row],[Volume growth]]</f>
        <v>1.6801051919551113E-2</v>
      </c>
      <c r="S442" s="46"/>
    </row>
    <row r="443" spans="1:19" x14ac:dyDescent="0.25">
      <c r="A443" s="45"/>
      <c r="B443" s="41" t="s">
        <v>714</v>
      </c>
      <c r="C443" s="39" t="s">
        <v>881</v>
      </c>
      <c r="D443" s="39" t="s">
        <v>1034</v>
      </c>
      <c r="E443" s="42" t="s">
        <v>22</v>
      </c>
      <c r="F443" s="43" t="s">
        <v>9</v>
      </c>
      <c r="G443" s="38" t="s">
        <v>20</v>
      </c>
      <c r="H443" s="79" t="s">
        <v>21</v>
      </c>
      <c r="I443" s="87">
        <v>165.22800000000001</v>
      </c>
      <c r="J443" s="88">
        <v>172.68430000000001</v>
      </c>
      <c r="K443" s="89">
        <v>91.1357</v>
      </c>
      <c r="L443" s="90">
        <v>5930.9056</v>
      </c>
      <c r="M443" s="89">
        <v>6183.6273000000001</v>
      </c>
      <c r="N443" s="89">
        <v>3125.7986999999998</v>
      </c>
      <c r="O443" s="109">
        <f>SUM(Table1[[#This Row],[2022]:[YTD 2024]])</f>
        <v>429.048</v>
      </c>
      <c r="P443" s="219">
        <f>IFERROR(((Table1[[#This Row],[2023]]-Table1[[#This Row],[2022]])/Table1[[#This Row],[2022]]),0)</f>
        <v>4.5127339191904509E-2</v>
      </c>
      <c r="Q443" s="219">
        <f>IFERROR(((Table1[[#This Row],[Volume 2023]]-Table1[[#This Row],[Volume 2022]])/Table1[[#This Row],[Volume 2022]]),0)</f>
        <v>4.2610980016272733E-2</v>
      </c>
      <c r="R443" s="219">
        <f>Table1[[#This Row],[YoY growth]]-Table1[[#This Row],[Volume growth]]</f>
        <v>2.5163591756317757E-3</v>
      </c>
      <c r="S443" s="46"/>
    </row>
    <row r="444" spans="1:19" hidden="1" x14ac:dyDescent="0.25">
      <c r="A444" s="45"/>
      <c r="B444" s="41" t="s">
        <v>791</v>
      </c>
      <c r="C444" s="39" t="s">
        <v>985</v>
      </c>
      <c r="D444" s="39" t="s">
        <v>1112</v>
      </c>
      <c r="E444" s="42" t="s">
        <v>548</v>
      </c>
      <c r="F444" s="43" t="s">
        <v>9</v>
      </c>
      <c r="G444" s="38" t="s">
        <v>30</v>
      </c>
      <c r="H444" s="79">
        <v>42</v>
      </c>
      <c r="I444" s="87">
        <v>0</v>
      </c>
      <c r="J444" s="88">
        <v>0</v>
      </c>
      <c r="K444" s="89">
        <v>4.2099999999999999E-2</v>
      </c>
      <c r="L444" s="90">
        <v>0</v>
      </c>
      <c r="M444" s="89">
        <v>0</v>
      </c>
      <c r="N444" s="89">
        <v>0.45</v>
      </c>
      <c r="O444" s="109">
        <f>SUM(Table1[[#This Row],[2022]:[YTD 2024]])</f>
        <v>4.2099999999999999E-2</v>
      </c>
      <c r="P444" s="219">
        <f>IFERROR(((Table1[[#This Row],[2023]]-Table1[[#This Row],[2022]])/Table1[[#This Row],[2022]]),0)</f>
        <v>0</v>
      </c>
      <c r="Q444" s="219">
        <f>IFERROR(((Table1[[#This Row],[Volume 2023]]-Table1[[#This Row],[Volume 2022]])/Table1[[#This Row],[Volume 2022]]),0)</f>
        <v>0</v>
      </c>
      <c r="R444" s="219">
        <f>Table1[[#This Row],[YoY growth]]-Table1[[#This Row],[Volume growth]]</f>
        <v>0</v>
      </c>
      <c r="S444" s="46"/>
    </row>
    <row r="445" spans="1:19" hidden="1" x14ac:dyDescent="0.25">
      <c r="A445" s="45"/>
      <c r="B445" s="41" t="s">
        <v>791</v>
      </c>
      <c r="C445" s="39" t="s">
        <v>985</v>
      </c>
      <c r="D445" s="39" t="s">
        <v>1112</v>
      </c>
      <c r="E445" s="42" t="s">
        <v>550</v>
      </c>
      <c r="F445" s="43" t="s">
        <v>9</v>
      </c>
      <c r="G445" s="38" t="s">
        <v>30</v>
      </c>
      <c r="H445" s="79" t="s">
        <v>1195</v>
      </c>
      <c r="I445" s="87">
        <v>0</v>
      </c>
      <c r="J445" s="88">
        <v>0</v>
      </c>
      <c r="K445" s="89">
        <v>0.3543</v>
      </c>
      <c r="L445" s="90">
        <v>0</v>
      </c>
      <c r="M445" s="89">
        <v>0</v>
      </c>
      <c r="N445" s="89">
        <v>4.1279000000000003</v>
      </c>
      <c r="O445" s="109">
        <f>SUM(Table1[[#This Row],[2022]:[YTD 2024]])</f>
        <v>0.3543</v>
      </c>
      <c r="P445" s="219">
        <f>IFERROR(((Table1[[#This Row],[2023]]-Table1[[#This Row],[2022]])/Table1[[#This Row],[2022]]),0)</f>
        <v>0</v>
      </c>
      <c r="Q445" s="219">
        <f>IFERROR(((Table1[[#This Row],[Volume 2023]]-Table1[[#This Row],[Volume 2022]])/Table1[[#This Row],[Volume 2022]]),0)</f>
        <v>0</v>
      </c>
      <c r="R445" s="219">
        <f>Table1[[#This Row],[YoY growth]]-Table1[[#This Row],[Volume growth]]</f>
        <v>0</v>
      </c>
      <c r="S445" s="46"/>
    </row>
    <row r="446" spans="1:19" hidden="1" x14ac:dyDescent="0.25">
      <c r="A446" s="45"/>
      <c r="B446" s="41" t="s">
        <v>791</v>
      </c>
      <c r="C446" s="39" t="s">
        <v>985</v>
      </c>
      <c r="D446" s="39" t="s">
        <v>1112</v>
      </c>
      <c r="E446" s="42" t="s">
        <v>551</v>
      </c>
      <c r="F446" s="43" t="s">
        <v>9</v>
      </c>
      <c r="G446" s="38" t="s">
        <v>30</v>
      </c>
      <c r="H446" s="79" t="s">
        <v>1195</v>
      </c>
      <c r="I446" s="87">
        <v>9.0039999999999996</v>
      </c>
      <c r="J446" s="88">
        <v>27.005199999999999</v>
      </c>
      <c r="K446" s="89">
        <v>7.3737000000000004</v>
      </c>
      <c r="L446" s="90">
        <v>168.55369999999999</v>
      </c>
      <c r="M446" s="89">
        <v>470.04379999999998</v>
      </c>
      <c r="N446" s="89">
        <v>117.492</v>
      </c>
      <c r="O446" s="109">
        <f>SUM(Table1[[#This Row],[2022]:[YTD 2024]])</f>
        <v>43.382899999999999</v>
      </c>
      <c r="P446" s="219">
        <f>IFERROR(((Table1[[#This Row],[2023]]-Table1[[#This Row],[2022]])/Table1[[#This Row],[2022]]),0)</f>
        <v>1.9992447800977342</v>
      </c>
      <c r="Q446" s="219">
        <f>IFERROR(((Table1[[#This Row],[Volume 2023]]-Table1[[#This Row],[Volume 2022]])/Table1[[#This Row],[Volume 2022]]),0)</f>
        <v>1.7886887087023304</v>
      </c>
      <c r="R446" s="219">
        <f>Table1[[#This Row],[YoY growth]]-Table1[[#This Row],[Volume growth]]</f>
        <v>0.21055607139540378</v>
      </c>
      <c r="S446" s="46"/>
    </row>
    <row r="447" spans="1:19" hidden="1" x14ac:dyDescent="0.25">
      <c r="A447" s="45"/>
      <c r="B447" s="41" t="s">
        <v>791</v>
      </c>
      <c r="C447" s="39" t="s">
        <v>985</v>
      </c>
      <c r="D447" s="39" t="s">
        <v>1112</v>
      </c>
      <c r="E447" s="42" t="s">
        <v>552</v>
      </c>
      <c r="F447" s="43" t="s">
        <v>9</v>
      </c>
      <c r="G447" s="38" t="s">
        <v>30</v>
      </c>
      <c r="H447" s="79" t="s">
        <v>1195</v>
      </c>
      <c r="I447" s="87">
        <v>9.5648</v>
      </c>
      <c r="J447" s="88">
        <v>36.633899999999997</v>
      </c>
      <c r="K447" s="89">
        <v>14.959</v>
      </c>
      <c r="L447" s="90">
        <v>136.73179999999999</v>
      </c>
      <c r="M447" s="89">
        <v>512.46489999999994</v>
      </c>
      <c r="N447" s="89">
        <v>178.05029999999999</v>
      </c>
      <c r="O447" s="109">
        <f>SUM(Table1[[#This Row],[2022]:[YTD 2024]])</f>
        <v>61.157699999999991</v>
      </c>
      <c r="P447" s="219">
        <f>IFERROR(((Table1[[#This Row],[2023]]-Table1[[#This Row],[2022]])/Table1[[#This Row],[2022]]),0)</f>
        <v>2.8300748578119772</v>
      </c>
      <c r="Q447" s="219">
        <f>IFERROR(((Table1[[#This Row],[Volume 2023]]-Table1[[#This Row],[Volume 2022]])/Table1[[#This Row],[Volume 2022]]),0)</f>
        <v>2.747956949297822</v>
      </c>
      <c r="R447" s="219">
        <f>Table1[[#This Row],[YoY growth]]-Table1[[#This Row],[Volume growth]]</f>
        <v>8.2117908514155236E-2</v>
      </c>
      <c r="S447" s="46"/>
    </row>
    <row r="448" spans="1:19" hidden="1" x14ac:dyDescent="0.25">
      <c r="A448" s="45"/>
      <c r="B448" s="41" t="s">
        <v>791</v>
      </c>
      <c r="C448" s="39" t="s">
        <v>985</v>
      </c>
      <c r="D448" s="39" t="s">
        <v>1112</v>
      </c>
      <c r="E448" s="42" t="s">
        <v>553</v>
      </c>
      <c r="F448" s="43" t="s">
        <v>9</v>
      </c>
      <c r="G448" s="38" t="s">
        <v>10</v>
      </c>
      <c r="H448" s="79" t="s">
        <v>42</v>
      </c>
      <c r="I448" s="87">
        <v>0.18679999999999999</v>
      </c>
      <c r="J448" s="88">
        <v>0</v>
      </c>
      <c r="K448" s="89">
        <v>0</v>
      </c>
      <c r="L448" s="90">
        <v>4.4957000000000003</v>
      </c>
      <c r="M448" s="89">
        <v>0</v>
      </c>
      <c r="N448" s="89">
        <v>0</v>
      </c>
      <c r="O448" s="109">
        <f>SUM(Table1[[#This Row],[2022]:[YTD 2024]])</f>
        <v>0.18679999999999999</v>
      </c>
      <c r="P448" s="219">
        <f>IFERROR(((Table1[[#This Row],[2023]]-Table1[[#This Row],[2022]])/Table1[[#This Row],[2022]]),0)</f>
        <v>-1</v>
      </c>
      <c r="Q448" s="219">
        <f>IFERROR(((Table1[[#This Row],[Volume 2023]]-Table1[[#This Row],[Volume 2022]])/Table1[[#This Row],[Volume 2022]]),0)</f>
        <v>-1</v>
      </c>
      <c r="R448" s="219">
        <f>Table1[[#This Row],[YoY growth]]-Table1[[#This Row],[Volume growth]]</f>
        <v>0</v>
      </c>
      <c r="S448" s="46"/>
    </row>
    <row r="449" spans="1:19" hidden="1" x14ac:dyDescent="0.25">
      <c r="A449" s="45"/>
      <c r="B449" s="41" t="s">
        <v>791</v>
      </c>
      <c r="C449" s="39" t="s">
        <v>985</v>
      </c>
      <c r="D449" s="39" t="s">
        <v>1112</v>
      </c>
      <c r="E449" s="42" t="s">
        <v>554</v>
      </c>
      <c r="F449" s="43" t="s">
        <v>555</v>
      </c>
      <c r="G449" s="38" t="s">
        <v>64</v>
      </c>
      <c r="H449" s="79" t="s">
        <v>34</v>
      </c>
      <c r="I449" s="87">
        <v>0.2319</v>
      </c>
      <c r="J449" s="88">
        <v>0</v>
      </c>
      <c r="K449" s="89">
        <v>0</v>
      </c>
      <c r="L449" s="90">
        <v>3.4005999999999998</v>
      </c>
      <c r="M449" s="89">
        <v>0</v>
      </c>
      <c r="N449" s="89">
        <v>0</v>
      </c>
      <c r="O449" s="109">
        <f>SUM(Table1[[#This Row],[2022]:[YTD 2024]])</f>
        <v>0.2319</v>
      </c>
      <c r="P449" s="219">
        <f>IFERROR(((Table1[[#This Row],[2023]]-Table1[[#This Row],[2022]])/Table1[[#This Row],[2022]]),0)</f>
        <v>-1</v>
      </c>
      <c r="Q449" s="219">
        <f>IFERROR(((Table1[[#This Row],[Volume 2023]]-Table1[[#This Row],[Volume 2022]])/Table1[[#This Row],[Volume 2022]]),0)</f>
        <v>-1</v>
      </c>
      <c r="R449" s="219">
        <f>Table1[[#This Row],[YoY growth]]-Table1[[#This Row],[Volume growth]]</f>
        <v>0</v>
      </c>
      <c r="S449" s="46"/>
    </row>
    <row r="450" spans="1:19" hidden="1" x14ac:dyDescent="0.25">
      <c r="A450" s="45"/>
      <c r="B450" s="41" t="s">
        <v>791</v>
      </c>
      <c r="C450" s="39" t="s">
        <v>985</v>
      </c>
      <c r="D450" s="39" t="s">
        <v>1112</v>
      </c>
      <c r="E450" s="42" t="s">
        <v>557</v>
      </c>
      <c r="F450" s="43" t="s">
        <v>9</v>
      </c>
      <c r="G450" s="38" t="s">
        <v>64</v>
      </c>
      <c r="H450" s="79" t="s">
        <v>34</v>
      </c>
      <c r="I450" s="87">
        <v>0.2671</v>
      </c>
      <c r="J450" s="88">
        <v>0</v>
      </c>
      <c r="K450" s="89">
        <v>0</v>
      </c>
      <c r="L450" s="90">
        <v>5.0296000000000003</v>
      </c>
      <c r="M450" s="89">
        <v>0</v>
      </c>
      <c r="N450" s="89">
        <v>0</v>
      </c>
      <c r="O450" s="109">
        <f>SUM(Table1[[#This Row],[2022]:[YTD 2024]])</f>
        <v>0.2671</v>
      </c>
      <c r="P450" s="219">
        <f>IFERROR(((Table1[[#This Row],[2023]]-Table1[[#This Row],[2022]])/Table1[[#This Row],[2022]]),0)</f>
        <v>-1</v>
      </c>
      <c r="Q450" s="219">
        <f>IFERROR(((Table1[[#This Row],[Volume 2023]]-Table1[[#This Row],[Volume 2022]])/Table1[[#This Row],[Volume 2022]]),0)</f>
        <v>-1</v>
      </c>
      <c r="R450" s="219">
        <f>Table1[[#This Row],[YoY growth]]-Table1[[#This Row],[Volume growth]]</f>
        <v>0</v>
      </c>
      <c r="S450" s="46"/>
    </row>
    <row r="451" spans="1:19" hidden="1" x14ac:dyDescent="0.25">
      <c r="A451" s="45"/>
      <c r="B451" s="41" t="s">
        <v>791</v>
      </c>
      <c r="C451" s="39" t="s">
        <v>986</v>
      </c>
      <c r="D451" s="39" t="s">
        <v>1112</v>
      </c>
      <c r="E451" s="42" t="s">
        <v>825</v>
      </c>
      <c r="F451" s="43" t="s">
        <v>9</v>
      </c>
      <c r="G451" s="38" t="s">
        <v>10</v>
      </c>
      <c r="H451" s="79" t="s">
        <v>37</v>
      </c>
      <c r="I451" s="87">
        <v>0.10589999999999999</v>
      </c>
      <c r="J451" s="88">
        <v>1.12E-2</v>
      </c>
      <c r="K451" s="89">
        <v>0</v>
      </c>
      <c r="L451" s="90">
        <v>2.2591999999999999</v>
      </c>
      <c r="M451" s="89">
        <v>0.2389</v>
      </c>
      <c r="N451" s="89">
        <v>0</v>
      </c>
      <c r="O451" s="109">
        <f>SUM(Table1[[#This Row],[2022]:[YTD 2024]])</f>
        <v>0.1171</v>
      </c>
      <c r="P451" s="219">
        <f>IFERROR(((Table1[[#This Row],[2023]]-Table1[[#This Row],[2022]])/Table1[[#This Row],[2022]]),0)</f>
        <v>-0.89423984891406982</v>
      </c>
      <c r="Q451" s="219">
        <f>IFERROR(((Table1[[#This Row],[Volume 2023]]-Table1[[#This Row],[Volume 2022]])/Table1[[#This Row],[Volume 2022]]),0)</f>
        <v>-0.89425460339943341</v>
      </c>
      <c r="R451" s="219">
        <f>Table1[[#This Row],[YoY growth]]-Table1[[#This Row],[Volume growth]]</f>
        <v>1.4754485363588365E-5</v>
      </c>
      <c r="S451" s="46"/>
    </row>
    <row r="452" spans="1:19" hidden="1" x14ac:dyDescent="0.25">
      <c r="A452" s="45"/>
      <c r="B452" s="41" t="s">
        <v>792</v>
      </c>
      <c r="C452" s="39" t="s">
        <v>987</v>
      </c>
      <c r="D452" s="39" t="s">
        <v>1113</v>
      </c>
      <c r="E452" s="42" t="s">
        <v>559</v>
      </c>
      <c r="F452" s="43" t="s">
        <v>9</v>
      </c>
      <c r="G452" s="38" t="s">
        <v>249</v>
      </c>
      <c r="H452" s="79" t="s">
        <v>103</v>
      </c>
      <c r="I452" s="87">
        <v>2.1598999999999999</v>
      </c>
      <c r="J452" s="88">
        <v>5.1025</v>
      </c>
      <c r="K452" s="89">
        <v>6.3079000000000001</v>
      </c>
      <c r="L452" s="90">
        <v>36.4</v>
      </c>
      <c r="M452" s="89">
        <v>77.862799999999993</v>
      </c>
      <c r="N452" s="89">
        <v>91.042100000000005</v>
      </c>
      <c r="O452" s="109">
        <f>SUM(Table1[[#This Row],[2022]:[YTD 2024]])</f>
        <v>13.5703</v>
      </c>
      <c r="P452" s="219">
        <f>IFERROR(((Table1[[#This Row],[2023]]-Table1[[#This Row],[2022]])/Table1[[#This Row],[2022]]),0)</f>
        <v>1.3623778878651791</v>
      </c>
      <c r="Q452" s="219">
        <f>IFERROR(((Table1[[#This Row],[Volume 2023]]-Table1[[#This Row],[Volume 2022]])/Table1[[#This Row],[Volume 2022]]),0)</f>
        <v>1.139087912087912</v>
      </c>
      <c r="R452" s="219">
        <f>Table1[[#This Row],[YoY growth]]-Table1[[#This Row],[Volume growth]]</f>
        <v>0.22328997577726706</v>
      </c>
      <c r="S452" s="46"/>
    </row>
    <row r="453" spans="1:19" hidden="1" x14ac:dyDescent="0.25">
      <c r="A453" s="45"/>
      <c r="B453" s="41" t="s">
        <v>792</v>
      </c>
      <c r="C453" s="39" t="s">
        <v>987</v>
      </c>
      <c r="D453" s="39" t="s">
        <v>1113</v>
      </c>
      <c r="E453" s="42" t="s">
        <v>560</v>
      </c>
      <c r="F453" s="43" t="s">
        <v>9</v>
      </c>
      <c r="G453" s="38" t="s">
        <v>249</v>
      </c>
      <c r="H453" s="79" t="s">
        <v>103</v>
      </c>
      <c r="I453" s="87">
        <v>10.1408</v>
      </c>
      <c r="J453" s="88">
        <v>7.4416000000000002</v>
      </c>
      <c r="K453" s="89">
        <v>2.3571</v>
      </c>
      <c r="L453" s="90">
        <v>91.191500000000005</v>
      </c>
      <c r="M453" s="89">
        <v>64.807599999999994</v>
      </c>
      <c r="N453" s="89">
        <v>19.349299999999999</v>
      </c>
      <c r="O453" s="109">
        <f>SUM(Table1[[#This Row],[2022]:[YTD 2024]])</f>
        <v>19.939499999999999</v>
      </c>
      <c r="P453" s="219">
        <f>IFERROR(((Table1[[#This Row],[2023]]-Table1[[#This Row],[2022]])/Table1[[#This Row],[2022]]),0)</f>
        <v>-0.26617229409908488</v>
      </c>
      <c r="Q453" s="219">
        <f>IFERROR(((Table1[[#This Row],[Volume 2023]]-Table1[[#This Row],[Volume 2022]])/Table1[[#This Row],[Volume 2022]]),0)</f>
        <v>-0.28932411463787755</v>
      </c>
      <c r="R453" s="219">
        <f>Table1[[#This Row],[YoY growth]]-Table1[[#This Row],[Volume growth]]</f>
        <v>2.3151820538792667E-2</v>
      </c>
      <c r="S453" s="46"/>
    </row>
    <row r="454" spans="1:19" hidden="1" x14ac:dyDescent="0.25">
      <c r="A454" s="45"/>
      <c r="B454" s="41" t="s">
        <v>793</v>
      </c>
      <c r="C454" s="39" t="s">
        <v>988</v>
      </c>
      <c r="D454" s="39" t="s">
        <v>1114</v>
      </c>
      <c r="E454" s="42" t="s">
        <v>562</v>
      </c>
      <c r="F454" s="43" t="s">
        <v>9</v>
      </c>
      <c r="G454" s="38" t="s">
        <v>20</v>
      </c>
      <c r="H454" s="79" t="s">
        <v>42</v>
      </c>
      <c r="I454" s="87">
        <v>0</v>
      </c>
      <c r="J454" s="88">
        <v>0</v>
      </c>
      <c r="K454" s="89">
        <v>0</v>
      </c>
      <c r="L454" s="90">
        <v>0</v>
      </c>
      <c r="M454" s="89">
        <v>0</v>
      </c>
      <c r="N454" s="89">
        <v>0</v>
      </c>
      <c r="O454" s="109">
        <f>SUM(Table1[[#This Row],[2022]:[YTD 2024]])</f>
        <v>0</v>
      </c>
      <c r="P454" s="219">
        <f>IFERROR(((Table1[[#This Row],[2023]]-Table1[[#This Row],[2022]])/Table1[[#This Row],[2022]]),0)</f>
        <v>0</v>
      </c>
      <c r="Q454" s="219">
        <f>IFERROR(((Table1[[#This Row],[Volume 2023]]-Table1[[#This Row],[Volume 2022]])/Table1[[#This Row],[Volume 2022]]),0)</f>
        <v>0</v>
      </c>
      <c r="R454" s="219">
        <f>Table1[[#This Row],[YoY growth]]-Table1[[#This Row],[Volume growth]]</f>
        <v>0</v>
      </c>
      <c r="S454" s="46"/>
    </row>
    <row r="455" spans="1:19" hidden="1" x14ac:dyDescent="0.25">
      <c r="A455" s="45"/>
      <c r="B455" s="41" t="s">
        <v>794</v>
      </c>
      <c r="C455" s="39" t="s">
        <v>989</v>
      </c>
      <c r="D455" s="39" t="s">
        <v>1115</v>
      </c>
      <c r="E455" s="42" t="s">
        <v>564</v>
      </c>
      <c r="F455" s="43" t="s">
        <v>9</v>
      </c>
      <c r="G455" s="38" t="s">
        <v>20</v>
      </c>
      <c r="H455" s="79" t="s">
        <v>17</v>
      </c>
      <c r="I455" s="87">
        <v>2.9045000000000001</v>
      </c>
      <c r="J455" s="88">
        <v>0</v>
      </c>
      <c r="K455" s="89">
        <v>0</v>
      </c>
      <c r="L455" s="90">
        <v>116.9823</v>
      </c>
      <c r="M455" s="89">
        <v>0</v>
      </c>
      <c r="N455" s="89">
        <v>0</v>
      </c>
      <c r="O455" s="109">
        <f>SUM(Table1[[#This Row],[2022]:[YTD 2024]])</f>
        <v>2.9045000000000001</v>
      </c>
      <c r="P455" s="219">
        <f>IFERROR(((Table1[[#This Row],[2023]]-Table1[[#This Row],[2022]])/Table1[[#This Row],[2022]]),0)</f>
        <v>-1</v>
      </c>
      <c r="Q455" s="219">
        <f>IFERROR(((Table1[[#This Row],[Volume 2023]]-Table1[[#This Row],[Volume 2022]])/Table1[[#This Row],[Volume 2022]]),0)</f>
        <v>-1</v>
      </c>
      <c r="R455" s="219">
        <f>Table1[[#This Row],[YoY growth]]-Table1[[#This Row],[Volume growth]]</f>
        <v>0</v>
      </c>
      <c r="S455" s="46"/>
    </row>
    <row r="456" spans="1:19" hidden="1" x14ac:dyDescent="0.25">
      <c r="A456" s="45"/>
      <c r="B456" s="41" t="s">
        <v>794</v>
      </c>
      <c r="C456" s="39" t="s">
        <v>989</v>
      </c>
      <c r="D456" s="39" t="s">
        <v>1115</v>
      </c>
      <c r="E456" s="42" t="s">
        <v>565</v>
      </c>
      <c r="F456" s="43" t="s">
        <v>9</v>
      </c>
      <c r="G456" s="38" t="s">
        <v>10</v>
      </c>
      <c r="H456" s="79" t="s">
        <v>17</v>
      </c>
      <c r="I456" s="87">
        <v>2.9113000000000002</v>
      </c>
      <c r="J456" s="88">
        <v>0</v>
      </c>
      <c r="K456" s="89">
        <v>0</v>
      </c>
      <c r="L456" s="90">
        <v>119.83880000000001</v>
      </c>
      <c r="M456" s="89">
        <v>0</v>
      </c>
      <c r="N456" s="89">
        <v>0</v>
      </c>
      <c r="O456" s="109">
        <f>SUM(Table1[[#This Row],[2022]:[YTD 2024]])</f>
        <v>2.9113000000000002</v>
      </c>
      <c r="P456" s="219">
        <f>IFERROR(((Table1[[#This Row],[2023]]-Table1[[#This Row],[2022]])/Table1[[#This Row],[2022]]),0)</f>
        <v>-1</v>
      </c>
      <c r="Q456" s="219">
        <f>IFERROR(((Table1[[#This Row],[Volume 2023]]-Table1[[#This Row],[Volume 2022]])/Table1[[#This Row],[Volume 2022]]),0)</f>
        <v>-1</v>
      </c>
      <c r="R456" s="219">
        <f>Table1[[#This Row],[YoY growth]]-Table1[[#This Row],[Volume growth]]</f>
        <v>0</v>
      </c>
      <c r="S456" s="46"/>
    </row>
    <row r="457" spans="1:19" hidden="1" x14ac:dyDescent="0.25">
      <c r="A457" s="45"/>
      <c r="B457" s="41" t="s">
        <v>794</v>
      </c>
      <c r="C457" s="39" t="s">
        <v>989</v>
      </c>
      <c r="D457" s="39" t="s">
        <v>1115</v>
      </c>
      <c r="E457" s="42" t="s">
        <v>566</v>
      </c>
      <c r="F457" s="43" t="s">
        <v>9</v>
      </c>
      <c r="G457" s="38" t="s">
        <v>10</v>
      </c>
      <c r="H457" s="79" t="s">
        <v>17</v>
      </c>
      <c r="I457" s="87">
        <v>4.2324000000000002</v>
      </c>
      <c r="J457" s="88">
        <v>0</v>
      </c>
      <c r="K457" s="89">
        <v>0</v>
      </c>
      <c r="L457" s="90">
        <v>171.05330000000001</v>
      </c>
      <c r="M457" s="89">
        <v>0</v>
      </c>
      <c r="N457" s="89">
        <v>0</v>
      </c>
      <c r="O457" s="109">
        <f>SUM(Table1[[#This Row],[2022]:[YTD 2024]])</f>
        <v>4.2324000000000002</v>
      </c>
      <c r="P457" s="219">
        <f>IFERROR(((Table1[[#This Row],[2023]]-Table1[[#This Row],[2022]])/Table1[[#This Row],[2022]]),0)</f>
        <v>-1</v>
      </c>
      <c r="Q457" s="219">
        <f>IFERROR(((Table1[[#This Row],[Volume 2023]]-Table1[[#This Row],[Volume 2022]])/Table1[[#This Row],[Volume 2022]]),0)</f>
        <v>-1</v>
      </c>
      <c r="R457" s="219">
        <f>Table1[[#This Row],[YoY growth]]-Table1[[#This Row],[Volume growth]]</f>
        <v>0</v>
      </c>
      <c r="S457" s="46"/>
    </row>
    <row r="458" spans="1:19" hidden="1" x14ac:dyDescent="0.25">
      <c r="A458" s="45"/>
      <c r="B458" s="41" t="s">
        <v>794</v>
      </c>
      <c r="C458" s="39" t="s">
        <v>989</v>
      </c>
      <c r="D458" s="39" t="s">
        <v>1115</v>
      </c>
      <c r="E458" s="42" t="s">
        <v>567</v>
      </c>
      <c r="F458" s="43" t="s">
        <v>9</v>
      </c>
      <c r="G458" s="38" t="s">
        <v>20</v>
      </c>
      <c r="H458" s="79" t="s">
        <v>17</v>
      </c>
      <c r="I458" s="87">
        <v>2.6360000000000001</v>
      </c>
      <c r="J458" s="88">
        <v>0</v>
      </c>
      <c r="K458" s="89">
        <v>0</v>
      </c>
      <c r="L458" s="90">
        <v>103.9999</v>
      </c>
      <c r="M458" s="89">
        <v>0</v>
      </c>
      <c r="N458" s="89">
        <v>0</v>
      </c>
      <c r="O458" s="109">
        <f>SUM(Table1[[#This Row],[2022]:[YTD 2024]])</f>
        <v>2.6360000000000001</v>
      </c>
      <c r="P458" s="219">
        <f>IFERROR(((Table1[[#This Row],[2023]]-Table1[[#This Row],[2022]])/Table1[[#This Row],[2022]]),0)</f>
        <v>-1</v>
      </c>
      <c r="Q458" s="219">
        <f>IFERROR(((Table1[[#This Row],[Volume 2023]]-Table1[[#This Row],[Volume 2022]])/Table1[[#This Row],[Volume 2022]]),0)</f>
        <v>-1</v>
      </c>
      <c r="R458" s="219">
        <f>Table1[[#This Row],[YoY growth]]-Table1[[#This Row],[Volume growth]]</f>
        <v>0</v>
      </c>
      <c r="S458" s="46"/>
    </row>
    <row r="459" spans="1:19" hidden="1" x14ac:dyDescent="0.25">
      <c r="A459" s="45"/>
      <c r="B459" s="41" t="s">
        <v>794</v>
      </c>
      <c r="C459" s="39" t="s">
        <v>990</v>
      </c>
      <c r="D459" s="39" t="s">
        <v>1115</v>
      </c>
      <c r="E459" s="42" t="s">
        <v>569</v>
      </c>
      <c r="F459" s="43" t="s">
        <v>9</v>
      </c>
      <c r="G459" s="38" t="s">
        <v>20</v>
      </c>
      <c r="H459" s="79" t="s">
        <v>570</v>
      </c>
      <c r="I459" s="87">
        <v>59.2014</v>
      </c>
      <c r="J459" s="88">
        <v>82.022099999999995</v>
      </c>
      <c r="K459" s="89">
        <v>31.495899999999999</v>
      </c>
      <c r="L459" s="90">
        <v>4163.6220999999996</v>
      </c>
      <c r="M459" s="89">
        <v>5172.0583999999999</v>
      </c>
      <c r="N459" s="89">
        <v>1931.7985000000001</v>
      </c>
      <c r="O459" s="109">
        <f>SUM(Table1[[#This Row],[2022]:[YTD 2024]])</f>
        <v>172.71940000000001</v>
      </c>
      <c r="P459" s="219">
        <f>IFERROR(((Table1[[#This Row],[2023]]-Table1[[#This Row],[2022]])/Table1[[#This Row],[2022]]),0)</f>
        <v>0.38547568131834714</v>
      </c>
      <c r="Q459" s="219">
        <f>IFERROR(((Table1[[#This Row],[Volume 2023]]-Table1[[#This Row],[Volume 2022]])/Table1[[#This Row],[Volume 2022]]),0)</f>
        <v>0.24220168780447207</v>
      </c>
      <c r="R459" s="219">
        <f>Table1[[#This Row],[YoY growth]]-Table1[[#This Row],[Volume growth]]</f>
        <v>0.14327399351387507</v>
      </c>
      <c r="S459" s="46"/>
    </row>
    <row r="460" spans="1:19" hidden="1" x14ac:dyDescent="0.25">
      <c r="A460" s="45"/>
      <c r="B460" s="41" t="s">
        <v>794</v>
      </c>
      <c r="C460" s="39" t="s">
        <v>990</v>
      </c>
      <c r="D460" s="39" t="s">
        <v>1115</v>
      </c>
      <c r="E460" s="42" t="s">
        <v>571</v>
      </c>
      <c r="F460" s="43" t="s">
        <v>9</v>
      </c>
      <c r="G460" s="38" t="s">
        <v>20</v>
      </c>
      <c r="H460" s="79" t="s">
        <v>570</v>
      </c>
      <c r="I460" s="87">
        <v>6.7272999999999996</v>
      </c>
      <c r="J460" s="88">
        <v>1.7110000000000001</v>
      </c>
      <c r="K460" s="89">
        <v>1.5649999999999999</v>
      </c>
      <c r="L460" s="90">
        <v>473.34</v>
      </c>
      <c r="M460" s="89">
        <v>112.14570000000001</v>
      </c>
      <c r="N460" s="89">
        <v>108.86020000000001</v>
      </c>
      <c r="O460" s="109">
        <f>SUM(Table1[[#This Row],[2022]:[YTD 2024]])</f>
        <v>10.003299999999999</v>
      </c>
      <c r="P460" s="219">
        <f>IFERROR(((Table1[[#This Row],[2023]]-Table1[[#This Row],[2022]])/Table1[[#This Row],[2022]]),0)</f>
        <v>-0.74566319325732455</v>
      </c>
      <c r="Q460" s="219">
        <f>IFERROR(((Table1[[#This Row],[Volume 2023]]-Table1[[#This Row],[Volume 2022]])/Table1[[#This Row],[Volume 2022]]),0)</f>
        <v>-0.76307580174927114</v>
      </c>
      <c r="R460" s="219">
        <f>Table1[[#This Row],[YoY growth]]-Table1[[#This Row],[Volume growth]]</f>
        <v>1.7412608491946591E-2</v>
      </c>
      <c r="S460" s="46"/>
    </row>
    <row r="461" spans="1:19" hidden="1" x14ac:dyDescent="0.25">
      <c r="A461" s="45"/>
      <c r="B461" s="41" t="s">
        <v>795</v>
      </c>
      <c r="C461" s="39" t="s">
        <v>991</v>
      </c>
      <c r="D461" s="39" t="s">
        <v>1116</v>
      </c>
      <c r="E461" s="42" t="s">
        <v>573</v>
      </c>
      <c r="F461" s="43" t="s">
        <v>9</v>
      </c>
      <c r="G461" s="38" t="s">
        <v>64</v>
      </c>
      <c r="H461" s="79" t="s">
        <v>24</v>
      </c>
      <c r="I461" s="87">
        <v>53.944000000000003</v>
      </c>
      <c r="J461" s="88">
        <v>41.741</v>
      </c>
      <c r="K461" s="89">
        <v>12.7791</v>
      </c>
      <c r="L461" s="90">
        <v>3422.2186000000002</v>
      </c>
      <c r="M461" s="89">
        <v>2176.2671999999998</v>
      </c>
      <c r="N461" s="89">
        <v>723.71550000000002</v>
      </c>
      <c r="O461" s="109">
        <f>SUM(Table1[[#This Row],[2022]:[YTD 2024]])</f>
        <v>108.4641</v>
      </c>
      <c r="P461" s="219">
        <f>IFERROR(((Table1[[#This Row],[2023]]-Table1[[#This Row],[2022]])/Table1[[#This Row],[2022]]),0)</f>
        <v>-0.22621607593059473</v>
      </c>
      <c r="Q461" s="219">
        <f>IFERROR(((Table1[[#This Row],[Volume 2023]]-Table1[[#This Row],[Volume 2022]])/Table1[[#This Row],[Volume 2022]]),0)</f>
        <v>-0.36407709314653375</v>
      </c>
      <c r="R461" s="219">
        <f>Table1[[#This Row],[YoY growth]]-Table1[[#This Row],[Volume growth]]</f>
        <v>0.13786101721593902</v>
      </c>
      <c r="S461" s="46"/>
    </row>
    <row r="462" spans="1:19" hidden="1" x14ac:dyDescent="0.25">
      <c r="A462" s="45"/>
      <c r="B462" s="41" t="s">
        <v>795</v>
      </c>
      <c r="C462" s="39" t="s">
        <v>991</v>
      </c>
      <c r="D462" s="39" t="s">
        <v>1116</v>
      </c>
      <c r="E462" s="42" t="s">
        <v>574</v>
      </c>
      <c r="F462" s="43" t="s">
        <v>9</v>
      </c>
      <c r="G462" s="38" t="s">
        <v>64</v>
      </c>
      <c r="H462" s="79" t="s">
        <v>42</v>
      </c>
      <c r="I462" s="87">
        <v>10.5024</v>
      </c>
      <c r="J462" s="88">
        <v>1.2988</v>
      </c>
      <c r="K462" s="89">
        <v>0.38090000000000002</v>
      </c>
      <c r="L462" s="90">
        <v>626.13580000000002</v>
      </c>
      <c r="M462" s="89">
        <v>67.750100000000003</v>
      </c>
      <c r="N462" s="89">
        <v>17.785299999999999</v>
      </c>
      <c r="O462" s="109">
        <f>SUM(Table1[[#This Row],[2022]:[YTD 2024]])</f>
        <v>12.1821</v>
      </c>
      <c r="P462" s="219">
        <f>IFERROR(((Table1[[#This Row],[2023]]-Table1[[#This Row],[2022]])/Table1[[#This Row],[2022]]),0)</f>
        <v>-0.87633302864107254</v>
      </c>
      <c r="Q462" s="219">
        <f>IFERROR(((Table1[[#This Row],[Volume 2023]]-Table1[[#This Row],[Volume 2022]])/Table1[[#This Row],[Volume 2022]]),0)</f>
        <v>-0.89179647609991319</v>
      </c>
      <c r="R462" s="219">
        <f>Table1[[#This Row],[YoY growth]]-Table1[[#This Row],[Volume growth]]</f>
        <v>1.5463447458840651E-2</v>
      </c>
      <c r="S462" s="46"/>
    </row>
    <row r="463" spans="1:19" hidden="1" x14ac:dyDescent="0.25">
      <c r="A463" s="45"/>
      <c r="B463" s="41" t="s">
        <v>795</v>
      </c>
      <c r="C463" s="39" t="s">
        <v>992</v>
      </c>
      <c r="D463" s="39" t="s">
        <v>1116</v>
      </c>
      <c r="E463" s="42" t="s">
        <v>576</v>
      </c>
      <c r="F463" s="43" t="s">
        <v>9</v>
      </c>
      <c r="G463" s="38" t="s">
        <v>20</v>
      </c>
      <c r="H463" s="79" t="s">
        <v>84</v>
      </c>
      <c r="I463" s="87">
        <v>1.4174</v>
      </c>
      <c r="J463" s="88">
        <v>2.3006000000000002</v>
      </c>
      <c r="K463" s="89">
        <v>0</v>
      </c>
      <c r="L463" s="90">
        <v>78.384500000000003</v>
      </c>
      <c r="M463" s="89">
        <v>113.29300000000001</v>
      </c>
      <c r="N463" s="89">
        <v>0</v>
      </c>
      <c r="O463" s="109">
        <f>SUM(Table1[[#This Row],[2022]:[YTD 2024]])</f>
        <v>3.718</v>
      </c>
      <c r="P463" s="219">
        <f>IFERROR(((Table1[[#This Row],[2023]]-Table1[[#This Row],[2022]])/Table1[[#This Row],[2022]]),0)</f>
        <v>0.62311274163962194</v>
      </c>
      <c r="Q463" s="219">
        <f>IFERROR(((Table1[[#This Row],[Volume 2023]]-Table1[[#This Row],[Volume 2022]])/Table1[[#This Row],[Volume 2022]]),0)</f>
        <v>0.44534952701108005</v>
      </c>
      <c r="R463" s="219">
        <f>Table1[[#This Row],[YoY growth]]-Table1[[#This Row],[Volume growth]]</f>
        <v>0.17776321462854189</v>
      </c>
      <c r="S463" s="46"/>
    </row>
    <row r="464" spans="1:19" hidden="1" x14ac:dyDescent="0.25">
      <c r="A464" s="45"/>
      <c r="B464" s="41" t="s">
        <v>796</v>
      </c>
      <c r="C464" s="39" t="s">
        <v>993</v>
      </c>
      <c r="D464" s="39" t="s">
        <v>1117</v>
      </c>
      <c r="E464" s="42" t="s">
        <v>578</v>
      </c>
      <c r="F464" s="43" t="s">
        <v>9</v>
      </c>
      <c r="G464" s="38" t="s">
        <v>69</v>
      </c>
      <c r="H464" s="79" t="s">
        <v>42</v>
      </c>
      <c r="I464" s="87">
        <v>2.9096000000000002</v>
      </c>
      <c r="J464" s="88">
        <v>6.0198</v>
      </c>
      <c r="K464" s="89">
        <v>5.5109000000000004</v>
      </c>
      <c r="L464" s="90">
        <v>55.366500000000002</v>
      </c>
      <c r="M464" s="89">
        <v>108.4705</v>
      </c>
      <c r="N464" s="89">
        <v>98.710099999999997</v>
      </c>
      <c r="O464" s="109">
        <f>SUM(Table1[[#This Row],[2022]:[YTD 2024]])</f>
        <v>14.440300000000001</v>
      </c>
      <c r="P464" s="219">
        <f>IFERROR(((Table1[[#This Row],[2023]]-Table1[[#This Row],[2022]])/Table1[[#This Row],[2022]]),0)</f>
        <v>1.0689441847676655</v>
      </c>
      <c r="Q464" s="219">
        <f>IFERROR(((Table1[[#This Row],[Volume 2023]]-Table1[[#This Row],[Volume 2022]])/Table1[[#This Row],[Volume 2022]]),0)</f>
        <v>0.95913593960246712</v>
      </c>
      <c r="R464" s="219">
        <f>Table1[[#This Row],[YoY growth]]-Table1[[#This Row],[Volume growth]]</f>
        <v>0.10980824516519838</v>
      </c>
      <c r="S464" s="46"/>
    </row>
    <row r="465" spans="1:19" hidden="1" x14ac:dyDescent="0.25">
      <c r="A465" s="45"/>
      <c r="B465" s="41" t="s">
        <v>797</v>
      </c>
      <c r="C465" s="39" t="s">
        <v>994</v>
      </c>
      <c r="D465" s="39" t="s">
        <v>1118</v>
      </c>
      <c r="E465" s="42" t="s">
        <v>580</v>
      </c>
      <c r="F465" s="43" t="s">
        <v>9</v>
      </c>
      <c r="G465" s="38" t="s">
        <v>20</v>
      </c>
      <c r="H465" s="79" t="s">
        <v>42</v>
      </c>
      <c r="I465" s="87">
        <v>0</v>
      </c>
      <c r="J465" s="88">
        <v>0</v>
      </c>
      <c r="K465" s="89">
        <v>9.1999999999999998E-3</v>
      </c>
      <c r="L465" s="90">
        <v>0</v>
      </c>
      <c r="M465" s="89">
        <v>0</v>
      </c>
      <c r="N465" s="89">
        <v>0.30320000000000003</v>
      </c>
      <c r="O465" s="109">
        <f>SUM(Table1[[#This Row],[2022]:[YTD 2024]])</f>
        <v>9.1999999999999998E-3</v>
      </c>
      <c r="P465" s="219">
        <f>IFERROR(((Table1[[#This Row],[2023]]-Table1[[#This Row],[2022]])/Table1[[#This Row],[2022]]),0)</f>
        <v>0</v>
      </c>
      <c r="Q465" s="219">
        <f>IFERROR(((Table1[[#This Row],[Volume 2023]]-Table1[[#This Row],[Volume 2022]])/Table1[[#This Row],[Volume 2022]]),0)</f>
        <v>0</v>
      </c>
      <c r="R465" s="219">
        <f>Table1[[#This Row],[YoY growth]]-Table1[[#This Row],[Volume growth]]</f>
        <v>0</v>
      </c>
      <c r="S465" s="46"/>
    </row>
    <row r="466" spans="1:19" hidden="1" x14ac:dyDescent="0.25">
      <c r="A466" s="45"/>
      <c r="B466" s="41" t="s">
        <v>798</v>
      </c>
      <c r="C466" s="39" t="s">
        <v>995</v>
      </c>
      <c r="D466" s="39" t="s">
        <v>1119</v>
      </c>
      <c r="E466" s="42" t="s">
        <v>582</v>
      </c>
      <c r="F466" s="43" t="s">
        <v>9</v>
      </c>
      <c r="G466" s="38" t="s">
        <v>20</v>
      </c>
      <c r="H466" s="79" t="s">
        <v>42</v>
      </c>
      <c r="I466" s="87">
        <v>0</v>
      </c>
      <c r="J466" s="88">
        <v>0</v>
      </c>
      <c r="K466" s="89">
        <v>0</v>
      </c>
      <c r="L466" s="90">
        <v>0</v>
      </c>
      <c r="M466" s="89">
        <v>0</v>
      </c>
      <c r="N466" s="89">
        <v>0</v>
      </c>
      <c r="O466" s="109">
        <f>SUM(Table1[[#This Row],[2022]:[YTD 2024]])</f>
        <v>0</v>
      </c>
      <c r="P466" s="219">
        <f>IFERROR(((Table1[[#This Row],[2023]]-Table1[[#This Row],[2022]])/Table1[[#This Row],[2022]]),0)</f>
        <v>0</v>
      </c>
      <c r="Q466" s="219">
        <f>IFERROR(((Table1[[#This Row],[Volume 2023]]-Table1[[#This Row],[Volume 2022]])/Table1[[#This Row],[Volume 2022]]),0)</f>
        <v>0</v>
      </c>
      <c r="R466" s="219">
        <f>Table1[[#This Row],[YoY growth]]-Table1[[#This Row],[Volume growth]]</f>
        <v>0</v>
      </c>
      <c r="S466" s="46"/>
    </row>
    <row r="467" spans="1:19" hidden="1" x14ac:dyDescent="0.25">
      <c r="A467" s="45"/>
      <c r="B467" s="41" t="s">
        <v>799</v>
      </c>
      <c r="C467" s="39" t="s">
        <v>996</v>
      </c>
      <c r="D467" s="39" t="s">
        <v>1120</v>
      </c>
      <c r="E467" s="42" t="s">
        <v>584</v>
      </c>
      <c r="F467" s="43" t="s">
        <v>9</v>
      </c>
      <c r="G467" s="38" t="s">
        <v>20</v>
      </c>
      <c r="H467" s="79" t="s">
        <v>99</v>
      </c>
      <c r="I467" s="87">
        <v>0.35610000000000003</v>
      </c>
      <c r="J467" s="88">
        <v>0</v>
      </c>
      <c r="K467" s="89">
        <v>0</v>
      </c>
      <c r="L467" s="90">
        <v>5.6227</v>
      </c>
      <c r="M467" s="89">
        <v>0</v>
      </c>
      <c r="N467" s="89">
        <v>0</v>
      </c>
      <c r="O467" s="109">
        <f>SUM(Table1[[#This Row],[2022]:[YTD 2024]])</f>
        <v>0.35610000000000003</v>
      </c>
      <c r="P467" s="219">
        <f>IFERROR(((Table1[[#This Row],[2023]]-Table1[[#This Row],[2022]])/Table1[[#This Row],[2022]]),0)</f>
        <v>-1</v>
      </c>
      <c r="Q467" s="219">
        <f>IFERROR(((Table1[[#This Row],[Volume 2023]]-Table1[[#This Row],[Volume 2022]])/Table1[[#This Row],[Volume 2022]]),0)</f>
        <v>-1</v>
      </c>
      <c r="R467" s="219">
        <f>Table1[[#This Row],[YoY growth]]-Table1[[#This Row],[Volume growth]]</f>
        <v>0</v>
      </c>
      <c r="S467" s="46"/>
    </row>
    <row r="468" spans="1:19" hidden="1" x14ac:dyDescent="0.25">
      <c r="A468" s="45"/>
      <c r="B468" s="41" t="s">
        <v>799</v>
      </c>
      <c r="C468" s="39" t="s">
        <v>996</v>
      </c>
      <c r="D468" s="39" t="s">
        <v>1120</v>
      </c>
      <c r="E468" s="42" t="s">
        <v>585</v>
      </c>
      <c r="F468" s="43" t="s">
        <v>9</v>
      </c>
      <c r="G468" s="38" t="s">
        <v>10</v>
      </c>
      <c r="H468" s="79" t="s">
        <v>42</v>
      </c>
      <c r="I468" s="87">
        <v>1.3764000000000001</v>
      </c>
      <c r="J468" s="88">
        <v>2.7699999999999999E-2</v>
      </c>
      <c r="K468" s="89">
        <v>0</v>
      </c>
      <c r="L468" s="90">
        <v>28.943100000000001</v>
      </c>
      <c r="M468" s="89">
        <v>0.64290000000000003</v>
      </c>
      <c r="N468" s="89">
        <v>0</v>
      </c>
      <c r="O468" s="109">
        <f>SUM(Table1[[#This Row],[2022]:[YTD 2024]])</f>
        <v>1.4041000000000001</v>
      </c>
      <c r="P468" s="219">
        <f>IFERROR(((Table1[[#This Row],[2023]]-Table1[[#This Row],[2022]])/Table1[[#This Row],[2022]]),0)</f>
        <v>-0.97987503632664918</v>
      </c>
      <c r="Q468" s="219">
        <f>IFERROR(((Table1[[#This Row],[Volume 2023]]-Table1[[#This Row],[Volume 2022]])/Table1[[#This Row],[Volume 2022]]),0)</f>
        <v>-0.97778745193154837</v>
      </c>
      <c r="R468" s="219">
        <f>Table1[[#This Row],[YoY growth]]-Table1[[#This Row],[Volume growth]]</f>
        <v>-2.0875843951008166E-3</v>
      </c>
      <c r="S468" s="46"/>
    </row>
    <row r="469" spans="1:19" ht="24.75" hidden="1" x14ac:dyDescent="0.25">
      <c r="A469" s="45"/>
      <c r="B469" s="41" t="s">
        <v>799</v>
      </c>
      <c r="C469" s="39" t="s">
        <v>997</v>
      </c>
      <c r="D469" s="39" t="s">
        <v>1120</v>
      </c>
      <c r="E469" s="42" t="s">
        <v>587</v>
      </c>
      <c r="F469" s="43" t="s">
        <v>9</v>
      </c>
      <c r="G469" s="38" t="s">
        <v>30</v>
      </c>
      <c r="H469" s="79" t="s">
        <v>118</v>
      </c>
      <c r="I469" s="87">
        <v>6.7664999999999997</v>
      </c>
      <c r="J469" s="88">
        <v>0.54779999999999995</v>
      </c>
      <c r="K469" s="89">
        <v>0</v>
      </c>
      <c r="L469" s="90">
        <v>162.6651</v>
      </c>
      <c r="M469" s="89">
        <v>12.7288</v>
      </c>
      <c r="N469" s="89">
        <v>0</v>
      </c>
      <c r="O469" s="109">
        <f>SUM(Table1[[#This Row],[2022]:[YTD 2024]])</f>
        <v>7.3142999999999994</v>
      </c>
      <c r="P469" s="219">
        <f>IFERROR(((Table1[[#This Row],[2023]]-Table1[[#This Row],[2022]])/Table1[[#This Row],[2022]]),0)</f>
        <v>-0.91904234094435833</v>
      </c>
      <c r="Q469" s="219">
        <f>IFERROR(((Table1[[#This Row],[Volume 2023]]-Table1[[#This Row],[Volume 2022]])/Table1[[#This Row],[Volume 2022]]),0)</f>
        <v>-0.92174842667542078</v>
      </c>
      <c r="R469" s="219">
        <f>Table1[[#This Row],[YoY growth]]-Table1[[#This Row],[Volume growth]]</f>
        <v>2.7060857310624575E-3</v>
      </c>
      <c r="S469" s="46"/>
    </row>
    <row r="470" spans="1:19" ht="24.75" hidden="1" x14ac:dyDescent="0.25">
      <c r="A470" s="45"/>
      <c r="B470" s="41" t="s">
        <v>799</v>
      </c>
      <c r="C470" s="39" t="s">
        <v>997</v>
      </c>
      <c r="D470" s="39" t="s">
        <v>1120</v>
      </c>
      <c r="E470" s="42" t="s">
        <v>588</v>
      </c>
      <c r="F470" s="43" t="s">
        <v>9</v>
      </c>
      <c r="G470" s="38" t="s">
        <v>30</v>
      </c>
      <c r="H470" s="79" t="s">
        <v>99</v>
      </c>
      <c r="I470" s="87">
        <v>14.513400000000001</v>
      </c>
      <c r="J470" s="88">
        <v>11.551399999999999</v>
      </c>
      <c r="K470" s="89">
        <v>8.6715</v>
      </c>
      <c r="L470" s="90">
        <v>383.46769999999998</v>
      </c>
      <c r="M470" s="89">
        <v>307.81580000000002</v>
      </c>
      <c r="N470" s="89">
        <v>255.3304</v>
      </c>
      <c r="O470" s="109">
        <f>SUM(Table1[[#This Row],[2022]:[YTD 2024]])</f>
        <v>34.7363</v>
      </c>
      <c r="P470" s="219">
        <f>IFERROR(((Table1[[#This Row],[2023]]-Table1[[#This Row],[2022]])/Table1[[#This Row],[2022]]),0)</f>
        <v>-0.2040872572932601</v>
      </c>
      <c r="Q470" s="219">
        <f>IFERROR(((Table1[[#This Row],[Volume 2023]]-Table1[[#This Row],[Volume 2022]])/Table1[[#This Row],[Volume 2022]]),0)</f>
        <v>-0.19728363040746316</v>
      </c>
      <c r="R470" s="219">
        <f>Table1[[#This Row],[YoY growth]]-Table1[[#This Row],[Volume growth]]</f>
        <v>-6.8036268857969429E-3</v>
      </c>
      <c r="S470" s="46"/>
    </row>
    <row r="471" spans="1:19" ht="24.75" hidden="1" x14ac:dyDescent="0.25">
      <c r="A471" s="45"/>
      <c r="B471" s="41" t="s">
        <v>799</v>
      </c>
      <c r="C471" s="39" t="s">
        <v>997</v>
      </c>
      <c r="D471" s="39" t="s">
        <v>1120</v>
      </c>
      <c r="E471" s="42" t="s">
        <v>589</v>
      </c>
      <c r="F471" s="43" t="s">
        <v>9</v>
      </c>
      <c r="G471" s="38" t="s">
        <v>30</v>
      </c>
      <c r="H471" s="79" t="s">
        <v>99</v>
      </c>
      <c r="I471" s="87">
        <v>17.654699999999998</v>
      </c>
      <c r="J471" s="88">
        <v>12.539</v>
      </c>
      <c r="K471" s="89">
        <v>4.6113</v>
      </c>
      <c r="L471" s="90">
        <v>482.61590000000001</v>
      </c>
      <c r="M471" s="89">
        <v>340.10579999999999</v>
      </c>
      <c r="N471" s="89">
        <v>153.12389999999999</v>
      </c>
      <c r="O471" s="109">
        <f>SUM(Table1[[#This Row],[2022]:[YTD 2024]])</f>
        <v>34.805</v>
      </c>
      <c r="P471" s="219">
        <f>IFERROR(((Table1[[#This Row],[2023]]-Table1[[#This Row],[2022]])/Table1[[#This Row],[2022]]),0)</f>
        <v>-0.28976419876859982</v>
      </c>
      <c r="Q471" s="219">
        <f>IFERROR(((Table1[[#This Row],[Volume 2023]]-Table1[[#This Row],[Volume 2022]])/Table1[[#This Row],[Volume 2022]]),0)</f>
        <v>-0.29528679017827641</v>
      </c>
      <c r="R471" s="219">
        <f>Table1[[#This Row],[YoY growth]]-Table1[[#This Row],[Volume growth]]</f>
        <v>5.5225914096765916E-3</v>
      </c>
      <c r="S471" s="46"/>
    </row>
    <row r="472" spans="1:19" hidden="1" x14ac:dyDescent="0.25">
      <c r="A472" s="45"/>
      <c r="B472" s="41" t="s">
        <v>799</v>
      </c>
      <c r="C472" s="39" t="s">
        <v>998</v>
      </c>
      <c r="D472" s="39" t="s">
        <v>1120</v>
      </c>
      <c r="E472" s="42" t="s">
        <v>826</v>
      </c>
      <c r="F472" s="43" t="s">
        <v>9</v>
      </c>
      <c r="G472" s="38" t="s">
        <v>10</v>
      </c>
      <c r="H472" s="79" t="s">
        <v>24</v>
      </c>
      <c r="I472" s="87">
        <v>20.231999999999999</v>
      </c>
      <c r="J472" s="88">
        <v>11.313700000000001</v>
      </c>
      <c r="K472" s="89">
        <v>0</v>
      </c>
      <c r="L472" s="90">
        <v>583.67819999999995</v>
      </c>
      <c r="M472" s="89">
        <v>345.19709999999998</v>
      </c>
      <c r="N472" s="89">
        <v>0</v>
      </c>
      <c r="O472" s="109">
        <f>SUM(Table1[[#This Row],[2022]:[YTD 2024]])</f>
        <v>31.5457</v>
      </c>
      <c r="P472" s="219">
        <f>IFERROR(((Table1[[#This Row],[2023]]-Table1[[#This Row],[2022]])/Table1[[#This Row],[2022]]),0)</f>
        <v>-0.44080170027678917</v>
      </c>
      <c r="Q472" s="219">
        <f>IFERROR(((Table1[[#This Row],[Volume 2023]]-Table1[[#This Row],[Volume 2022]])/Table1[[#This Row],[Volume 2022]]),0)</f>
        <v>-0.40858318847611574</v>
      </c>
      <c r="R472" s="219">
        <f>Table1[[#This Row],[YoY growth]]-Table1[[#This Row],[Volume growth]]</f>
        <v>-3.2218511800673422E-2</v>
      </c>
      <c r="S472" s="46"/>
    </row>
    <row r="473" spans="1:19" hidden="1" x14ac:dyDescent="0.25">
      <c r="A473" s="45"/>
      <c r="B473" s="41" t="s">
        <v>799</v>
      </c>
      <c r="C473" s="39" t="s">
        <v>998</v>
      </c>
      <c r="D473" s="39" t="s">
        <v>1120</v>
      </c>
      <c r="E473" s="42" t="s">
        <v>591</v>
      </c>
      <c r="F473" s="43" t="s">
        <v>9</v>
      </c>
      <c r="G473" s="38" t="s">
        <v>20</v>
      </c>
      <c r="H473" s="79" t="s">
        <v>42</v>
      </c>
      <c r="I473" s="87">
        <v>0</v>
      </c>
      <c r="J473" s="88">
        <v>0</v>
      </c>
      <c r="K473" s="89">
        <v>0</v>
      </c>
      <c r="L473" s="90">
        <v>0</v>
      </c>
      <c r="M473" s="89">
        <v>0</v>
      </c>
      <c r="N473" s="89">
        <v>0</v>
      </c>
      <c r="O473" s="109">
        <f>SUM(Table1[[#This Row],[2022]:[YTD 2024]])</f>
        <v>0</v>
      </c>
      <c r="P473" s="219">
        <f>IFERROR(((Table1[[#This Row],[2023]]-Table1[[#This Row],[2022]])/Table1[[#This Row],[2022]]),0)</f>
        <v>0</v>
      </c>
      <c r="Q473" s="219">
        <f>IFERROR(((Table1[[#This Row],[Volume 2023]]-Table1[[#This Row],[Volume 2022]])/Table1[[#This Row],[Volume 2022]]),0)</f>
        <v>0</v>
      </c>
      <c r="R473" s="219">
        <f>Table1[[#This Row],[YoY growth]]-Table1[[#This Row],[Volume growth]]</f>
        <v>0</v>
      </c>
      <c r="S473" s="46"/>
    </row>
    <row r="474" spans="1:19" hidden="1" x14ac:dyDescent="0.25">
      <c r="A474" s="45"/>
      <c r="B474" s="41" t="s">
        <v>800</v>
      </c>
      <c r="C474" s="39" t="s">
        <v>999</v>
      </c>
      <c r="D474" s="39" t="s">
        <v>1121</v>
      </c>
      <c r="E474" s="42" t="s">
        <v>593</v>
      </c>
      <c r="F474" s="43" t="s">
        <v>9</v>
      </c>
      <c r="G474" s="38" t="s">
        <v>20</v>
      </c>
      <c r="H474" s="79" t="s">
        <v>24</v>
      </c>
      <c r="I474" s="87">
        <v>0</v>
      </c>
      <c r="J474" s="88">
        <v>20.586300000000001</v>
      </c>
      <c r="K474" s="89">
        <v>29.262499999999999</v>
      </c>
      <c r="L474" s="90">
        <v>0</v>
      </c>
      <c r="M474" s="89">
        <v>1265.0245</v>
      </c>
      <c r="N474" s="89">
        <v>1657.2372</v>
      </c>
      <c r="O474" s="109">
        <f>SUM(Table1[[#This Row],[2022]:[YTD 2024]])</f>
        <v>49.848799999999997</v>
      </c>
      <c r="P474" s="219">
        <f>IFERROR(((Table1[[#This Row],[2023]]-Table1[[#This Row],[2022]])/Table1[[#This Row],[2022]]),0)</f>
        <v>0</v>
      </c>
      <c r="Q474" s="219">
        <f>IFERROR(((Table1[[#This Row],[Volume 2023]]-Table1[[#This Row],[Volume 2022]])/Table1[[#This Row],[Volume 2022]]),0)</f>
        <v>0</v>
      </c>
      <c r="R474" s="219">
        <f>Table1[[#This Row],[YoY growth]]-Table1[[#This Row],[Volume growth]]</f>
        <v>0</v>
      </c>
      <c r="S474" s="46"/>
    </row>
    <row r="475" spans="1:19" hidden="1" x14ac:dyDescent="0.25">
      <c r="A475" s="45"/>
      <c r="B475" s="41" t="s">
        <v>800</v>
      </c>
      <c r="C475" s="39" t="s">
        <v>999</v>
      </c>
      <c r="D475" s="39" t="s">
        <v>1121</v>
      </c>
      <c r="E475" s="42" t="s">
        <v>594</v>
      </c>
      <c r="F475" s="43" t="s">
        <v>9</v>
      </c>
      <c r="G475" s="38" t="s">
        <v>20</v>
      </c>
      <c r="H475" s="79" t="s">
        <v>42</v>
      </c>
      <c r="I475" s="87">
        <v>26.3474</v>
      </c>
      <c r="J475" s="88">
        <v>52.005499999999998</v>
      </c>
      <c r="K475" s="89">
        <v>32.744900000000001</v>
      </c>
      <c r="L475" s="90">
        <v>920.46799999999996</v>
      </c>
      <c r="M475" s="89">
        <v>1819.1769999999999</v>
      </c>
      <c r="N475" s="89">
        <v>1062.7058999999999</v>
      </c>
      <c r="O475" s="109">
        <f>SUM(Table1[[#This Row],[2022]:[YTD 2024]])</f>
        <v>111.09780000000001</v>
      </c>
      <c r="P475" s="219">
        <f>IFERROR(((Table1[[#This Row],[2023]]-Table1[[#This Row],[2022]])/Table1[[#This Row],[2022]]),0)</f>
        <v>0.9738380257634528</v>
      </c>
      <c r="Q475" s="219">
        <f>IFERROR(((Table1[[#This Row],[Volume 2023]]-Table1[[#This Row],[Volume 2022]])/Table1[[#This Row],[Volume 2022]]),0)</f>
        <v>0.97636093813147229</v>
      </c>
      <c r="R475" s="219">
        <f>Table1[[#This Row],[YoY growth]]-Table1[[#This Row],[Volume growth]]</f>
        <v>-2.522912368019492E-3</v>
      </c>
      <c r="S475" s="46"/>
    </row>
    <row r="476" spans="1:19" hidden="1" x14ac:dyDescent="0.25">
      <c r="A476" s="45"/>
      <c r="B476" s="41" t="s">
        <v>801</v>
      </c>
      <c r="C476" s="39" t="s">
        <v>1000</v>
      </c>
      <c r="D476" s="39" t="s">
        <v>1122</v>
      </c>
      <c r="E476" s="42" t="s">
        <v>596</v>
      </c>
      <c r="F476" s="43" t="s">
        <v>9</v>
      </c>
      <c r="G476" s="38" t="s">
        <v>10</v>
      </c>
      <c r="H476" s="79" t="s">
        <v>42</v>
      </c>
      <c r="I476" s="87">
        <v>0.1701</v>
      </c>
      <c r="J476" s="88">
        <v>0.71989999999999998</v>
      </c>
      <c r="K476" s="89">
        <v>4.9299999999999997E-2</v>
      </c>
      <c r="L476" s="90">
        <v>1.008</v>
      </c>
      <c r="M476" s="89">
        <v>3.8765000000000001</v>
      </c>
      <c r="N476" s="89">
        <v>0.28799999999999998</v>
      </c>
      <c r="O476" s="109">
        <f>SUM(Table1[[#This Row],[2022]:[YTD 2024]])</f>
        <v>0.93930000000000002</v>
      </c>
      <c r="P476" s="219">
        <f>IFERROR(((Table1[[#This Row],[2023]]-Table1[[#This Row],[2022]])/Table1[[#This Row],[2022]]),0)</f>
        <v>3.2322163433274542</v>
      </c>
      <c r="Q476" s="219">
        <f>IFERROR(((Table1[[#This Row],[Volume 2023]]-Table1[[#This Row],[Volume 2022]])/Table1[[#This Row],[Volume 2022]]),0)</f>
        <v>2.845734126984127</v>
      </c>
      <c r="R476" s="219">
        <f>Table1[[#This Row],[YoY growth]]-Table1[[#This Row],[Volume growth]]</f>
        <v>0.38648221634332725</v>
      </c>
      <c r="S476" s="46"/>
    </row>
    <row r="477" spans="1:19" hidden="1" x14ac:dyDescent="0.25">
      <c r="A477" s="45"/>
      <c r="B477" s="41" t="s">
        <v>801</v>
      </c>
      <c r="C477" s="39" t="s">
        <v>1000</v>
      </c>
      <c r="D477" s="39" t="s">
        <v>1122</v>
      </c>
      <c r="E477" s="42" t="s">
        <v>597</v>
      </c>
      <c r="F477" s="43" t="s">
        <v>555</v>
      </c>
      <c r="G477" s="38" t="s">
        <v>10</v>
      </c>
      <c r="H477" s="79" t="s">
        <v>103</v>
      </c>
      <c r="I477" s="87">
        <v>0.8034</v>
      </c>
      <c r="J477" s="88">
        <v>0.64690000000000003</v>
      </c>
      <c r="K477" s="89">
        <v>0.2069</v>
      </c>
      <c r="L477" s="90">
        <v>3.92</v>
      </c>
      <c r="M477" s="89">
        <v>3.48</v>
      </c>
      <c r="N477" s="89">
        <v>1.1399999999999999</v>
      </c>
      <c r="O477" s="109">
        <f>SUM(Table1[[#This Row],[2022]:[YTD 2024]])</f>
        <v>1.6572</v>
      </c>
      <c r="P477" s="219">
        <f>IFERROR(((Table1[[#This Row],[2023]]-Table1[[#This Row],[2022]])/Table1[[#This Row],[2022]]),0)</f>
        <v>-0.19479711227284038</v>
      </c>
      <c r="Q477" s="219">
        <f>IFERROR(((Table1[[#This Row],[Volume 2023]]-Table1[[#This Row],[Volume 2022]])/Table1[[#This Row],[Volume 2022]]),0)</f>
        <v>-0.11224489795918366</v>
      </c>
      <c r="R477" s="219">
        <f>Table1[[#This Row],[YoY growth]]-Table1[[#This Row],[Volume growth]]</f>
        <v>-8.2552214313656724E-2</v>
      </c>
      <c r="S477" s="46"/>
    </row>
    <row r="478" spans="1:19" hidden="1" x14ac:dyDescent="0.25">
      <c r="A478" s="45"/>
      <c r="B478" s="41" t="s">
        <v>802</v>
      </c>
      <c r="C478" s="39" t="s">
        <v>1001</v>
      </c>
      <c r="D478" s="39" t="s">
        <v>1123</v>
      </c>
      <c r="E478" s="42" t="s">
        <v>599</v>
      </c>
      <c r="F478" s="43" t="s">
        <v>9</v>
      </c>
      <c r="G478" s="38" t="s">
        <v>20</v>
      </c>
      <c r="H478" s="79" t="s">
        <v>42</v>
      </c>
      <c r="I478" s="87">
        <v>16.393699999999999</v>
      </c>
      <c r="J478" s="88">
        <v>13.5199</v>
      </c>
      <c r="K478" s="89">
        <v>5.5843999999999996</v>
      </c>
      <c r="L478" s="90">
        <v>841.14940000000001</v>
      </c>
      <c r="M478" s="89">
        <v>693.07759999999996</v>
      </c>
      <c r="N478" s="89">
        <v>305.17070000000001</v>
      </c>
      <c r="O478" s="109">
        <f>SUM(Table1[[#This Row],[2022]:[YTD 2024]])</f>
        <v>35.497999999999998</v>
      </c>
      <c r="P478" s="219">
        <f>IFERROR(((Table1[[#This Row],[2023]]-Table1[[#This Row],[2022]])/Table1[[#This Row],[2022]]),0)</f>
        <v>-0.17529904780494943</v>
      </c>
      <c r="Q478" s="219">
        <f>IFERROR(((Table1[[#This Row],[Volume 2023]]-Table1[[#This Row],[Volume 2022]])/Table1[[#This Row],[Volume 2022]]),0)</f>
        <v>-0.17603507771627733</v>
      </c>
      <c r="R478" s="219">
        <f>Table1[[#This Row],[YoY growth]]-Table1[[#This Row],[Volume growth]]</f>
        <v>7.3602991132790119E-4</v>
      </c>
      <c r="S478" s="46"/>
    </row>
    <row r="479" spans="1:19" hidden="1" x14ac:dyDescent="0.25">
      <c r="A479" s="45"/>
      <c r="B479" s="41" t="s">
        <v>802</v>
      </c>
      <c r="C479" s="39" t="s">
        <v>1001</v>
      </c>
      <c r="D479" s="39" t="s">
        <v>1123</v>
      </c>
      <c r="E479" s="42" t="s">
        <v>600</v>
      </c>
      <c r="F479" s="43" t="s">
        <v>9</v>
      </c>
      <c r="G479" s="38" t="s">
        <v>20</v>
      </c>
      <c r="H479" s="79" t="s">
        <v>42</v>
      </c>
      <c r="I479" s="87">
        <v>2.1175000000000002</v>
      </c>
      <c r="J479" s="88">
        <v>0.66620000000000001</v>
      </c>
      <c r="K479" s="89">
        <v>0</v>
      </c>
      <c r="L479" s="90">
        <v>137.34479999999999</v>
      </c>
      <c r="M479" s="89">
        <v>41.348700000000001</v>
      </c>
      <c r="N479" s="89">
        <v>0</v>
      </c>
      <c r="O479" s="109">
        <f>SUM(Table1[[#This Row],[2022]:[YTD 2024]])</f>
        <v>2.7837000000000001</v>
      </c>
      <c r="P479" s="219">
        <f>IFERROR(((Table1[[#This Row],[2023]]-Table1[[#This Row],[2022]])/Table1[[#This Row],[2022]]),0)</f>
        <v>-0.68538370720188913</v>
      </c>
      <c r="Q479" s="219">
        <f>IFERROR(((Table1[[#This Row],[Volume 2023]]-Table1[[#This Row],[Volume 2022]])/Table1[[#This Row],[Volume 2022]]),0)</f>
        <v>-0.6989423698603805</v>
      </c>
      <c r="R479" s="219">
        <f>Table1[[#This Row],[YoY growth]]-Table1[[#This Row],[Volume growth]]</f>
        <v>1.3558662658491372E-2</v>
      </c>
      <c r="S479" s="46"/>
    </row>
    <row r="480" spans="1:19" hidden="1" x14ac:dyDescent="0.25">
      <c r="A480" s="45"/>
      <c r="B480" s="41" t="s">
        <v>803</v>
      </c>
      <c r="C480" s="39" t="s">
        <v>1002</v>
      </c>
      <c r="D480" s="39" t="s">
        <v>1124</v>
      </c>
      <c r="E480" s="42" t="s">
        <v>602</v>
      </c>
      <c r="F480" s="43" t="s">
        <v>9</v>
      </c>
      <c r="G480" s="38" t="s">
        <v>20</v>
      </c>
      <c r="H480" s="79" t="s">
        <v>24</v>
      </c>
      <c r="I480" s="87">
        <v>1.9984999999999999</v>
      </c>
      <c r="J480" s="88">
        <v>3.2300000000000002E-2</v>
      </c>
      <c r="K480" s="89">
        <v>0</v>
      </c>
      <c r="L480" s="90">
        <v>141.71469999999999</v>
      </c>
      <c r="M480" s="89">
        <v>1.9971000000000001</v>
      </c>
      <c r="N480" s="89">
        <v>0</v>
      </c>
      <c r="O480" s="109">
        <f>SUM(Table1[[#This Row],[2022]:[YTD 2024]])</f>
        <v>2.0308000000000002</v>
      </c>
      <c r="P480" s="219">
        <f>IFERROR(((Table1[[#This Row],[2023]]-Table1[[#This Row],[2022]])/Table1[[#This Row],[2022]]),0)</f>
        <v>-0.98383787840880665</v>
      </c>
      <c r="Q480" s="219">
        <f>IFERROR(((Table1[[#This Row],[Volume 2023]]-Table1[[#This Row],[Volume 2022]])/Table1[[#This Row],[Volume 2022]]),0)</f>
        <v>-0.98590760168140645</v>
      </c>
      <c r="R480" s="219">
        <f>Table1[[#This Row],[YoY growth]]-Table1[[#This Row],[Volume growth]]</f>
        <v>2.0697232725997994E-3</v>
      </c>
      <c r="S480" s="46"/>
    </row>
    <row r="481" spans="1:19" hidden="1" x14ac:dyDescent="0.25">
      <c r="A481" s="45"/>
      <c r="B481" s="41" t="s">
        <v>803</v>
      </c>
      <c r="C481" s="39" t="s">
        <v>1003</v>
      </c>
      <c r="D481" s="39" t="s">
        <v>1124</v>
      </c>
      <c r="E481" s="42" t="s">
        <v>604</v>
      </c>
      <c r="F481" s="43" t="s">
        <v>9</v>
      </c>
      <c r="G481" s="38" t="s">
        <v>30</v>
      </c>
      <c r="H481" s="79" t="s">
        <v>21</v>
      </c>
      <c r="I481" s="87">
        <v>136.17420000000001</v>
      </c>
      <c r="J481" s="88">
        <v>152.24180000000001</v>
      </c>
      <c r="K481" s="89">
        <v>70.924899999999994</v>
      </c>
      <c r="L481" s="90">
        <v>7155.8876</v>
      </c>
      <c r="M481" s="89">
        <v>7606.2596000000003</v>
      </c>
      <c r="N481" s="89">
        <v>3236.7058000000002</v>
      </c>
      <c r="O481" s="109">
        <f>SUM(Table1[[#This Row],[2022]:[YTD 2024]])</f>
        <v>359.34090000000003</v>
      </c>
      <c r="P481" s="219">
        <f>IFERROR(((Table1[[#This Row],[2023]]-Table1[[#This Row],[2022]])/Table1[[#This Row],[2022]]),0)</f>
        <v>0.11799298251798063</v>
      </c>
      <c r="Q481" s="219">
        <f>IFERROR(((Table1[[#This Row],[Volume 2023]]-Table1[[#This Row],[Volume 2022]])/Table1[[#This Row],[Volume 2022]]),0)</f>
        <v>6.2937265811721294E-2</v>
      </c>
      <c r="R481" s="219">
        <f>Table1[[#This Row],[YoY growth]]-Table1[[#This Row],[Volume growth]]</f>
        <v>5.5055716706259333E-2</v>
      </c>
      <c r="S481" s="46"/>
    </row>
    <row r="482" spans="1:19" x14ac:dyDescent="0.25">
      <c r="A482" s="45"/>
      <c r="B482" s="41" t="s">
        <v>791</v>
      </c>
      <c r="C482" s="39" t="s">
        <v>985</v>
      </c>
      <c r="D482" s="39" t="s">
        <v>1112</v>
      </c>
      <c r="E482" s="42" t="s">
        <v>482</v>
      </c>
      <c r="F482" s="43" t="s">
        <v>9</v>
      </c>
      <c r="G482" s="38" t="s">
        <v>30</v>
      </c>
      <c r="H482" s="79" t="s">
        <v>256</v>
      </c>
      <c r="I482" s="87">
        <v>171.4581</v>
      </c>
      <c r="J482" s="88">
        <v>146.56880000000001</v>
      </c>
      <c r="K482" s="89">
        <v>94.527100000000004</v>
      </c>
      <c r="L482" s="90">
        <v>5827.8176999999996</v>
      </c>
      <c r="M482" s="89">
        <v>5036.4476000000004</v>
      </c>
      <c r="N482" s="89">
        <v>3121.8564000000001</v>
      </c>
      <c r="O482" s="109">
        <f>SUM(Table1[[#This Row],[2022]:[YTD 2024]])</f>
        <v>412.55400000000003</v>
      </c>
      <c r="P482" s="219">
        <f>IFERROR(((Table1[[#This Row],[2023]]-Table1[[#This Row],[2022]])/Table1[[#This Row],[2022]]),0)</f>
        <v>-0.14516257907908692</v>
      </c>
      <c r="Q482" s="219">
        <f>IFERROR(((Table1[[#This Row],[Volume 2023]]-Table1[[#This Row],[Volume 2022]])/Table1[[#This Row],[Volume 2022]]),0)</f>
        <v>-0.13579184194454114</v>
      </c>
      <c r="R482" s="219">
        <f>Table1[[#This Row],[YoY growth]]-Table1[[#This Row],[Volume growth]]</f>
        <v>-9.3707371345457813E-3</v>
      </c>
      <c r="S482" s="46"/>
    </row>
    <row r="483" spans="1:19" hidden="1" x14ac:dyDescent="0.25">
      <c r="A483" s="45"/>
      <c r="B483" s="41" t="s">
        <v>803</v>
      </c>
      <c r="C483" s="39" t="s">
        <v>1003</v>
      </c>
      <c r="D483" s="39" t="s">
        <v>1124</v>
      </c>
      <c r="E483" s="42" t="s">
        <v>606</v>
      </c>
      <c r="F483" s="43" t="s">
        <v>9</v>
      </c>
      <c r="G483" s="38" t="s">
        <v>20</v>
      </c>
      <c r="H483" s="79" t="s">
        <v>42</v>
      </c>
      <c r="I483" s="87">
        <v>7.4499999999999997E-2</v>
      </c>
      <c r="J483" s="88">
        <v>0</v>
      </c>
      <c r="K483" s="89">
        <v>0</v>
      </c>
      <c r="L483" s="90">
        <v>5.2851999999999997</v>
      </c>
      <c r="M483" s="89">
        <v>0</v>
      </c>
      <c r="N483" s="89">
        <v>0</v>
      </c>
      <c r="O483" s="109">
        <f>SUM(Table1[[#This Row],[2022]:[YTD 2024]])</f>
        <v>7.4499999999999997E-2</v>
      </c>
      <c r="P483" s="219">
        <f>IFERROR(((Table1[[#This Row],[2023]]-Table1[[#This Row],[2022]])/Table1[[#This Row],[2022]]),0)</f>
        <v>-1</v>
      </c>
      <c r="Q483" s="219">
        <f>IFERROR(((Table1[[#This Row],[Volume 2023]]-Table1[[#This Row],[Volume 2022]])/Table1[[#This Row],[Volume 2022]]),0)</f>
        <v>-1</v>
      </c>
      <c r="R483" s="219">
        <f>Table1[[#This Row],[YoY growth]]-Table1[[#This Row],[Volume growth]]</f>
        <v>0</v>
      </c>
      <c r="S483" s="46"/>
    </row>
    <row r="484" spans="1:19" hidden="1" x14ac:dyDescent="0.25">
      <c r="A484" s="45"/>
      <c r="B484" s="41" t="s">
        <v>803</v>
      </c>
      <c r="C484" s="39" t="s">
        <v>1003</v>
      </c>
      <c r="D484" s="39" t="s">
        <v>1124</v>
      </c>
      <c r="E484" s="42" t="s">
        <v>607</v>
      </c>
      <c r="F484" s="43" t="s">
        <v>9</v>
      </c>
      <c r="G484" s="38" t="s">
        <v>10</v>
      </c>
      <c r="H484" s="79" t="s">
        <v>42</v>
      </c>
      <c r="I484" s="87">
        <v>4.2912999999999997</v>
      </c>
      <c r="J484" s="88">
        <v>3.2158000000000002</v>
      </c>
      <c r="K484" s="89">
        <v>0.39529999999999998</v>
      </c>
      <c r="L484" s="90">
        <v>253.55109999999999</v>
      </c>
      <c r="M484" s="89">
        <v>179.24690000000001</v>
      </c>
      <c r="N484" s="89">
        <v>19.092600000000001</v>
      </c>
      <c r="O484" s="109">
        <f>SUM(Table1[[#This Row],[2022]:[YTD 2024]])</f>
        <v>7.9023999999999992</v>
      </c>
      <c r="P484" s="219">
        <f>IFERROR(((Table1[[#This Row],[2023]]-Table1[[#This Row],[2022]])/Table1[[#This Row],[2022]]),0)</f>
        <v>-0.25062335422832233</v>
      </c>
      <c r="Q484" s="219">
        <f>IFERROR(((Table1[[#This Row],[Volume 2023]]-Table1[[#This Row],[Volume 2022]])/Table1[[#This Row],[Volume 2022]]),0)</f>
        <v>-0.29305414174894129</v>
      </c>
      <c r="R484" s="219">
        <f>Table1[[#This Row],[YoY growth]]-Table1[[#This Row],[Volume growth]]</f>
        <v>4.2430787520618962E-2</v>
      </c>
      <c r="S484" s="46"/>
    </row>
    <row r="485" spans="1:19" hidden="1" x14ac:dyDescent="0.25">
      <c r="A485" s="45"/>
      <c r="B485" s="41" t="s">
        <v>803</v>
      </c>
      <c r="C485" s="39" t="s">
        <v>1004</v>
      </c>
      <c r="D485" s="39" t="s">
        <v>1124</v>
      </c>
      <c r="E485" s="42" t="s">
        <v>609</v>
      </c>
      <c r="F485" s="43" t="s">
        <v>9</v>
      </c>
      <c r="G485" s="38" t="s">
        <v>64</v>
      </c>
      <c r="H485" s="79" t="s">
        <v>24</v>
      </c>
      <c r="I485" s="87">
        <v>12.5473</v>
      </c>
      <c r="J485" s="88">
        <v>21.5989</v>
      </c>
      <c r="K485" s="89">
        <v>10.3498</v>
      </c>
      <c r="L485" s="90">
        <v>734.85479999999995</v>
      </c>
      <c r="M485" s="89">
        <v>1234.4389000000001</v>
      </c>
      <c r="N485" s="89">
        <v>587.04769999999996</v>
      </c>
      <c r="O485" s="109">
        <f>SUM(Table1[[#This Row],[2022]:[YTD 2024]])</f>
        <v>44.496000000000002</v>
      </c>
      <c r="P485" s="219">
        <f>IFERROR(((Table1[[#This Row],[2023]]-Table1[[#This Row],[2022]])/Table1[[#This Row],[2022]]),0)</f>
        <v>0.72139822910108153</v>
      </c>
      <c r="Q485" s="219">
        <f>IFERROR(((Table1[[#This Row],[Volume 2023]]-Table1[[#This Row],[Volume 2022]])/Table1[[#This Row],[Volume 2022]]),0)</f>
        <v>0.67984056170008034</v>
      </c>
      <c r="R485" s="219">
        <f>Table1[[#This Row],[YoY growth]]-Table1[[#This Row],[Volume growth]]</f>
        <v>4.1557667401001197E-2</v>
      </c>
      <c r="S485" s="46"/>
    </row>
    <row r="486" spans="1:19" hidden="1" x14ac:dyDescent="0.25">
      <c r="A486" s="45"/>
      <c r="B486" s="41" t="s">
        <v>803</v>
      </c>
      <c r="C486" s="39" t="s">
        <v>1004</v>
      </c>
      <c r="D486" s="39" t="s">
        <v>1124</v>
      </c>
      <c r="E486" s="42" t="s">
        <v>610</v>
      </c>
      <c r="F486" s="43" t="s">
        <v>9</v>
      </c>
      <c r="G486" s="38" t="s">
        <v>64</v>
      </c>
      <c r="H486" s="79" t="s">
        <v>103</v>
      </c>
      <c r="I486" s="87">
        <v>0.68669999999999998</v>
      </c>
      <c r="J486" s="88">
        <v>0</v>
      </c>
      <c r="K486" s="89">
        <v>0</v>
      </c>
      <c r="L486" s="90">
        <v>52.465899999999998</v>
      </c>
      <c r="M486" s="89">
        <v>0</v>
      </c>
      <c r="N486" s="89">
        <v>0</v>
      </c>
      <c r="O486" s="109">
        <f>SUM(Table1[[#This Row],[2022]:[YTD 2024]])</f>
        <v>0.68669999999999998</v>
      </c>
      <c r="P486" s="219">
        <f>IFERROR(((Table1[[#This Row],[2023]]-Table1[[#This Row],[2022]])/Table1[[#This Row],[2022]]),0)</f>
        <v>-1</v>
      </c>
      <c r="Q486" s="219">
        <f>IFERROR(((Table1[[#This Row],[Volume 2023]]-Table1[[#This Row],[Volume 2022]])/Table1[[#This Row],[Volume 2022]]),0)</f>
        <v>-1</v>
      </c>
      <c r="R486" s="219">
        <f>Table1[[#This Row],[YoY growth]]-Table1[[#This Row],[Volume growth]]</f>
        <v>0</v>
      </c>
      <c r="S486" s="46"/>
    </row>
    <row r="487" spans="1:19" hidden="1" x14ac:dyDescent="0.25">
      <c r="A487" s="45"/>
      <c r="B487" s="41" t="s">
        <v>803</v>
      </c>
      <c r="C487" s="39" t="s">
        <v>1004</v>
      </c>
      <c r="D487" s="39" t="s">
        <v>1124</v>
      </c>
      <c r="E487" s="42" t="s">
        <v>611</v>
      </c>
      <c r="F487" s="43" t="s">
        <v>9</v>
      </c>
      <c r="G487" s="38" t="s">
        <v>20</v>
      </c>
      <c r="H487" s="79" t="s">
        <v>42</v>
      </c>
      <c r="I487" s="87">
        <v>0</v>
      </c>
      <c r="J487" s="88">
        <v>0</v>
      </c>
      <c r="K487" s="89">
        <v>0</v>
      </c>
      <c r="L487" s="90">
        <v>0</v>
      </c>
      <c r="M487" s="89">
        <v>0</v>
      </c>
      <c r="N487" s="89">
        <v>0</v>
      </c>
      <c r="O487" s="109">
        <f>SUM(Table1[[#This Row],[2022]:[YTD 2024]])</f>
        <v>0</v>
      </c>
      <c r="P487" s="219">
        <f>IFERROR(((Table1[[#This Row],[2023]]-Table1[[#This Row],[2022]])/Table1[[#This Row],[2022]]),0)</f>
        <v>0</v>
      </c>
      <c r="Q487" s="219">
        <f>IFERROR(((Table1[[#This Row],[Volume 2023]]-Table1[[#This Row],[Volume 2022]])/Table1[[#This Row],[Volume 2022]]),0)</f>
        <v>0</v>
      </c>
      <c r="R487" s="219">
        <f>Table1[[#This Row],[YoY growth]]-Table1[[#This Row],[Volume growth]]</f>
        <v>0</v>
      </c>
      <c r="S487" s="46"/>
    </row>
    <row r="488" spans="1:19" hidden="1" x14ac:dyDescent="0.25">
      <c r="A488" s="45"/>
      <c r="B488" s="41" t="s">
        <v>803</v>
      </c>
      <c r="C488" s="39" t="s">
        <v>1004</v>
      </c>
      <c r="D488" s="39" t="s">
        <v>1124</v>
      </c>
      <c r="E488" s="42" t="s">
        <v>612</v>
      </c>
      <c r="F488" s="43" t="s">
        <v>9</v>
      </c>
      <c r="G488" s="38" t="s">
        <v>64</v>
      </c>
      <c r="H488" s="79" t="s">
        <v>42</v>
      </c>
      <c r="I488" s="87">
        <v>37.213999999999999</v>
      </c>
      <c r="J488" s="88">
        <v>7.2126999999999999</v>
      </c>
      <c r="K488" s="89">
        <v>0</v>
      </c>
      <c r="L488" s="90">
        <v>2501.2190000000001</v>
      </c>
      <c r="M488" s="89">
        <v>451.55340000000001</v>
      </c>
      <c r="N488" s="89">
        <v>0</v>
      </c>
      <c r="O488" s="109">
        <f>SUM(Table1[[#This Row],[2022]:[YTD 2024]])</f>
        <v>44.426699999999997</v>
      </c>
      <c r="P488" s="219">
        <f>IFERROR(((Table1[[#This Row],[2023]]-Table1[[#This Row],[2022]])/Table1[[#This Row],[2022]]),0)</f>
        <v>-0.80618315687644437</v>
      </c>
      <c r="Q488" s="219">
        <f>IFERROR(((Table1[[#This Row],[Volume 2023]]-Table1[[#This Row],[Volume 2022]])/Table1[[#This Row],[Volume 2022]]),0)</f>
        <v>-0.81946666805265767</v>
      </c>
      <c r="R488" s="219">
        <f>Table1[[#This Row],[YoY growth]]-Table1[[#This Row],[Volume growth]]</f>
        <v>1.3283511176213292E-2</v>
      </c>
      <c r="S488" s="46"/>
    </row>
    <row r="489" spans="1:19" hidden="1" x14ac:dyDescent="0.25">
      <c r="A489" s="45"/>
      <c r="B489" s="41" t="s">
        <v>803</v>
      </c>
      <c r="C489" s="39" t="s">
        <v>1004</v>
      </c>
      <c r="D489" s="39" t="s">
        <v>1124</v>
      </c>
      <c r="E489" s="42" t="s">
        <v>613</v>
      </c>
      <c r="F489" s="43" t="s">
        <v>9</v>
      </c>
      <c r="G489" s="38" t="s">
        <v>64</v>
      </c>
      <c r="H489" s="79" t="s">
        <v>68</v>
      </c>
      <c r="I489" s="87">
        <v>2.7111999999999998</v>
      </c>
      <c r="J489" s="88">
        <v>0</v>
      </c>
      <c r="K489" s="89">
        <v>0</v>
      </c>
      <c r="L489" s="90">
        <v>136.8194</v>
      </c>
      <c r="M489" s="89">
        <v>0</v>
      </c>
      <c r="N489" s="89">
        <v>0</v>
      </c>
      <c r="O489" s="109">
        <f>SUM(Table1[[#This Row],[2022]:[YTD 2024]])</f>
        <v>2.7111999999999998</v>
      </c>
      <c r="P489" s="219">
        <f>IFERROR(((Table1[[#This Row],[2023]]-Table1[[#This Row],[2022]])/Table1[[#This Row],[2022]]),0)</f>
        <v>-1</v>
      </c>
      <c r="Q489" s="219">
        <f>IFERROR(((Table1[[#This Row],[Volume 2023]]-Table1[[#This Row],[Volume 2022]])/Table1[[#This Row],[Volume 2022]]),0)</f>
        <v>-1</v>
      </c>
      <c r="R489" s="219">
        <f>Table1[[#This Row],[YoY growth]]-Table1[[#This Row],[Volume growth]]</f>
        <v>0</v>
      </c>
      <c r="S489" s="46"/>
    </row>
    <row r="490" spans="1:19" hidden="1" x14ac:dyDescent="0.25">
      <c r="A490" s="45"/>
      <c r="B490" s="41" t="s">
        <v>803</v>
      </c>
      <c r="C490" s="39" t="s">
        <v>1005</v>
      </c>
      <c r="D490" s="39" t="s">
        <v>1124</v>
      </c>
      <c r="E490" s="42" t="s">
        <v>615</v>
      </c>
      <c r="F490" s="43" t="s">
        <v>9</v>
      </c>
      <c r="G490" s="38" t="s">
        <v>64</v>
      </c>
      <c r="H490" s="79" t="s">
        <v>103</v>
      </c>
      <c r="I490" s="87">
        <v>0</v>
      </c>
      <c r="J490" s="88">
        <v>19.032699999999998</v>
      </c>
      <c r="K490" s="89">
        <v>19.713699999999999</v>
      </c>
      <c r="L490" s="90">
        <v>0</v>
      </c>
      <c r="M490" s="89">
        <v>1111.0531000000001</v>
      </c>
      <c r="N490" s="89">
        <v>1063.3096</v>
      </c>
      <c r="O490" s="109">
        <f>SUM(Table1[[#This Row],[2022]:[YTD 2024]])</f>
        <v>38.746399999999994</v>
      </c>
      <c r="P490" s="219">
        <f>IFERROR(((Table1[[#This Row],[2023]]-Table1[[#This Row],[2022]])/Table1[[#This Row],[2022]]),0)</f>
        <v>0</v>
      </c>
      <c r="Q490" s="219">
        <f>IFERROR(((Table1[[#This Row],[Volume 2023]]-Table1[[#This Row],[Volume 2022]])/Table1[[#This Row],[Volume 2022]]),0)</f>
        <v>0</v>
      </c>
      <c r="R490" s="219">
        <f>Table1[[#This Row],[YoY growth]]-Table1[[#This Row],[Volume growth]]</f>
        <v>0</v>
      </c>
      <c r="S490" s="46"/>
    </row>
    <row r="491" spans="1:19" hidden="1" x14ac:dyDescent="0.25">
      <c r="A491" s="45"/>
      <c r="B491" s="41" t="s">
        <v>803</v>
      </c>
      <c r="C491" s="39" t="s">
        <v>1006</v>
      </c>
      <c r="D491" s="39" t="s">
        <v>1124</v>
      </c>
      <c r="E491" s="42" t="s">
        <v>617</v>
      </c>
      <c r="F491" s="43" t="s">
        <v>9</v>
      </c>
      <c r="G491" s="38" t="s">
        <v>30</v>
      </c>
      <c r="H491" s="79" t="s">
        <v>21</v>
      </c>
      <c r="I491" s="87">
        <v>1.0042</v>
      </c>
      <c r="J491" s="88">
        <v>0</v>
      </c>
      <c r="K491" s="89">
        <v>0</v>
      </c>
      <c r="L491" s="90">
        <v>76.638000000000005</v>
      </c>
      <c r="M491" s="89">
        <v>0</v>
      </c>
      <c r="N491" s="89">
        <v>0</v>
      </c>
      <c r="O491" s="109">
        <f>SUM(Table1[[#This Row],[2022]:[YTD 2024]])</f>
        <v>1.0042</v>
      </c>
      <c r="P491" s="219">
        <f>IFERROR(((Table1[[#This Row],[2023]]-Table1[[#This Row],[2022]])/Table1[[#This Row],[2022]]),0)</f>
        <v>-1</v>
      </c>
      <c r="Q491" s="219">
        <f>IFERROR(((Table1[[#This Row],[Volume 2023]]-Table1[[#This Row],[Volume 2022]])/Table1[[#This Row],[Volume 2022]]),0)</f>
        <v>-1</v>
      </c>
      <c r="R491" s="219">
        <f>Table1[[#This Row],[YoY growth]]-Table1[[#This Row],[Volume growth]]</f>
        <v>0</v>
      </c>
      <c r="S491" s="46"/>
    </row>
    <row r="492" spans="1:19" x14ac:dyDescent="0.25">
      <c r="A492" s="45"/>
      <c r="B492" s="41" t="s">
        <v>803</v>
      </c>
      <c r="C492" s="39" t="s">
        <v>1003</v>
      </c>
      <c r="D492" s="39" t="s">
        <v>1124</v>
      </c>
      <c r="E492" s="42" t="s">
        <v>605</v>
      </c>
      <c r="F492" s="43" t="s">
        <v>9</v>
      </c>
      <c r="G492" s="38" t="s">
        <v>20</v>
      </c>
      <c r="H492" s="79" t="s">
        <v>24</v>
      </c>
      <c r="I492" s="87">
        <v>166.38550000000001</v>
      </c>
      <c r="J492" s="88">
        <v>154.19909999999999</v>
      </c>
      <c r="K492" s="89">
        <v>78.409199999999998</v>
      </c>
      <c r="L492" s="90">
        <v>8805.9477000000006</v>
      </c>
      <c r="M492" s="89">
        <v>8032.0802000000003</v>
      </c>
      <c r="N492" s="89">
        <v>3983.7687000000001</v>
      </c>
      <c r="O492" s="109">
        <f>SUM(Table1[[#This Row],[2022]:[YTD 2024]])</f>
        <v>398.99380000000002</v>
      </c>
      <c r="P492" s="219">
        <f>IFERROR(((Table1[[#This Row],[2023]]-Table1[[#This Row],[2022]])/Table1[[#This Row],[2022]]),0)</f>
        <v>-7.3241959185145464E-2</v>
      </c>
      <c r="Q492" s="219">
        <f>IFERROR(((Table1[[#This Row],[Volume 2023]]-Table1[[#This Row],[Volume 2022]])/Table1[[#This Row],[Volume 2022]]),0)</f>
        <v>-8.7880092678724431E-2</v>
      </c>
      <c r="R492" s="219">
        <f>Table1[[#This Row],[YoY growth]]-Table1[[#This Row],[Volume growth]]</f>
        <v>1.4638133493578967E-2</v>
      </c>
      <c r="S492" s="46"/>
    </row>
    <row r="493" spans="1:19" hidden="1" x14ac:dyDescent="0.25">
      <c r="A493" s="45"/>
      <c r="B493" s="41" t="s">
        <v>803</v>
      </c>
      <c r="C493" s="39" t="s">
        <v>1006</v>
      </c>
      <c r="D493" s="39" t="s">
        <v>1124</v>
      </c>
      <c r="E493" s="42" t="s">
        <v>619</v>
      </c>
      <c r="F493" s="43" t="s">
        <v>9</v>
      </c>
      <c r="G493" s="38" t="s">
        <v>30</v>
      </c>
      <c r="H493" s="79" t="s">
        <v>570</v>
      </c>
      <c r="I493" s="87">
        <v>15.856</v>
      </c>
      <c r="J493" s="88">
        <v>22.015000000000001</v>
      </c>
      <c r="K493" s="89">
        <v>3.4060000000000001</v>
      </c>
      <c r="L493" s="90">
        <v>1023.9475</v>
      </c>
      <c r="M493" s="89">
        <v>1391.8684000000001</v>
      </c>
      <c r="N493" s="89">
        <v>229.50649999999999</v>
      </c>
      <c r="O493" s="109">
        <f>SUM(Table1[[#This Row],[2022]:[YTD 2024]])</f>
        <v>41.277000000000001</v>
      </c>
      <c r="P493" s="219">
        <f>IFERROR(((Table1[[#This Row],[2023]]-Table1[[#This Row],[2022]])/Table1[[#This Row],[2022]]),0)</f>
        <v>0.38843340060544906</v>
      </c>
      <c r="Q493" s="219">
        <f>IFERROR(((Table1[[#This Row],[Volume 2023]]-Table1[[#This Row],[Volume 2022]])/Table1[[#This Row],[Volume 2022]]),0)</f>
        <v>0.3593161758781579</v>
      </c>
      <c r="R493" s="219">
        <f>Table1[[#This Row],[YoY growth]]-Table1[[#This Row],[Volume growth]]</f>
        <v>2.9117224727291169E-2</v>
      </c>
      <c r="S493" s="46"/>
    </row>
    <row r="494" spans="1:19" hidden="1" x14ac:dyDescent="0.25">
      <c r="A494" s="45"/>
      <c r="B494" s="41" t="s">
        <v>803</v>
      </c>
      <c r="C494" s="39" t="s">
        <v>1006</v>
      </c>
      <c r="D494" s="39" t="s">
        <v>1124</v>
      </c>
      <c r="E494" s="42" t="s">
        <v>620</v>
      </c>
      <c r="F494" s="43" t="s">
        <v>9</v>
      </c>
      <c r="G494" s="38" t="s">
        <v>20</v>
      </c>
      <c r="H494" s="79" t="s">
        <v>99</v>
      </c>
      <c r="I494" s="87">
        <v>0</v>
      </c>
      <c r="J494" s="88">
        <v>0</v>
      </c>
      <c r="K494" s="89">
        <v>0.28920000000000001</v>
      </c>
      <c r="L494" s="90">
        <v>0</v>
      </c>
      <c r="M494" s="89">
        <v>0</v>
      </c>
      <c r="N494" s="89">
        <v>17.3521</v>
      </c>
      <c r="O494" s="109">
        <f>SUM(Table1[[#This Row],[2022]:[YTD 2024]])</f>
        <v>0.28920000000000001</v>
      </c>
      <c r="P494" s="219">
        <f>IFERROR(((Table1[[#This Row],[2023]]-Table1[[#This Row],[2022]])/Table1[[#This Row],[2022]]),0)</f>
        <v>0</v>
      </c>
      <c r="Q494" s="219">
        <f>IFERROR(((Table1[[#This Row],[Volume 2023]]-Table1[[#This Row],[Volume 2022]])/Table1[[#This Row],[Volume 2022]]),0)</f>
        <v>0</v>
      </c>
      <c r="R494" s="219">
        <f>Table1[[#This Row],[YoY growth]]-Table1[[#This Row],[Volume growth]]</f>
        <v>0</v>
      </c>
      <c r="S494" s="46"/>
    </row>
    <row r="495" spans="1:19" hidden="1" x14ac:dyDescent="0.25">
      <c r="A495" s="45"/>
      <c r="B495" s="41" t="s">
        <v>803</v>
      </c>
      <c r="C495" s="39" t="s">
        <v>1006</v>
      </c>
      <c r="D495" s="39" t="s">
        <v>1124</v>
      </c>
      <c r="E495" s="42" t="s">
        <v>621</v>
      </c>
      <c r="F495" s="43" t="s">
        <v>9</v>
      </c>
      <c r="G495" s="38" t="s">
        <v>20</v>
      </c>
      <c r="H495" s="79" t="s">
        <v>42</v>
      </c>
      <c r="I495" s="87">
        <v>2.5535999999999999</v>
      </c>
      <c r="J495" s="88">
        <v>3.8500999999999999</v>
      </c>
      <c r="K495" s="89">
        <v>0.82650000000000001</v>
      </c>
      <c r="L495" s="90">
        <v>126.3817</v>
      </c>
      <c r="M495" s="89">
        <v>174.249</v>
      </c>
      <c r="N495" s="89">
        <v>46.762</v>
      </c>
      <c r="O495" s="109">
        <f>SUM(Table1[[#This Row],[2022]:[YTD 2024]])</f>
        <v>7.2302</v>
      </c>
      <c r="P495" s="219">
        <f>IFERROR(((Table1[[#This Row],[2023]]-Table1[[#This Row],[2022]])/Table1[[#This Row],[2022]]),0)</f>
        <v>0.50771459899749372</v>
      </c>
      <c r="Q495" s="219">
        <f>IFERROR(((Table1[[#This Row],[Volume 2023]]-Table1[[#This Row],[Volume 2022]])/Table1[[#This Row],[Volume 2022]]),0)</f>
        <v>0.37875182878533842</v>
      </c>
      <c r="R495" s="219">
        <f>Table1[[#This Row],[YoY growth]]-Table1[[#This Row],[Volume growth]]</f>
        <v>0.1289627702121553</v>
      </c>
      <c r="S495" s="46"/>
    </row>
    <row r="496" spans="1:19" hidden="1" x14ac:dyDescent="0.25">
      <c r="A496" s="45"/>
      <c r="B496" s="41" t="s">
        <v>803</v>
      </c>
      <c r="C496" s="39" t="s">
        <v>1006</v>
      </c>
      <c r="D496" s="39" t="s">
        <v>1124</v>
      </c>
      <c r="E496" s="42" t="s">
        <v>622</v>
      </c>
      <c r="F496" s="43" t="s">
        <v>9</v>
      </c>
      <c r="G496" s="38" t="s">
        <v>20</v>
      </c>
      <c r="H496" s="79" t="s">
        <v>42</v>
      </c>
      <c r="I496" s="87">
        <v>0</v>
      </c>
      <c r="J496" s="88">
        <v>0.25659999999999999</v>
      </c>
      <c r="K496" s="89">
        <v>0</v>
      </c>
      <c r="L496" s="90">
        <v>0</v>
      </c>
      <c r="M496" s="89">
        <v>13.196899999999999</v>
      </c>
      <c r="N496" s="89">
        <v>0</v>
      </c>
      <c r="O496" s="109">
        <f>SUM(Table1[[#This Row],[2022]:[YTD 2024]])</f>
        <v>0.25659999999999999</v>
      </c>
      <c r="P496" s="219">
        <f>IFERROR(((Table1[[#This Row],[2023]]-Table1[[#This Row],[2022]])/Table1[[#This Row],[2022]]),0)</f>
        <v>0</v>
      </c>
      <c r="Q496" s="219">
        <f>IFERROR(((Table1[[#This Row],[Volume 2023]]-Table1[[#This Row],[Volume 2022]])/Table1[[#This Row],[Volume 2022]]),0)</f>
        <v>0</v>
      </c>
      <c r="R496" s="219">
        <f>Table1[[#This Row],[YoY growth]]-Table1[[#This Row],[Volume growth]]</f>
        <v>0</v>
      </c>
      <c r="S496" s="46"/>
    </row>
    <row r="497" spans="1:19" hidden="1" x14ac:dyDescent="0.25">
      <c r="A497" s="45"/>
      <c r="B497" s="41" t="s">
        <v>804</v>
      </c>
      <c r="C497" s="39" t="s">
        <v>1007</v>
      </c>
      <c r="D497" s="39" t="s">
        <v>1125</v>
      </c>
      <c r="E497" s="42" t="s">
        <v>624</v>
      </c>
      <c r="F497" s="43" t="s">
        <v>9</v>
      </c>
      <c r="G497" s="38" t="s">
        <v>30</v>
      </c>
      <c r="H497" s="79" t="s">
        <v>376</v>
      </c>
      <c r="I497" s="87">
        <v>0</v>
      </c>
      <c r="J497" s="88">
        <v>0.5504</v>
      </c>
      <c r="K497" s="89">
        <v>0.74670000000000003</v>
      </c>
      <c r="L497" s="90">
        <v>0</v>
      </c>
      <c r="M497" s="89">
        <v>6.7556000000000003</v>
      </c>
      <c r="N497" s="89">
        <v>9.0073000000000008</v>
      </c>
      <c r="O497" s="109">
        <f>SUM(Table1[[#This Row],[2022]:[YTD 2024]])</f>
        <v>1.2970999999999999</v>
      </c>
      <c r="P497" s="219">
        <f>IFERROR(((Table1[[#This Row],[2023]]-Table1[[#This Row],[2022]])/Table1[[#This Row],[2022]]),0)</f>
        <v>0</v>
      </c>
      <c r="Q497" s="219">
        <f>IFERROR(((Table1[[#This Row],[Volume 2023]]-Table1[[#This Row],[Volume 2022]])/Table1[[#This Row],[Volume 2022]]),0)</f>
        <v>0</v>
      </c>
      <c r="R497" s="219">
        <f>Table1[[#This Row],[YoY growth]]-Table1[[#This Row],[Volume growth]]</f>
        <v>0</v>
      </c>
      <c r="S497" s="46"/>
    </row>
    <row r="498" spans="1:19" hidden="1" x14ac:dyDescent="0.25">
      <c r="A498" s="45"/>
      <c r="B498" s="41" t="s">
        <v>804</v>
      </c>
      <c r="C498" s="39" t="s">
        <v>1007</v>
      </c>
      <c r="D498" s="39" t="s">
        <v>1125</v>
      </c>
      <c r="E498" s="42" t="s">
        <v>625</v>
      </c>
      <c r="F498" s="43" t="s">
        <v>9</v>
      </c>
      <c r="G498" s="38" t="s">
        <v>30</v>
      </c>
      <c r="H498" s="79" t="s">
        <v>11</v>
      </c>
      <c r="I498" s="87">
        <v>4.7511999999999999</v>
      </c>
      <c r="J498" s="88">
        <v>3.7549000000000001</v>
      </c>
      <c r="K498" s="89">
        <v>1.1405000000000001</v>
      </c>
      <c r="L498" s="90">
        <v>70.328999999999994</v>
      </c>
      <c r="M498" s="89">
        <v>55.465600000000002</v>
      </c>
      <c r="N498" s="89">
        <v>16.475899999999999</v>
      </c>
      <c r="O498" s="109">
        <f>SUM(Table1[[#This Row],[2022]:[YTD 2024]])</f>
        <v>9.6465999999999994</v>
      </c>
      <c r="P498" s="219">
        <f>IFERROR(((Table1[[#This Row],[2023]]-Table1[[#This Row],[2022]])/Table1[[#This Row],[2022]]),0)</f>
        <v>-0.20969439299545373</v>
      </c>
      <c r="Q498" s="219">
        <f>IFERROR(((Table1[[#This Row],[Volume 2023]]-Table1[[#This Row],[Volume 2022]])/Table1[[#This Row],[Volume 2022]]),0)</f>
        <v>-0.21134098309374502</v>
      </c>
      <c r="R498" s="219">
        <f>Table1[[#This Row],[YoY growth]]-Table1[[#This Row],[Volume growth]]</f>
        <v>1.6465900982912951E-3</v>
      </c>
      <c r="S498" s="46"/>
    </row>
    <row r="499" spans="1:19" hidden="1" x14ac:dyDescent="0.25">
      <c r="A499" s="45"/>
      <c r="B499" s="41" t="s">
        <v>804</v>
      </c>
      <c r="C499" s="39" t="s">
        <v>1007</v>
      </c>
      <c r="D499" s="39" t="s">
        <v>1125</v>
      </c>
      <c r="E499" s="42" t="s">
        <v>626</v>
      </c>
      <c r="F499" s="43" t="s">
        <v>9</v>
      </c>
      <c r="G499" s="38" t="s">
        <v>10</v>
      </c>
      <c r="H499" s="79" t="s">
        <v>11</v>
      </c>
      <c r="I499" s="87">
        <v>1.23E-2</v>
      </c>
      <c r="J499" s="88">
        <v>2.7799999999999998E-2</v>
      </c>
      <c r="K499" s="89">
        <v>0</v>
      </c>
      <c r="L499" s="90">
        <v>0.18</v>
      </c>
      <c r="M499" s="89">
        <v>0.46179999999999999</v>
      </c>
      <c r="N499" s="89">
        <v>0</v>
      </c>
      <c r="O499" s="109">
        <f>SUM(Table1[[#This Row],[2022]:[YTD 2024]])</f>
        <v>4.0099999999999997E-2</v>
      </c>
      <c r="P499" s="219">
        <f>IFERROR(((Table1[[#This Row],[2023]]-Table1[[#This Row],[2022]])/Table1[[#This Row],[2022]]),0)</f>
        <v>1.2601626016260161</v>
      </c>
      <c r="Q499" s="219">
        <f>IFERROR(((Table1[[#This Row],[Volume 2023]]-Table1[[#This Row],[Volume 2022]])/Table1[[#This Row],[Volume 2022]]),0)</f>
        <v>1.5655555555555556</v>
      </c>
      <c r="R499" s="219">
        <f>Table1[[#This Row],[YoY growth]]-Table1[[#This Row],[Volume growth]]</f>
        <v>-0.30539295392953947</v>
      </c>
      <c r="S499" s="46"/>
    </row>
    <row r="500" spans="1:19" hidden="1" x14ac:dyDescent="0.25">
      <c r="A500" s="45"/>
      <c r="B500" s="41" t="s">
        <v>804</v>
      </c>
      <c r="C500" s="39" t="s">
        <v>1007</v>
      </c>
      <c r="D500" s="39" t="s">
        <v>1125</v>
      </c>
      <c r="E500" s="42" t="s">
        <v>627</v>
      </c>
      <c r="F500" s="43" t="s">
        <v>9</v>
      </c>
      <c r="G500" s="38" t="s">
        <v>64</v>
      </c>
      <c r="H500" s="79" t="s">
        <v>11</v>
      </c>
      <c r="I500" s="87">
        <v>11.1968</v>
      </c>
      <c r="J500" s="88">
        <v>6.3734000000000002</v>
      </c>
      <c r="K500" s="89">
        <v>1.3038000000000001</v>
      </c>
      <c r="L500" s="90">
        <v>170.3914</v>
      </c>
      <c r="M500" s="89">
        <v>94.576999999999998</v>
      </c>
      <c r="N500" s="89">
        <v>19.252400000000002</v>
      </c>
      <c r="O500" s="109">
        <f>SUM(Table1[[#This Row],[2022]:[YTD 2024]])</f>
        <v>18.873999999999999</v>
      </c>
      <c r="P500" s="219">
        <f>IFERROR(((Table1[[#This Row],[2023]]-Table1[[#This Row],[2022]])/Table1[[#This Row],[2022]]),0)</f>
        <v>-0.43078379537010569</v>
      </c>
      <c r="Q500" s="219">
        <f>IFERROR(((Table1[[#This Row],[Volume 2023]]-Table1[[#This Row],[Volume 2022]])/Table1[[#This Row],[Volume 2022]]),0)</f>
        <v>-0.44494264381887821</v>
      </c>
      <c r="R500" s="219">
        <f>Table1[[#This Row],[YoY growth]]-Table1[[#This Row],[Volume growth]]</f>
        <v>1.4158848448772521E-2</v>
      </c>
      <c r="S500" s="46"/>
    </row>
    <row r="501" spans="1:19" hidden="1" x14ac:dyDescent="0.25">
      <c r="A501" s="45"/>
      <c r="B501" s="41" t="s">
        <v>804</v>
      </c>
      <c r="C501" s="39" t="s">
        <v>1007</v>
      </c>
      <c r="D501" s="39" t="s">
        <v>1125</v>
      </c>
      <c r="E501" s="42" t="s">
        <v>628</v>
      </c>
      <c r="F501" s="43" t="s">
        <v>9</v>
      </c>
      <c r="G501" s="38" t="s">
        <v>64</v>
      </c>
      <c r="H501" s="79" t="s">
        <v>363</v>
      </c>
      <c r="I501" s="87">
        <v>0</v>
      </c>
      <c r="J501" s="88">
        <v>0.89970000000000006</v>
      </c>
      <c r="K501" s="89">
        <v>2.4813999999999998</v>
      </c>
      <c r="L501" s="90">
        <v>0</v>
      </c>
      <c r="M501" s="89">
        <v>21.057300000000001</v>
      </c>
      <c r="N501" s="89">
        <v>55.505499999999998</v>
      </c>
      <c r="O501" s="109">
        <f>SUM(Table1[[#This Row],[2022]:[YTD 2024]])</f>
        <v>3.3811</v>
      </c>
      <c r="P501" s="219">
        <f>IFERROR(((Table1[[#This Row],[2023]]-Table1[[#This Row],[2022]])/Table1[[#This Row],[2022]]),0)</f>
        <v>0</v>
      </c>
      <c r="Q501" s="219">
        <f>IFERROR(((Table1[[#This Row],[Volume 2023]]-Table1[[#This Row],[Volume 2022]])/Table1[[#This Row],[Volume 2022]]),0)</f>
        <v>0</v>
      </c>
      <c r="R501" s="219">
        <f>Table1[[#This Row],[YoY growth]]-Table1[[#This Row],[Volume growth]]</f>
        <v>0</v>
      </c>
      <c r="S501" s="46"/>
    </row>
    <row r="502" spans="1:19" hidden="1" x14ac:dyDescent="0.25">
      <c r="A502" s="45"/>
      <c r="B502" s="41" t="s">
        <v>804</v>
      </c>
      <c r="C502" s="39" t="s">
        <v>1007</v>
      </c>
      <c r="D502" s="39" t="s">
        <v>1125</v>
      </c>
      <c r="E502" s="42" t="s">
        <v>629</v>
      </c>
      <c r="F502" s="43" t="s">
        <v>9</v>
      </c>
      <c r="G502" s="38" t="s">
        <v>30</v>
      </c>
      <c r="H502" s="79" t="s">
        <v>630</v>
      </c>
      <c r="I502" s="87">
        <v>2.3999999999999998E-3</v>
      </c>
      <c r="J502" s="88">
        <v>0</v>
      </c>
      <c r="K502" s="89">
        <v>0</v>
      </c>
      <c r="L502" s="90">
        <v>5.7000000000000002E-2</v>
      </c>
      <c r="M502" s="89">
        <v>0</v>
      </c>
      <c r="N502" s="89">
        <v>0</v>
      </c>
      <c r="O502" s="109">
        <f>SUM(Table1[[#This Row],[2022]:[YTD 2024]])</f>
        <v>2.3999999999999998E-3</v>
      </c>
      <c r="P502" s="219">
        <f>IFERROR(((Table1[[#This Row],[2023]]-Table1[[#This Row],[2022]])/Table1[[#This Row],[2022]]),0)</f>
        <v>-1</v>
      </c>
      <c r="Q502" s="219">
        <f>IFERROR(((Table1[[#This Row],[Volume 2023]]-Table1[[#This Row],[Volume 2022]])/Table1[[#This Row],[Volume 2022]]),0)</f>
        <v>-1</v>
      </c>
      <c r="R502" s="219">
        <f>Table1[[#This Row],[YoY growth]]-Table1[[#This Row],[Volume growth]]</f>
        <v>0</v>
      </c>
      <c r="S502" s="46"/>
    </row>
    <row r="503" spans="1:19" hidden="1" x14ac:dyDescent="0.25">
      <c r="A503" s="45"/>
      <c r="B503" s="41" t="s">
        <v>804</v>
      </c>
      <c r="C503" s="39" t="s">
        <v>1007</v>
      </c>
      <c r="D503" s="39" t="s">
        <v>1125</v>
      </c>
      <c r="E503" s="42" t="s">
        <v>631</v>
      </c>
      <c r="F503" s="43" t="s">
        <v>9</v>
      </c>
      <c r="G503" s="38" t="s">
        <v>10</v>
      </c>
      <c r="H503" s="79" t="s">
        <v>37</v>
      </c>
      <c r="I503" s="87">
        <v>0.22650000000000001</v>
      </c>
      <c r="J503" s="88">
        <v>0</v>
      </c>
      <c r="K503" s="89">
        <v>0</v>
      </c>
      <c r="L503" s="90">
        <v>7.2465999999999999</v>
      </c>
      <c r="M503" s="89">
        <v>0</v>
      </c>
      <c r="N503" s="89">
        <v>0</v>
      </c>
      <c r="O503" s="109">
        <f>SUM(Table1[[#This Row],[2022]:[YTD 2024]])</f>
        <v>0.22650000000000001</v>
      </c>
      <c r="P503" s="219">
        <f>IFERROR(((Table1[[#This Row],[2023]]-Table1[[#This Row],[2022]])/Table1[[#This Row],[2022]]),0)</f>
        <v>-1</v>
      </c>
      <c r="Q503" s="219">
        <f>IFERROR(((Table1[[#This Row],[Volume 2023]]-Table1[[#This Row],[Volume 2022]])/Table1[[#This Row],[Volume 2022]]),0)</f>
        <v>-1</v>
      </c>
      <c r="R503" s="219">
        <f>Table1[[#This Row],[YoY growth]]-Table1[[#This Row],[Volume growth]]</f>
        <v>0</v>
      </c>
      <c r="S503" s="46"/>
    </row>
    <row r="504" spans="1:19" hidden="1" x14ac:dyDescent="0.25">
      <c r="A504" s="45"/>
      <c r="B504" s="41" t="s">
        <v>804</v>
      </c>
      <c r="C504" s="39" t="s">
        <v>1007</v>
      </c>
      <c r="D504" s="39" t="s">
        <v>1125</v>
      </c>
      <c r="E504" s="42" t="s">
        <v>632</v>
      </c>
      <c r="F504" s="43" t="s">
        <v>9</v>
      </c>
      <c r="G504" s="38" t="s">
        <v>20</v>
      </c>
      <c r="H504" s="79" t="s">
        <v>37</v>
      </c>
      <c r="I504" s="87">
        <v>0.74809999999999999</v>
      </c>
      <c r="J504" s="88">
        <v>0</v>
      </c>
      <c r="K504" s="89">
        <v>0</v>
      </c>
      <c r="L504" s="90">
        <v>25.650500000000001</v>
      </c>
      <c r="M504" s="89">
        <v>0</v>
      </c>
      <c r="N504" s="89">
        <v>0</v>
      </c>
      <c r="O504" s="109">
        <f>SUM(Table1[[#This Row],[2022]:[YTD 2024]])</f>
        <v>0.74809999999999999</v>
      </c>
      <c r="P504" s="219">
        <f>IFERROR(((Table1[[#This Row],[2023]]-Table1[[#This Row],[2022]])/Table1[[#This Row],[2022]]),0)</f>
        <v>-1</v>
      </c>
      <c r="Q504" s="219">
        <f>IFERROR(((Table1[[#This Row],[Volume 2023]]-Table1[[#This Row],[Volume 2022]])/Table1[[#This Row],[Volume 2022]]),0)</f>
        <v>-1</v>
      </c>
      <c r="R504" s="219">
        <f>Table1[[#This Row],[YoY growth]]-Table1[[#This Row],[Volume growth]]</f>
        <v>0</v>
      </c>
      <c r="S504" s="46"/>
    </row>
    <row r="505" spans="1:19" hidden="1" x14ac:dyDescent="0.25">
      <c r="A505" s="45"/>
      <c r="B505" s="41" t="s">
        <v>804</v>
      </c>
      <c r="C505" s="39" t="s">
        <v>1007</v>
      </c>
      <c r="D505" s="39" t="s">
        <v>1125</v>
      </c>
      <c r="E505" s="42" t="s">
        <v>633</v>
      </c>
      <c r="F505" s="43" t="s">
        <v>9</v>
      </c>
      <c r="G505" s="38" t="s">
        <v>20</v>
      </c>
      <c r="H505" s="79" t="s">
        <v>37</v>
      </c>
      <c r="I505" s="87">
        <v>7.1352000000000002</v>
      </c>
      <c r="J505" s="88">
        <v>0.98229999999999995</v>
      </c>
      <c r="K505" s="89">
        <v>0.17499999999999999</v>
      </c>
      <c r="L505" s="90">
        <v>199.79089999999999</v>
      </c>
      <c r="M505" s="89">
        <v>31.398199999999999</v>
      </c>
      <c r="N505" s="89">
        <v>5.5553999999999997</v>
      </c>
      <c r="O505" s="109">
        <f>SUM(Table1[[#This Row],[2022]:[YTD 2024]])</f>
        <v>8.2925000000000004</v>
      </c>
      <c r="P505" s="219">
        <f>IFERROR(((Table1[[#This Row],[2023]]-Table1[[#This Row],[2022]])/Table1[[#This Row],[2022]]),0)</f>
        <v>-0.86233041820831935</v>
      </c>
      <c r="Q505" s="219">
        <f>IFERROR(((Table1[[#This Row],[Volume 2023]]-Table1[[#This Row],[Volume 2022]])/Table1[[#This Row],[Volume 2022]]),0)</f>
        <v>-0.84284469412771046</v>
      </c>
      <c r="R505" s="219">
        <f>Table1[[#This Row],[YoY growth]]-Table1[[#This Row],[Volume growth]]</f>
        <v>-1.948572408060889E-2</v>
      </c>
      <c r="S505" s="46"/>
    </row>
    <row r="506" spans="1:19" hidden="1" x14ac:dyDescent="0.25">
      <c r="A506" s="45"/>
      <c r="B506" s="41" t="s">
        <v>804</v>
      </c>
      <c r="C506" s="39" t="s">
        <v>1007</v>
      </c>
      <c r="D506" s="39" t="s">
        <v>1125</v>
      </c>
      <c r="E506" s="42" t="s">
        <v>634</v>
      </c>
      <c r="F506" s="43" t="s">
        <v>9</v>
      </c>
      <c r="G506" s="38" t="s">
        <v>20</v>
      </c>
      <c r="H506" s="79" t="s">
        <v>37</v>
      </c>
      <c r="I506" s="87">
        <v>38.636499999999998</v>
      </c>
      <c r="J506" s="88">
        <v>25.403500000000001</v>
      </c>
      <c r="K506" s="89">
        <v>9.4920000000000009</v>
      </c>
      <c r="L506" s="90">
        <v>1064.7156</v>
      </c>
      <c r="M506" s="89">
        <v>712.85350000000005</v>
      </c>
      <c r="N506" s="89">
        <v>244.268</v>
      </c>
      <c r="O506" s="109">
        <f>SUM(Table1[[#This Row],[2022]:[YTD 2024]])</f>
        <v>73.531999999999996</v>
      </c>
      <c r="P506" s="219">
        <f>IFERROR(((Table1[[#This Row],[2023]]-Table1[[#This Row],[2022]])/Table1[[#This Row],[2022]]),0)</f>
        <v>-0.34249996764717294</v>
      </c>
      <c r="Q506" s="219">
        <f>IFERROR(((Table1[[#This Row],[Volume 2023]]-Table1[[#This Row],[Volume 2022]])/Table1[[#This Row],[Volume 2022]]),0)</f>
        <v>-0.3304751991987343</v>
      </c>
      <c r="R506" s="219">
        <f>Table1[[#This Row],[YoY growth]]-Table1[[#This Row],[Volume growth]]</f>
        <v>-1.2024768448438639E-2</v>
      </c>
      <c r="S506" s="46"/>
    </row>
    <row r="507" spans="1:19" hidden="1" x14ac:dyDescent="0.25">
      <c r="A507" s="45"/>
      <c r="B507" s="41" t="s">
        <v>804</v>
      </c>
      <c r="C507" s="39" t="s">
        <v>1007</v>
      </c>
      <c r="D507" s="39" t="s">
        <v>1125</v>
      </c>
      <c r="E507" s="42" t="s">
        <v>635</v>
      </c>
      <c r="F507" s="43" t="s">
        <v>9</v>
      </c>
      <c r="G507" s="38" t="s">
        <v>64</v>
      </c>
      <c r="H507" s="79" t="s">
        <v>37</v>
      </c>
      <c r="I507" s="87">
        <v>0</v>
      </c>
      <c r="J507" s="88">
        <v>0</v>
      </c>
      <c r="K507" s="89">
        <v>0</v>
      </c>
      <c r="L507" s="90">
        <v>0</v>
      </c>
      <c r="M507" s="89">
        <v>0</v>
      </c>
      <c r="N507" s="89">
        <v>0</v>
      </c>
      <c r="O507" s="109">
        <f>SUM(Table1[[#This Row],[2022]:[YTD 2024]])</f>
        <v>0</v>
      </c>
      <c r="P507" s="219">
        <f>IFERROR(((Table1[[#This Row],[2023]]-Table1[[#This Row],[2022]])/Table1[[#This Row],[2022]]),0)</f>
        <v>0</v>
      </c>
      <c r="Q507" s="219">
        <f>IFERROR(((Table1[[#This Row],[Volume 2023]]-Table1[[#This Row],[Volume 2022]])/Table1[[#This Row],[Volume 2022]]),0)</f>
        <v>0</v>
      </c>
      <c r="R507" s="219">
        <f>Table1[[#This Row],[YoY growth]]-Table1[[#This Row],[Volume growth]]</f>
        <v>0</v>
      </c>
      <c r="S507" s="46"/>
    </row>
    <row r="508" spans="1:19" hidden="1" x14ac:dyDescent="0.25">
      <c r="A508" s="45"/>
      <c r="B508" s="41" t="s">
        <v>804</v>
      </c>
      <c r="C508" s="39" t="s">
        <v>1007</v>
      </c>
      <c r="D508" s="39" t="s">
        <v>1125</v>
      </c>
      <c r="E508" s="42" t="s">
        <v>636</v>
      </c>
      <c r="F508" s="43" t="s">
        <v>9</v>
      </c>
      <c r="G508" s="38" t="s">
        <v>64</v>
      </c>
      <c r="H508" s="79" t="s">
        <v>37</v>
      </c>
      <c r="I508" s="87">
        <v>3.0739999999999998</v>
      </c>
      <c r="J508" s="88">
        <v>0.314</v>
      </c>
      <c r="K508" s="89">
        <v>6.4199999999999993E-2</v>
      </c>
      <c r="L508" s="90">
        <v>79.571700000000007</v>
      </c>
      <c r="M508" s="89">
        <v>7.3994999999999997</v>
      </c>
      <c r="N508" s="89">
        <v>1.5809</v>
      </c>
      <c r="O508" s="109">
        <f>SUM(Table1[[#This Row],[2022]:[YTD 2024]])</f>
        <v>3.4521999999999999</v>
      </c>
      <c r="P508" s="219">
        <f>IFERROR(((Table1[[#This Row],[2023]]-Table1[[#This Row],[2022]])/Table1[[#This Row],[2022]]),0)</f>
        <v>-0.89785296031229667</v>
      </c>
      <c r="Q508" s="219">
        <f>IFERROR(((Table1[[#This Row],[Volume 2023]]-Table1[[#This Row],[Volume 2022]])/Table1[[#This Row],[Volume 2022]]),0)</f>
        <v>-0.90700839620116191</v>
      </c>
      <c r="R508" s="219">
        <f>Table1[[#This Row],[YoY growth]]-Table1[[#This Row],[Volume growth]]</f>
        <v>9.1554358888652487E-3</v>
      </c>
      <c r="S508" s="46"/>
    </row>
    <row r="509" spans="1:19" hidden="1" x14ac:dyDescent="0.25">
      <c r="A509" s="45"/>
      <c r="B509" s="41" t="s">
        <v>804</v>
      </c>
      <c r="C509" s="39" t="s">
        <v>1007</v>
      </c>
      <c r="D509" s="39" t="s">
        <v>1125</v>
      </c>
      <c r="E509" s="42" t="s">
        <v>637</v>
      </c>
      <c r="F509" s="43" t="s">
        <v>9</v>
      </c>
      <c r="G509" s="38" t="s">
        <v>64</v>
      </c>
      <c r="H509" s="79" t="s">
        <v>37</v>
      </c>
      <c r="I509" s="87">
        <v>57.373899999999999</v>
      </c>
      <c r="J509" s="88">
        <v>28.978999999999999</v>
      </c>
      <c r="K509" s="89">
        <v>4.5244999999999997</v>
      </c>
      <c r="L509" s="90">
        <v>1605.2121</v>
      </c>
      <c r="M509" s="89">
        <v>798.29169999999999</v>
      </c>
      <c r="N509" s="89">
        <v>128.11799999999999</v>
      </c>
      <c r="O509" s="109">
        <f>SUM(Table1[[#This Row],[2022]:[YTD 2024]])</f>
        <v>90.877400000000009</v>
      </c>
      <c r="P509" s="219">
        <f>IFERROR(((Table1[[#This Row],[2023]]-Table1[[#This Row],[2022]])/Table1[[#This Row],[2022]]),0)</f>
        <v>-0.49490970632988174</v>
      </c>
      <c r="Q509" s="219">
        <f>IFERROR(((Table1[[#This Row],[Volume 2023]]-Table1[[#This Row],[Volume 2022]])/Table1[[#This Row],[Volume 2022]]),0)</f>
        <v>-0.50268771335576157</v>
      </c>
      <c r="R509" s="219">
        <f>Table1[[#This Row],[YoY growth]]-Table1[[#This Row],[Volume growth]]</f>
        <v>7.7780070258798295E-3</v>
      </c>
      <c r="S509" s="46"/>
    </row>
    <row r="510" spans="1:19" hidden="1" x14ac:dyDescent="0.25">
      <c r="A510" s="45"/>
      <c r="B510" s="41" t="s">
        <v>804</v>
      </c>
      <c r="C510" s="39" t="s">
        <v>1007</v>
      </c>
      <c r="D510" s="39" t="s">
        <v>1125</v>
      </c>
      <c r="E510" s="42" t="s">
        <v>638</v>
      </c>
      <c r="F510" s="43" t="s">
        <v>9</v>
      </c>
      <c r="G510" s="38" t="s">
        <v>30</v>
      </c>
      <c r="H510" s="79" t="s">
        <v>42</v>
      </c>
      <c r="I510" s="87">
        <v>0.84319999999999995</v>
      </c>
      <c r="J510" s="88">
        <v>0</v>
      </c>
      <c r="K510" s="89">
        <v>0</v>
      </c>
      <c r="L510" s="90">
        <v>38.896500000000003</v>
      </c>
      <c r="M510" s="89">
        <v>0</v>
      </c>
      <c r="N510" s="89">
        <v>0</v>
      </c>
      <c r="O510" s="109">
        <f>SUM(Table1[[#This Row],[2022]:[YTD 2024]])</f>
        <v>0.84319999999999995</v>
      </c>
      <c r="P510" s="219">
        <f>IFERROR(((Table1[[#This Row],[2023]]-Table1[[#This Row],[2022]])/Table1[[#This Row],[2022]]),0)</f>
        <v>-1</v>
      </c>
      <c r="Q510" s="219">
        <f>IFERROR(((Table1[[#This Row],[Volume 2023]]-Table1[[#This Row],[Volume 2022]])/Table1[[#This Row],[Volume 2022]]),0)</f>
        <v>-1</v>
      </c>
      <c r="R510" s="219">
        <f>Table1[[#This Row],[YoY growth]]-Table1[[#This Row],[Volume growth]]</f>
        <v>0</v>
      </c>
      <c r="S510" s="46"/>
    </row>
    <row r="511" spans="1:19" hidden="1" x14ac:dyDescent="0.25">
      <c r="A511" s="45"/>
      <c r="B511" s="41" t="s">
        <v>804</v>
      </c>
      <c r="C511" s="39" t="s">
        <v>1007</v>
      </c>
      <c r="D511" s="39" t="s">
        <v>1125</v>
      </c>
      <c r="E511" s="42" t="s">
        <v>639</v>
      </c>
      <c r="F511" s="43" t="s">
        <v>9</v>
      </c>
      <c r="G511" s="38" t="s">
        <v>30</v>
      </c>
      <c r="H511" s="79" t="s">
        <v>640</v>
      </c>
      <c r="I511" s="87">
        <v>0.32700000000000001</v>
      </c>
      <c r="J511" s="88">
        <v>7.9399999999999998E-2</v>
      </c>
      <c r="K511" s="89">
        <v>0</v>
      </c>
      <c r="L511" s="90">
        <v>8.1380999999999997</v>
      </c>
      <c r="M511" s="89">
        <v>2.0009000000000001</v>
      </c>
      <c r="N511" s="89">
        <v>0</v>
      </c>
      <c r="O511" s="109">
        <f>SUM(Table1[[#This Row],[2022]:[YTD 2024]])</f>
        <v>0.40639999999999998</v>
      </c>
      <c r="P511" s="219">
        <f>IFERROR(((Table1[[#This Row],[2023]]-Table1[[#This Row],[2022]])/Table1[[#This Row],[2022]]),0)</f>
        <v>-0.75718654434250765</v>
      </c>
      <c r="Q511" s="219">
        <f>IFERROR(((Table1[[#This Row],[Volume 2023]]-Table1[[#This Row],[Volume 2022]])/Table1[[#This Row],[Volume 2022]]),0)</f>
        <v>-0.75413179980585154</v>
      </c>
      <c r="R511" s="219">
        <f>Table1[[#This Row],[YoY growth]]-Table1[[#This Row],[Volume growth]]</f>
        <v>-3.0547445366561066E-3</v>
      </c>
      <c r="S511" s="46"/>
    </row>
    <row r="512" spans="1:19" hidden="1" x14ac:dyDescent="0.25">
      <c r="A512" s="45"/>
      <c r="B512" s="41" t="s">
        <v>804</v>
      </c>
      <c r="C512" s="39" t="s">
        <v>1007</v>
      </c>
      <c r="D512" s="39" t="s">
        <v>1125</v>
      </c>
      <c r="E512" s="42" t="s">
        <v>641</v>
      </c>
      <c r="F512" s="43" t="s">
        <v>9</v>
      </c>
      <c r="G512" s="38" t="s">
        <v>30</v>
      </c>
      <c r="H512" s="79" t="s">
        <v>17</v>
      </c>
      <c r="I512" s="87">
        <v>30.607399999999998</v>
      </c>
      <c r="J512" s="88">
        <v>87.617999999999995</v>
      </c>
      <c r="K512" s="89">
        <v>25.586099999999998</v>
      </c>
      <c r="L512" s="90">
        <v>1468.2443000000001</v>
      </c>
      <c r="M512" s="89">
        <v>4062.0709999999999</v>
      </c>
      <c r="N512" s="89">
        <v>1119.9051999999999</v>
      </c>
      <c r="O512" s="109">
        <f>SUM(Table1[[#This Row],[2022]:[YTD 2024]])</f>
        <v>143.8115</v>
      </c>
      <c r="P512" s="219">
        <f>IFERROR(((Table1[[#This Row],[2023]]-Table1[[#This Row],[2022]])/Table1[[#This Row],[2022]]),0)</f>
        <v>1.8626410606585335</v>
      </c>
      <c r="Q512" s="219">
        <f>IFERROR(((Table1[[#This Row],[Volume 2023]]-Table1[[#This Row],[Volume 2022]])/Table1[[#This Row],[Volume 2022]]),0)</f>
        <v>1.7666179259132826</v>
      </c>
      <c r="R512" s="219">
        <f>Table1[[#This Row],[YoY growth]]-Table1[[#This Row],[Volume growth]]</f>
        <v>9.6023134745250927E-2</v>
      </c>
      <c r="S512" s="46"/>
    </row>
    <row r="513" spans="1:19" hidden="1" x14ac:dyDescent="0.25">
      <c r="A513" s="45"/>
      <c r="B513" s="41" t="s">
        <v>805</v>
      </c>
      <c r="C513" s="39" t="s">
        <v>1008</v>
      </c>
      <c r="D513" s="39" t="s">
        <v>1126</v>
      </c>
      <c r="E513" s="42" t="s">
        <v>643</v>
      </c>
      <c r="F513" s="43" t="s">
        <v>9</v>
      </c>
      <c r="G513" s="38" t="s">
        <v>20</v>
      </c>
      <c r="H513" s="79" t="s">
        <v>42</v>
      </c>
      <c r="I513" s="87">
        <v>0.26200000000000001</v>
      </c>
      <c r="J513" s="88">
        <v>0.1656</v>
      </c>
      <c r="K513" s="89">
        <v>0</v>
      </c>
      <c r="L513" s="90">
        <v>18.860299999999999</v>
      </c>
      <c r="M513" s="89">
        <v>11.920500000000001</v>
      </c>
      <c r="N513" s="89">
        <v>0</v>
      </c>
      <c r="O513" s="109">
        <f>SUM(Table1[[#This Row],[2022]:[YTD 2024]])</f>
        <v>0.42759999999999998</v>
      </c>
      <c r="P513" s="219">
        <f>IFERROR(((Table1[[#This Row],[2023]]-Table1[[#This Row],[2022]])/Table1[[#This Row],[2022]]),0)</f>
        <v>-0.36793893129770994</v>
      </c>
      <c r="Q513" s="219">
        <f>IFERROR(((Table1[[#This Row],[Volume 2023]]-Table1[[#This Row],[Volume 2022]])/Table1[[#This Row],[Volume 2022]]),0)</f>
        <v>-0.36795809186492257</v>
      </c>
      <c r="R513" s="219">
        <f>Table1[[#This Row],[YoY growth]]-Table1[[#This Row],[Volume growth]]</f>
        <v>1.9160567212628266E-5</v>
      </c>
      <c r="S513" s="46"/>
    </row>
    <row r="514" spans="1:19" hidden="1" x14ac:dyDescent="0.25">
      <c r="A514" s="45"/>
      <c r="B514" s="41" t="s">
        <v>805</v>
      </c>
      <c r="C514" s="39" t="s">
        <v>1009</v>
      </c>
      <c r="D514" s="39" t="s">
        <v>1126</v>
      </c>
      <c r="E514" s="42" t="s">
        <v>645</v>
      </c>
      <c r="F514" s="43" t="s">
        <v>9</v>
      </c>
      <c r="G514" s="38" t="s">
        <v>64</v>
      </c>
      <c r="H514" s="79" t="s">
        <v>24</v>
      </c>
      <c r="I514" s="87">
        <v>8.2482000000000006</v>
      </c>
      <c r="J514" s="88">
        <v>0.97330000000000005</v>
      </c>
      <c r="K514" s="89">
        <v>0</v>
      </c>
      <c r="L514" s="90">
        <v>505.78250000000003</v>
      </c>
      <c r="M514" s="89">
        <v>58.400799999999997</v>
      </c>
      <c r="N514" s="89">
        <v>0</v>
      </c>
      <c r="O514" s="109">
        <f>SUM(Table1[[#This Row],[2022]:[YTD 2024]])</f>
        <v>9.2215000000000007</v>
      </c>
      <c r="P514" s="219">
        <f>IFERROR(((Table1[[#This Row],[2023]]-Table1[[#This Row],[2022]])/Table1[[#This Row],[2022]]),0)</f>
        <v>-0.8819984966416915</v>
      </c>
      <c r="Q514" s="219">
        <f>IFERROR(((Table1[[#This Row],[Volume 2023]]-Table1[[#This Row],[Volume 2022]])/Table1[[#This Row],[Volume 2022]]),0)</f>
        <v>-0.88453376698482056</v>
      </c>
      <c r="R514" s="219">
        <f>Table1[[#This Row],[YoY growth]]-Table1[[#This Row],[Volume growth]]</f>
        <v>2.5352703431290591E-3</v>
      </c>
      <c r="S514" s="46"/>
    </row>
    <row r="515" spans="1:19" hidden="1" x14ac:dyDescent="0.25">
      <c r="A515" s="45"/>
      <c r="B515" s="41" t="s">
        <v>805</v>
      </c>
      <c r="C515" s="39" t="s">
        <v>1009</v>
      </c>
      <c r="D515" s="39" t="s">
        <v>1126</v>
      </c>
      <c r="E515" s="42" t="s">
        <v>646</v>
      </c>
      <c r="F515" s="43" t="s">
        <v>9</v>
      </c>
      <c r="G515" s="38" t="s">
        <v>64</v>
      </c>
      <c r="H515" s="79" t="s">
        <v>42</v>
      </c>
      <c r="I515" s="87">
        <v>0</v>
      </c>
      <c r="J515" s="88">
        <v>0</v>
      </c>
      <c r="K515" s="89">
        <v>0</v>
      </c>
      <c r="L515" s="90">
        <v>0</v>
      </c>
      <c r="M515" s="89">
        <v>0</v>
      </c>
      <c r="N515" s="89">
        <v>0</v>
      </c>
      <c r="O515" s="109">
        <f>SUM(Table1[[#This Row],[2022]:[YTD 2024]])</f>
        <v>0</v>
      </c>
      <c r="P515" s="219">
        <f>IFERROR(((Table1[[#This Row],[2023]]-Table1[[#This Row],[2022]])/Table1[[#This Row],[2022]]),0)</f>
        <v>0</v>
      </c>
      <c r="Q515" s="219">
        <f>IFERROR(((Table1[[#This Row],[Volume 2023]]-Table1[[#This Row],[Volume 2022]])/Table1[[#This Row],[Volume 2022]]),0)</f>
        <v>0</v>
      </c>
      <c r="R515" s="219">
        <f>Table1[[#This Row],[YoY growth]]-Table1[[#This Row],[Volume growth]]</f>
        <v>0</v>
      </c>
      <c r="S515" s="46"/>
    </row>
    <row r="516" spans="1:19" hidden="1" x14ac:dyDescent="0.25">
      <c r="A516" s="45"/>
      <c r="B516" s="41" t="s">
        <v>805</v>
      </c>
      <c r="C516" s="39" t="s">
        <v>1009</v>
      </c>
      <c r="D516" s="39" t="s">
        <v>1126</v>
      </c>
      <c r="E516" s="42" t="s">
        <v>647</v>
      </c>
      <c r="F516" s="43" t="s">
        <v>9</v>
      </c>
      <c r="G516" s="38" t="s">
        <v>64</v>
      </c>
      <c r="H516" s="79" t="s">
        <v>42</v>
      </c>
      <c r="I516" s="87">
        <v>0</v>
      </c>
      <c r="J516" s="88">
        <v>0</v>
      </c>
      <c r="K516" s="89">
        <v>0</v>
      </c>
      <c r="L516" s="90">
        <v>0</v>
      </c>
      <c r="M516" s="89">
        <v>0</v>
      </c>
      <c r="N516" s="89">
        <v>0</v>
      </c>
      <c r="O516" s="109">
        <f>SUM(Table1[[#This Row],[2022]:[YTD 2024]])</f>
        <v>0</v>
      </c>
      <c r="P516" s="219">
        <f>IFERROR(((Table1[[#This Row],[2023]]-Table1[[#This Row],[2022]])/Table1[[#This Row],[2022]]),0)</f>
        <v>0</v>
      </c>
      <c r="Q516" s="219">
        <f>IFERROR(((Table1[[#This Row],[Volume 2023]]-Table1[[#This Row],[Volume 2022]])/Table1[[#This Row],[Volume 2022]]),0)</f>
        <v>0</v>
      </c>
      <c r="R516" s="219">
        <f>Table1[[#This Row],[YoY growth]]-Table1[[#This Row],[Volume growth]]</f>
        <v>0</v>
      </c>
      <c r="S516" s="46"/>
    </row>
    <row r="517" spans="1:19" hidden="1" x14ac:dyDescent="0.25">
      <c r="A517" s="45"/>
      <c r="B517" s="41" t="s">
        <v>805</v>
      </c>
      <c r="C517" s="39" t="s">
        <v>1010</v>
      </c>
      <c r="D517" s="39" t="s">
        <v>1126</v>
      </c>
      <c r="E517" s="42" t="s">
        <v>649</v>
      </c>
      <c r="F517" s="43" t="s">
        <v>9</v>
      </c>
      <c r="G517" s="38" t="s">
        <v>30</v>
      </c>
      <c r="H517" s="79" t="s">
        <v>21</v>
      </c>
      <c r="I517" s="87">
        <v>0</v>
      </c>
      <c r="J517" s="88">
        <v>0</v>
      </c>
      <c r="K517" s="89">
        <v>0</v>
      </c>
      <c r="L517" s="90">
        <v>0</v>
      </c>
      <c r="M517" s="89">
        <v>0</v>
      </c>
      <c r="N517" s="89">
        <v>0</v>
      </c>
      <c r="O517" s="109">
        <f>SUM(Table1[[#This Row],[2022]:[YTD 2024]])</f>
        <v>0</v>
      </c>
      <c r="P517" s="219">
        <f>IFERROR(((Table1[[#This Row],[2023]]-Table1[[#This Row],[2022]])/Table1[[#This Row],[2022]]),0)</f>
        <v>0</v>
      </c>
      <c r="Q517" s="219">
        <f>IFERROR(((Table1[[#This Row],[Volume 2023]]-Table1[[#This Row],[Volume 2022]])/Table1[[#This Row],[Volume 2022]]),0)</f>
        <v>0</v>
      </c>
      <c r="R517" s="219">
        <f>Table1[[#This Row],[YoY growth]]-Table1[[#This Row],[Volume growth]]</f>
        <v>0</v>
      </c>
      <c r="S517" s="46"/>
    </row>
    <row r="518" spans="1:19" hidden="1" x14ac:dyDescent="0.25">
      <c r="A518" s="45"/>
      <c r="B518" s="41" t="s">
        <v>805</v>
      </c>
      <c r="C518" s="39" t="s">
        <v>1011</v>
      </c>
      <c r="D518" s="39" t="s">
        <v>1126</v>
      </c>
      <c r="E518" s="42" t="s">
        <v>651</v>
      </c>
      <c r="F518" s="43" t="s">
        <v>9</v>
      </c>
      <c r="G518" s="38" t="s">
        <v>20</v>
      </c>
      <c r="H518" s="79" t="s">
        <v>42</v>
      </c>
      <c r="I518" s="87">
        <v>0</v>
      </c>
      <c r="J518" s="88">
        <v>0</v>
      </c>
      <c r="K518" s="89">
        <v>0</v>
      </c>
      <c r="L518" s="90">
        <v>0</v>
      </c>
      <c r="M518" s="89">
        <v>0</v>
      </c>
      <c r="N518" s="89">
        <v>0</v>
      </c>
      <c r="O518" s="109">
        <f>SUM(Table1[[#This Row],[2022]:[YTD 2024]])</f>
        <v>0</v>
      </c>
      <c r="P518" s="219">
        <f>IFERROR(((Table1[[#This Row],[2023]]-Table1[[#This Row],[2022]])/Table1[[#This Row],[2022]]),0)</f>
        <v>0</v>
      </c>
      <c r="Q518" s="219">
        <f>IFERROR(((Table1[[#This Row],[Volume 2023]]-Table1[[#This Row],[Volume 2022]])/Table1[[#This Row],[Volume 2022]]),0)</f>
        <v>0</v>
      </c>
      <c r="R518" s="219">
        <f>Table1[[#This Row],[YoY growth]]-Table1[[#This Row],[Volume growth]]</f>
        <v>0</v>
      </c>
      <c r="S518" s="46"/>
    </row>
    <row r="519" spans="1:19" hidden="1" x14ac:dyDescent="0.25">
      <c r="A519" s="45"/>
      <c r="B519" s="41" t="s">
        <v>805</v>
      </c>
      <c r="C519" s="39" t="s">
        <v>1012</v>
      </c>
      <c r="D519" s="39" t="s">
        <v>1126</v>
      </c>
      <c r="E519" s="42" t="s">
        <v>653</v>
      </c>
      <c r="F519" s="43" t="s">
        <v>9</v>
      </c>
      <c r="G519" s="38" t="s">
        <v>30</v>
      </c>
      <c r="H519" s="79" t="s">
        <v>24</v>
      </c>
      <c r="I519" s="87">
        <v>5.7763</v>
      </c>
      <c r="J519" s="88">
        <v>9.2917000000000005</v>
      </c>
      <c r="K519" s="89">
        <v>0.95250000000000001</v>
      </c>
      <c r="L519" s="90">
        <v>311.05720000000002</v>
      </c>
      <c r="M519" s="89">
        <v>539.97619999999995</v>
      </c>
      <c r="N519" s="89">
        <v>61.781700000000001</v>
      </c>
      <c r="O519" s="109">
        <f>SUM(Table1[[#This Row],[2022]:[YTD 2024]])</f>
        <v>16.020500000000002</v>
      </c>
      <c r="P519" s="219">
        <f>IFERROR(((Table1[[#This Row],[2023]]-Table1[[#This Row],[2022]])/Table1[[#This Row],[2022]]),0)</f>
        <v>0.60859027405086308</v>
      </c>
      <c r="Q519" s="219">
        <f>IFERROR(((Table1[[#This Row],[Volume 2023]]-Table1[[#This Row],[Volume 2022]])/Table1[[#This Row],[Volume 2022]]),0)</f>
        <v>0.73593859907438219</v>
      </c>
      <c r="R519" s="219">
        <f>Table1[[#This Row],[YoY growth]]-Table1[[#This Row],[Volume growth]]</f>
        <v>-0.12734832502351912</v>
      </c>
      <c r="S519" s="46"/>
    </row>
    <row r="520" spans="1:19" hidden="1" x14ac:dyDescent="0.25">
      <c r="A520" s="45"/>
      <c r="B520" s="41" t="s">
        <v>805</v>
      </c>
      <c r="C520" s="39" t="s">
        <v>1013</v>
      </c>
      <c r="D520" s="39" t="s">
        <v>1126</v>
      </c>
      <c r="E520" s="42" t="s">
        <v>655</v>
      </c>
      <c r="F520" s="43" t="s">
        <v>9</v>
      </c>
      <c r="G520" s="38" t="s">
        <v>20</v>
      </c>
      <c r="H520" s="79" t="s">
        <v>21</v>
      </c>
      <c r="I520" s="87">
        <v>55.7286</v>
      </c>
      <c r="J520" s="88">
        <v>53.311300000000003</v>
      </c>
      <c r="K520" s="89">
        <v>19.850100000000001</v>
      </c>
      <c r="L520" s="90">
        <v>3644.6801999999998</v>
      </c>
      <c r="M520" s="89">
        <v>3675.9913999999999</v>
      </c>
      <c r="N520" s="89">
        <v>1253.7541000000001</v>
      </c>
      <c r="O520" s="109">
        <f>SUM(Table1[[#This Row],[2022]:[YTD 2024]])</f>
        <v>128.89000000000001</v>
      </c>
      <c r="P520" s="219">
        <f>IFERROR(((Table1[[#This Row],[2023]]-Table1[[#This Row],[2022]])/Table1[[#This Row],[2022]]),0)</f>
        <v>-4.3376291527151181E-2</v>
      </c>
      <c r="Q520" s="219">
        <f>IFERROR(((Table1[[#This Row],[Volume 2023]]-Table1[[#This Row],[Volume 2022]])/Table1[[#This Row],[Volume 2022]]),0)</f>
        <v>8.5909320658641326E-3</v>
      </c>
      <c r="R520" s="219">
        <f>Table1[[#This Row],[YoY growth]]-Table1[[#This Row],[Volume growth]]</f>
        <v>-5.196722359301531E-2</v>
      </c>
      <c r="S520" s="46"/>
    </row>
    <row r="521" spans="1:19" hidden="1" x14ac:dyDescent="0.25">
      <c r="A521" s="45"/>
      <c r="B521" s="41" t="s">
        <v>805</v>
      </c>
      <c r="C521" s="39" t="s">
        <v>1013</v>
      </c>
      <c r="D521" s="39" t="s">
        <v>1126</v>
      </c>
      <c r="E521" s="42" t="s">
        <v>656</v>
      </c>
      <c r="F521" s="43" t="s">
        <v>9</v>
      </c>
      <c r="G521" s="38" t="s">
        <v>30</v>
      </c>
      <c r="H521" s="79" t="s">
        <v>24</v>
      </c>
      <c r="I521" s="87">
        <v>0</v>
      </c>
      <c r="J521" s="88">
        <v>4.4955999999999996</v>
      </c>
      <c r="K521" s="89">
        <v>0</v>
      </c>
      <c r="L521" s="90">
        <v>0</v>
      </c>
      <c r="M521" s="89">
        <v>365.2654</v>
      </c>
      <c r="N521" s="89">
        <v>0</v>
      </c>
      <c r="O521" s="109">
        <f>SUM(Table1[[#This Row],[2022]:[YTD 2024]])</f>
        <v>4.4955999999999996</v>
      </c>
      <c r="P521" s="219">
        <f>IFERROR(((Table1[[#This Row],[2023]]-Table1[[#This Row],[2022]])/Table1[[#This Row],[2022]]),0)</f>
        <v>0</v>
      </c>
      <c r="Q521" s="219">
        <f>IFERROR(((Table1[[#This Row],[Volume 2023]]-Table1[[#This Row],[Volume 2022]])/Table1[[#This Row],[Volume 2022]]),0)</f>
        <v>0</v>
      </c>
      <c r="R521" s="219">
        <f>Table1[[#This Row],[YoY growth]]-Table1[[#This Row],[Volume growth]]</f>
        <v>0</v>
      </c>
      <c r="S521" s="46"/>
    </row>
    <row r="522" spans="1:19" hidden="1" x14ac:dyDescent="0.25">
      <c r="A522" s="45"/>
      <c r="B522" s="41" t="s">
        <v>805</v>
      </c>
      <c r="C522" s="39" t="s">
        <v>1013</v>
      </c>
      <c r="D522" s="39" t="s">
        <v>1126</v>
      </c>
      <c r="E522" s="42" t="s">
        <v>657</v>
      </c>
      <c r="F522" s="43" t="s">
        <v>9</v>
      </c>
      <c r="G522" s="38" t="s">
        <v>20</v>
      </c>
      <c r="H522" s="79" t="s">
        <v>103</v>
      </c>
      <c r="I522" s="87">
        <v>5.5199999999999999E-2</v>
      </c>
      <c r="J522" s="88">
        <v>0</v>
      </c>
      <c r="K522" s="89">
        <v>0</v>
      </c>
      <c r="L522" s="90">
        <v>3.36</v>
      </c>
      <c r="M522" s="89">
        <v>0</v>
      </c>
      <c r="N522" s="89">
        <v>0</v>
      </c>
      <c r="O522" s="109">
        <f>SUM(Table1[[#This Row],[2022]:[YTD 2024]])</f>
        <v>5.5199999999999999E-2</v>
      </c>
      <c r="P522" s="219">
        <f>IFERROR(((Table1[[#This Row],[2023]]-Table1[[#This Row],[2022]])/Table1[[#This Row],[2022]]),0)</f>
        <v>-1</v>
      </c>
      <c r="Q522" s="219">
        <f>IFERROR(((Table1[[#This Row],[Volume 2023]]-Table1[[#This Row],[Volume 2022]])/Table1[[#This Row],[Volume 2022]]),0)</f>
        <v>-1</v>
      </c>
      <c r="R522" s="219">
        <f>Table1[[#This Row],[YoY growth]]-Table1[[#This Row],[Volume growth]]</f>
        <v>0</v>
      </c>
      <c r="S522" s="46"/>
    </row>
    <row r="523" spans="1:19" hidden="1" x14ac:dyDescent="0.25">
      <c r="A523" s="45"/>
      <c r="B523" s="41" t="s">
        <v>805</v>
      </c>
      <c r="C523" s="39" t="s">
        <v>1014</v>
      </c>
      <c r="D523" s="39" t="s">
        <v>1126</v>
      </c>
      <c r="E523" s="42" t="s">
        <v>659</v>
      </c>
      <c r="F523" s="43" t="s">
        <v>9</v>
      </c>
      <c r="G523" s="38" t="s">
        <v>20</v>
      </c>
      <c r="H523" s="79" t="s">
        <v>24</v>
      </c>
      <c r="I523" s="87">
        <v>5.3959999999999999</v>
      </c>
      <c r="J523" s="88">
        <v>7.0095999999999998</v>
      </c>
      <c r="K523" s="89">
        <v>3.0608</v>
      </c>
      <c r="L523" s="90">
        <v>290.08819999999997</v>
      </c>
      <c r="M523" s="89">
        <v>393.84969999999998</v>
      </c>
      <c r="N523" s="89">
        <v>158.0343</v>
      </c>
      <c r="O523" s="109">
        <f>SUM(Table1[[#This Row],[2022]:[YTD 2024]])</f>
        <v>15.4664</v>
      </c>
      <c r="P523" s="219">
        <f>IFERROR(((Table1[[#This Row],[2023]]-Table1[[#This Row],[2022]])/Table1[[#This Row],[2022]]),0)</f>
        <v>0.29903632320237211</v>
      </c>
      <c r="Q523" s="219">
        <f>IFERROR(((Table1[[#This Row],[Volume 2023]]-Table1[[#This Row],[Volume 2022]])/Table1[[#This Row],[Volume 2022]]),0)</f>
        <v>0.35768948892095587</v>
      </c>
      <c r="R523" s="219">
        <f>Table1[[#This Row],[YoY growth]]-Table1[[#This Row],[Volume growth]]</f>
        <v>-5.8653165718583755E-2</v>
      </c>
      <c r="S523" s="46"/>
    </row>
    <row r="524" spans="1:19" hidden="1" x14ac:dyDescent="0.25">
      <c r="A524" s="45"/>
      <c r="B524" s="41" t="s">
        <v>805</v>
      </c>
      <c r="C524" s="39" t="s">
        <v>1014</v>
      </c>
      <c r="D524" s="39" t="s">
        <v>1126</v>
      </c>
      <c r="E524" s="42" t="s">
        <v>660</v>
      </c>
      <c r="F524" s="43" t="s">
        <v>9</v>
      </c>
      <c r="G524" s="38" t="s">
        <v>30</v>
      </c>
      <c r="H524" s="79" t="s">
        <v>661</v>
      </c>
      <c r="I524" s="87">
        <v>39.775100000000002</v>
      </c>
      <c r="J524" s="88">
        <v>29.160399999999999</v>
      </c>
      <c r="K524" s="89">
        <v>6.0876999999999999</v>
      </c>
      <c r="L524" s="90">
        <v>2342.4566</v>
      </c>
      <c r="M524" s="89">
        <v>1534.7882999999999</v>
      </c>
      <c r="N524" s="89">
        <v>287.5865</v>
      </c>
      <c r="O524" s="109">
        <f>SUM(Table1[[#This Row],[2022]:[YTD 2024]])</f>
        <v>75.023200000000003</v>
      </c>
      <c r="P524" s="219">
        <f>IFERROR(((Table1[[#This Row],[2023]]-Table1[[#This Row],[2022]])/Table1[[#This Row],[2022]]),0)</f>
        <v>-0.26686796513396577</v>
      </c>
      <c r="Q524" s="219">
        <f>IFERROR(((Table1[[#This Row],[Volume 2023]]-Table1[[#This Row],[Volume 2022]])/Table1[[#This Row],[Volume 2022]]),0)</f>
        <v>-0.34479541691402099</v>
      </c>
      <c r="R524" s="219">
        <f>Table1[[#This Row],[YoY growth]]-Table1[[#This Row],[Volume growth]]</f>
        <v>7.7927451780055224E-2</v>
      </c>
      <c r="S524" s="46"/>
    </row>
    <row r="525" spans="1:19" hidden="1" x14ac:dyDescent="0.25">
      <c r="A525" s="45"/>
      <c r="B525" s="41" t="s">
        <v>805</v>
      </c>
      <c r="C525" s="39" t="s">
        <v>1014</v>
      </c>
      <c r="D525" s="39" t="s">
        <v>1126</v>
      </c>
      <c r="E525" s="42" t="s">
        <v>662</v>
      </c>
      <c r="F525" s="43" t="s">
        <v>9</v>
      </c>
      <c r="G525" s="38" t="s">
        <v>20</v>
      </c>
      <c r="H525" s="79" t="s">
        <v>42</v>
      </c>
      <c r="I525" s="87">
        <v>73.361099999999993</v>
      </c>
      <c r="J525" s="88">
        <v>57.603700000000003</v>
      </c>
      <c r="K525" s="89">
        <v>12.2355</v>
      </c>
      <c r="L525" s="90">
        <v>4307.2969000000003</v>
      </c>
      <c r="M525" s="89">
        <v>3235.6705999999999</v>
      </c>
      <c r="N525" s="89">
        <v>650.06870000000004</v>
      </c>
      <c r="O525" s="109">
        <f>SUM(Table1[[#This Row],[2022]:[YTD 2024]])</f>
        <v>143.2003</v>
      </c>
      <c r="P525" s="219">
        <f>IFERROR(((Table1[[#This Row],[2023]]-Table1[[#This Row],[2022]])/Table1[[#This Row],[2022]]),0)</f>
        <v>-0.21479230818512796</v>
      </c>
      <c r="Q525" s="219">
        <f>IFERROR(((Table1[[#This Row],[Volume 2023]]-Table1[[#This Row],[Volume 2022]])/Table1[[#This Row],[Volume 2022]]),0)</f>
        <v>-0.24879322806839721</v>
      </c>
      <c r="R525" s="219">
        <f>Table1[[#This Row],[YoY growth]]-Table1[[#This Row],[Volume growth]]</f>
        <v>3.4000919883269254E-2</v>
      </c>
      <c r="S525" s="46"/>
    </row>
    <row r="526" spans="1:19" hidden="1" x14ac:dyDescent="0.25">
      <c r="A526" s="45"/>
      <c r="B526" s="41" t="s">
        <v>805</v>
      </c>
      <c r="C526" s="39" t="s">
        <v>1014</v>
      </c>
      <c r="D526" s="39" t="s">
        <v>1126</v>
      </c>
      <c r="E526" s="42" t="s">
        <v>663</v>
      </c>
      <c r="F526" s="43" t="s">
        <v>9</v>
      </c>
      <c r="G526" s="38" t="s">
        <v>20</v>
      </c>
      <c r="H526" s="79" t="s">
        <v>42</v>
      </c>
      <c r="I526" s="87">
        <v>7.6637000000000004</v>
      </c>
      <c r="J526" s="88">
        <v>5.7187999999999999</v>
      </c>
      <c r="K526" s="89">
        <v>3.4293999999999998</v>
      </c>
      <c r="L526" s="90">
        <v>412.75630000000001</v>
      </c>
      <c r="M526" s="89">
        <v>314.68810000000002</v>
      </c>
      <c r="N526" s="89">
        <v>185.42320000000001</v>
      </c>
      <c r="O526" s="109">
        <f>SUM(Table1[[#This Row],[2022]:[YTD 2024]])</f>
        <v>16.811900000000001</v>
      </c>
      <c r="P526" s="219">
        <f>IFERROR(((Table1[[#This Row],[2023]]-Table1[[#This Row],[2022]])/Table1[[#This Row],[2022]]),0)</f>
        <v>-0.25378081083549725</v>
      </c>
      <c r="Q526" s="219">
        <f>IFERROR(((Table1[[#This Row],[Volume 2023]]-Table1[[#This Row],[Volume 2022]])/Table1[[#This Row],[Volume 2022]]),0)</f>
        <v>-0.23759346616877802</v>
      </c>
      <c r="R526" s="219">
        <f>Table1[[#This Row],[YoY growth]]-Table1[[#This Row],[Volume growth]]</f>
        <v>-1.6187344666719228E-2</v>
      </c>
      <c r="S526" s="46"/>
    </row>
    <row r="527" spans="1:19" hidden="1" x14ac:dyDescent="0.25">
      <c r="A527" s="45"/>
      <c r="B527" s="41" t="s">
        <v>805</v>
      </c>
      <c r="C527" s="39" t="s">
        <v>1014</v>
      </c>
      <c r="D527" s="39" t="s">
        <v>1126</v>
      </c>
      <c r="E527" s="42" t="s">
        <v>664</v>
      </c>
      <c r="F527" s="43" t="s">
        <v>9</v>
      </c>
      <c r="G527" s="38" t="s">
        <v>20</v>
      </c>
      <c r="H527" s="79" t="s">
        <v>42</v>
      </c>
      <c r="I527" s="87">
        <v>97.800700000000006</v>
      </c>
      <c r="J527" s="88">
        <v>61.680799999999998</v>
      </c>
      <c r="K527" s="89">
        <v>23.825800000000001</v>
      </c>
      <c r="L527" s="90">
        <v>4426.3535000000002</v>
      </c>
      <c r="M527" s="89">
        <v>2861.6763999999998</v>
      </c>
      <c r="N527" s="89">
        <v>975.65369999999996</v>
      </c>
      <c r="O527" s="109">
        <f>SUM(Table1[[#This Row],[2022]:[YTD 2024]])</f>
        <v>183.3073</v>
      </c>
      <c r="P527" s="219">
        <f>IFERROR(((Table1[[#This Row],[2023]]-Table1[[#This Row],[2022]])/Table1[[#This Row],[2022]]),0)</f>
        <v>-0.36932148747401611</v>
      </c>
      <c r="Q527" s="219">
        <f>IFERROR(((Table1[[#This Row],[Volume 2023]]-Table1[[#This Row],[Volume 2022]])/Table1[[#This Row],[Volume 2022]]),0)</f>
        <v>-0.35349122025613189</v>
      </c>
      <c r="R527" s="219">
        <f>Table1[[#This Row],[YoY growth]]-Table1[[#This Row],[Volume growth]]</f>
        <v>-1.583026721788422E-2</v>
      </c>
      <c r="S527" s="46"/>
    </row>
    <row r="528" spans="1:19" hidden="1" x14ac:dyDescent="0.25">
      <c r="A528" s="45"/>
      <c r="B528" s="41" t="s">
        <v>805</v>
      </c>
      <c r="C528" s="39" t="s">
        <v>1014</v>
      </c>
      <c r="D528" s="39" t="s">
        <v>1126</v>
      </c>
      <c r="E528" s="42" t="s">
        <v>665</v>
      </c>
      <c r="F528" s="43" t="s">
        <v>9</v>
      </c>
      <c r="G528" s="38" t="s">
        <v>20</v>
      </c>
      <c r="H528" s="79" t="s">
        <v>17</v>
      </c>
      <c r="I528" s="87">
        <v>137.74010000000001</v>
      </c>
      <c r="J528" s="88">
        <v>71.2029</v>
      </c>
      <c r="K528" s="89">
        <v>36.735799999999998</v>
      </c>
      <c r="L528" s="90">
        <v>9592.0316999999995</v>
      </c>
      <c r="M528" s="89">
        <v>4713.7775000000001</v>
      </c>
      <c r="N528" s="89">
        <v>2155.8667</v>
      </c>
      <c r="O528" s="109">
        <f>SUM(Table1[[#This Row],[2022]:[YTD 2024]])</f>
        <v>245.67880000000002</v>
      </c>
      <c r="P528" s="219">
        <f>IFERROR(((Table1[[#This Row],[2023]]-Table1[[#This Row],[2022]])/Table1[[#This Row],[2022]]),0)</f>
        <v>-0.48306339257776065</v>
      </c>
      <c r="Q528" s="219">
        <f>IFERROR(((Table1[[#This Row],[Volume 2023]]-Table1[[#This Row],[Volume 2022]])/Table1[[#This Row],[Volume 2022]]),0)</f>
        <v>-0.50857361115685218</v>
      </c>
      <c r="R528" s="219">
        <f>Table1[[#This Row],[YoY growth]]-Table1[[#This Row],[Volume growth]]</f>
        <v>2.5510218579091526E-2</v>
      </c>
      <c r="S528" s="46"/>
    </row>
    <row r="529" spans="1:19" hidden="1" x14ac:dyDescent="0.25">
      <c r="A529" s="45"/>
      <c r="B529" s="41" t="s">
        <v>805</v>
      </c>
      <c r="C529" s="39" t="s">
        <v>1014</v>
      </c>
      <c r="D529" s="39" t="s">
        <v>1126</v>
      </c>
      <c r="E529" s="42" t="s">
        <v>666</v>
      </c>
      <c r="F529" s="43" t="s">
        <v>9</v>
      </c>
      <c r="G529" s="38" t="s">
        <v>30</v>
      </c>
      <c r="H529" s="79" t="s">
        <v>17</v>
      </c>
      <c r="I529" s="87">
        <v>34.508099999999999</v>
      </c>
      <c r="J529" s="88">
        <v>21.348800000000001</v>
      </c>
      <c r="K529" s="89">
        <v>13.753299999999999</v>
      </c>
      <c r="L529" s="90">
        <v>2073.3334</v>
      </c>
      <c r="M529" s="89">
        <v>1342.2397000000001</v>
      </c>
      <c r="N529" s="89">
        <v>736.28099999999995</v>
      </c>
      <c r="O529" s="109">
        <f>SUM(Table1[[#This Row],[2022]:[YTD 2024]])</f>
        <v>69.610199999999992</v>
      </c>
      <c r="P529" s="219">
        <f>IFERROR(((Table1[[#This Row],[2023]]-Table1[[#This Row],[2022]])/Table1[[#This Row],[2022]]),0)</f>
        <v>-0.38133945363552324</v>
      </c>
      <c r="Q529" s="219">
        <f>IFERROR(((Table1[[#This Row],[Volume 2023]]-Table1[[#This Row],[Volume 2022]])/Table1[[#This Row],[Volume 2022]]),0)</f>
        <v>-0.35261752885474179</v>
      </c>
      <c r="R529" s="219">
        <f>Table1[[#This Row],[YoY growth]]-Table1[[#This Row],[Volume growth]]</f>
        <v>-2.8721924780781449E-2</v>
      </c>
      <c r="S529" s="46"/>
    </row>
    <row r="530" spans="1:19" hidden="1" x14ac:dyDescent="0.25">
      <c r="A530" s="45"/>
      <c r="B530" s="41" t="s">
        <v>805</v>
      </c>
      <c r="C530" s="39" t="s">
        <v>1015</v>
      </c>
      <c r="D530" s="39" t="s">
        <v>1126</v>
      </c>
      <c r="E530" s="42" t="s">
        <v>668</v>
      </c>
      <c r="F530" s="43" t="s">
        <v>9</v>
      </c>
      <c r="G530" s="38" t="s">
        <v>20</v>
      </c>
      <c r="H530" s="79" t="s">
        <v>42</v>
      </c>
      <c r="I530" s="87">
        <v>0</v>
      </c>
      <c r="J530" s="88">
        <v>0</v>
      </c>
      <c r="K530" s="89">
        <v>0</v>
      </c>
      <c r="L530" s="90">
        <v>0</v>
      </c>
      <c r="M530" s="89">
        <v>0</v>
      </c>
      <c r="N530" s="89">
        <v>0</v>
      </c>
      <c r="O530" s="109">
        <f>SUM(Table1[[#This Row],[2022]:[YTD 2024]])</f>
        <v>0</v>
      </c>
      <c r="P530" s="219">
        <f>IFERROR(((Table1[[#This Row],[2023]]-Table1[[#This Row],[2022]])/Table1[[#This Row],[2022]]),0)</f>
        <v>0</v>
      </c>
      <c r="Q530" s="219">
        <f>IFERROR(((Table1[[#This Row],[Volume 2023]]-Table1[[#This Row],[Volume 2022]])/Table1[[#This Row],[Volume 2022]]),0)</f>
        <v>0</v>
      </c>
      <c r="R530" s="219">
        <f>Table1[[#This Row],[YoY growth]]-Table1[[#This Row],[Volume growth]]</f>
        <v>0</v>
      </c>
      <c r="S530" s="46"/>
    </row>
    <row r="531" spans="1:19" hidden="1" x14ac:dyDescent="0.25">
      <c r="A531" s="45"/>
      <c r="B531" s="41" t="s">
        <v>805</v>
      </c>
      <c r="C531" s="39" t="s">
        <v>1016</v>
      </c>
      <c r="D531" s="39" t="s">
        <v>1126</v>
      </c>
      <c r="E531" s="42" t="s">
        <v>670</v>
      </c>
      <c r="F531" s="43" t="s">
        <v>9</v>
      </c>
      <c r="G531" s="38" t="s">
        <v>20</v>
      </c>
      <c r="H531" s="79" t="s">
        <v>42</v>
      </c>
      <c r="I531" s="87">
        <v>0</v>
      </c>
      <c r="J531" s="88">
        <v>3.1300000000000001E-2</v>
      </c>
      <c r="K531" s="89">
        <v>0</v>
      </c>
      <c r="L531" s="90">
        <v>0</v>
      </c>
      <c r="M531" s="89">
        <v>1.2579</v>
      </c>
      <c r="N531" s="89">
        <v>0</v>
      </c>
      <c r="O531" s="109">
        <f>SUM(Table1[[#This Row],[2022]:[YTD 2024]])</f>
        <v>3.1300000000000001E-2</v>
      </c>
      <c r="P531" s="219">
        <f>IFERROR(((Table1[[#This Row],[2023]]-Table1[[#This Row],[2022]])/Table1[[#This Row],[2022]]),0)</f>
        <v>0</v>
      </c>
      <c r="Q531" s="219">
        <f>IFERROR(((Table1[[#This Row],[Volume 2023]]-Table1[[#This Row],[Volume 2022]])/Table1[[#This Row],[Volume 2022]]),0)</f>
        <v>0</v>
      </c>
      <c r="R531" s="219">
        <f>Table1[[#This Row],[YoY growth]]-Table1[[#This Row],[Volume growth]]</f>
        <v>0</v>
      </c>
      <c r="S531" s="46"/>
    </row>
    <row r="532" spans="1:19" hidden="1" x14ac:dyDescent="0.25">
      <c r="A532" s="45"/>
      <c r="B532" s="41" t="s">
        <v>806</v>
      </c>
      <c r="C532" s="39" t="s">
        <v>1017</v>
      </c>
      <c r="D532" s="39" t="s">
        <v>1128</v>
      </c>
      <c r="E532" s="42" t="s">
        <v>672</v>
      </c>
      <c r="F532" s="43" t="s">
        <v>9</v>
      </c>
      <c r="G532" s="38" t="s">
        <v>64</v>
      </c>
      <c r="H532" s="79" t="s">
        <v>99</v>
      </c>
      <c r="I532" s="87">
        <v>7.7399999999999997E-2</v>
      </c>
      <c r="J532" s="88">
        <v>0.20100000000000001</v>
      </c>
      <c r="K532" s="89">
        <v>1.1599999999999999E-2</v>
      </c>
      <c r="L532" s="90">
        <v>1.2943</v>
      </c>
      <c r="M532" s="89">
        <v>3.8485999999999998</v>
      </c>
      <c r="N532" s="89">
        <v>0.1971</v>
      </c>
      <c r="O532" s="109">
        <f>SUM(Table1[[#This Row],[2022]:[YTD 2024]])</f>
        <v>0.28999999999999998</v>
      </c>
      <c r="P532" s="219">
        <f>IFERROR(((Table1[[#This Row],[2023]]-Table1[[#This Row],[2022]])/Table1[[#This Row],[2022]]),0)</f>
        <v>1.5968992248062017</v>
      </c>
      <c r="Q532" s="219">
        <f>IFERROR(((Table1[[#This Row],[Volume 2023]]-Table1[[#This Row],[Volume 2022]])/Table1[[#This Row],[Volume 2022]]),0)</f>
        <v>1.9734991887506756</v>
      </c>
      <c r="R532" s="219">
        <f>Table1[[#This Row],[YoY growth]]-Table1[[#This Row],[Volume growth]]</f>
        <v>-0.37659996394447393</v>
      </c>
      <c r="S532" s="46"/>
    </row>
    <row r="533" spans="1:19" hidden="1" x14ac:dyDescent="0.25">
      <c r="A533" s="45"/>
      <c r="B533" s="41" t="s">
        <v>806</v>
      </c>
      <c r="C533" s="39" t="s">
        <v>1017</v>
      </c>
      <c r="D533" s="39" t="s">
        <v>1128</v>
      </c>
      <c r="E533" s="42" t="s">
        <v>673</v>
      </c>
      <c r="F533" s="43" t="s">
        <v>9</v>
      </c>
      <c r="G533" s="38" t="s">
        <v>20</v>
      </c>
      <c r="H533" s="79" t="s">
        <v>42</v>
      </c>
      <c r="I533" s="87">
        <v>6.8400000000000002E-2</v>
      </c>
      <c r="J533" s="88">
        <v>9.8500000000000004E-2</v>
      </c>
      <c r="K533" s="89">
        <v>3.8800000000000001E-2</v>
      </c>
      <c r="L533" s="90">
        <v>1.5943000000000001</v>
      </c>
      <c r="M533" s="89">
        <v>2.7256999999999998</v>
      </c>
      <c r="N533" s="89">
        <v>0.93600000000000005</v>
      </c>
      <c r="O533" s="109">
        <f>SUM(Table1[[#This Row],[2022]:[YTD 2024]])</f>
        <v>0.20569999999999999</v>
      </c>
      <c r="P533" s="219">
        <f>IFERROR(((Table1[[#This Row],[2023]]-Table1[[#This Row],[2022]])/Table1[[#This Row],[2022]]),0)</f>
        <v>0.44005847953216376</v>
      </c>
      <c r="Q533" s="219">
        <f>IFERROR(((Table1[[#This Row],[Volume 2023]]-Table1[[#This Row],[Volume 2022]])/Table1[[#This Row],[Volume 2022]]),0)</f>
        <v>0.70965313930878737</v>
      </c>
      <c r="R533" s="219">
        <f>Table1[[#This Row],[YoY growth]]-Table1[[#This Row],[Volume growth]]</f>
        <v>-0.26959465977662361</v>
      </c>
      <c r="S533" s="46"/>
    </row>
    <row r="534" spans="1:19" hidden="1" x14ac:dyDescent="0.25">
      <c r="A534" s="45"/>
      <c r="B534" s="41" t="s">
        <v>807</v>
      </c>
      <c r="C534" s="39" t="s">
        <v>1018</v>
      </c>
      <c r="D534" s="39" t="s">
        <v>1129</v>
      </c>
      <c r="E534" s="42" t="s">
        <v>675</v>
      </c>
      <c r="F534" s="43" t="s">
        <v>9</v>
      </c>
      <c r="G534" s="38" t="s">
        <v>20</v>
      </c>
      <c r="H534" s="79" t="s">
        <v>21</v>
      </c>
      <c r="I534" s="87">
        <v>1.2095</v>
      </c>
      <c r="J534" s="88">
        <v>0</v>
      </c>
      <c r="K534" s="89">
        <v>0</v>
      </c>
      <c r="L534" s="90">
        <v>58.601599999999998</v>
      </c>
      <c r="M534" s="89">
        <v>0</v>
      </c>
      <c r="N534" s="89">
        <v>0</v>
      </c>
      <c r="O534" s="109">
        <f>SUM(Table1[[#This Row],[2022]:[YTD 2024]])</f>
        <v>1.2095</v>
      </c>
      <c r="P534" s="219">
        <f>IFERROR(((Table1[[#This Row],[2023]]-Table1[[#This Row],[2022]])/Table1[[#This Row],[2022]]),0)</f>
        <v>-1</v>
      </c>
      <c r="Q534" s="219">
        <f>IFERROR(((Table1[[#This Row],[Volume 2023]]-Table1[[#This Row],[Volume 2022]])/Table1[[#This Row],[Volume 2022]]),0)</f>
        <v>-1</v>
      </c>
      <c r="R534" s="219">
        <f>Table1[[#This Row],[YoY growth]]-Table1[[#This Row],[Volume growth]]</f>
        <v>0</v>
      </c>
      <c r="S534" s="46"/>
    </row>
    <row r="535" spans="1:19" hidden="1" x14ac:dyDescent="0.25">
      <c r="A535" s="45"/>
      <c r="B535" s="41" t="s">
        <v>807</v>
      </c>
      <c r="C535" s="39" t="s">
        <v>1018</v>
      </c>
      <c r="D535" s="39" t="s">
        <v>1129</v>
      </c>
      <c r="E535" s="42" t="s">
        <v>676</v>
      </c>
      <c r="F535" s="43" t="s">
        <v>9</v>
      </c>
      <c r="G535" s="38" t="s">
        <v>20</v>
      </c>
      <c r="H535" s="79" t="s">
        <v>21</v>
      </c>
      <c r="I535" s="87">
        <v>0</v>
      </c>
      <c r="J535" s="88">
        <v>0</v>
      </c>
      <c r="K535" s="89">
        <v>0</v>
      </c>
      <c r="L535" s="90">
        <v>0</v>
      </c>
      <c r="M535" s="89">
        <v>0</v>
      </c>
      <c r="N535" s="89">
        <v>0</v>
      </c>
      <c r="O535" s="109">
        <f>SUM(Table1[[#This Row],[2022]:[YTD 2024]])</f>
        <v>0</v>
      </c>
      <c r="P535" s="219">
        <f>IFERROR(((Table1[[#This Row],[2023]]-Table1[[#This Row],[2022]])/Table1[[#This Row],[2022]]),0)</f>
        <v>0</v>
      </c>
      <c r="Q535" s="219">
        <f>IFERROR(((Table1[[#This Row],[Volume 2023]]-Table1[[#This Row],[Volume 2022]])/Table1[[#This Row],[Volume 2022]]),0)</f>
        <v>0</v>
      </c>
      <c r="R535" s="219">
        <f>Table1[[#This Row],[YoY growth]]-Table1[[#This Row],[Volume growth]]</f>
        <v>0</v>
      </c>
      <c r="S535" s="46"/>
    </row>
    <row r="536" spans="1:19" hidden="1" x14ac:dyDescent="0.25">
      <c r="A536" s="45"/>
      <c r="B536" s="41" t="s">
        <v>807</v>
      </c>
      <c r="C536" s="39" t="s">
        <v>1018</v>
      </c>
      <c r="D536" s="39" t="s">
        <v>1129</v>
      </c>
      <c r="E536" s="42" t="s">
        <v>677</v>
      </c>
      <c r="F536" s="43" t="s">
        <v>9</v>
      </c>
      <c r="G536" s="38" t="s">
        <v>20</v>
      </c>
      <c r="H536" s="80" t="s">
        <v>24</v>
      </c>
      <c r="I536" s="87">
        <v>3.4049</v>
      </c>
      <c r="J536" s="88">
        <v>0</v>
      </c>
      <c r="K536" s="89">
        <v>0</v>
      </c>
      <c r="L536" s="90">
        <v>181.5942</v>
      </c>
      <c r="M536" s="89">
        <v>0</v>
      </c>
      <c r="N536" s="89">
        <v>0</v>
      </c>
      <c r="O536" s="109">
        <f>SUM(Table1[[#This Row],[2022]:[YTD 2024]])</f>
        <v>3.4049</v>
      </c>
      <c r="P536" s="219">
        <f>IFERROR(((Table1[[#This Row],[2023]]-Table1[[#This Row],[2022]])/Table1[[#This Row],[2022]]),0)</f>
        <v>-1</v>
      </c>
      <c r="Q536" s="219">
        <f>IFERROR(((Table1[[#This Row],[Volume 2023]]-Table1[[#This Row],[Volume 2022]])/Table1[[#This Row],[Volume 2022]]),0)</f>
        <v>-1</v>
      </c>
      <c r="R536" s="219">
        <f>Table1[[#This Row],[YoY growth]]-Table1[[#This Row],[Volume growth]]</f>
        <v>0</v>
      </c>
      <c r="S536" s="46"/>
    </row>
    <row r="537" spans="1:19" hidden="1" x14ac:dyDescent="0.25">
      <c r="A537" s="45"/>
      <c r="B537" s="41" t="s">
        <v>807</v>
      </c>
      <c r="C537" s="39" t="s">
        <v>1018</v>
      </c>
      <c r="D537" s="39" t="s">
        <v>1129</v>
      </c>
      <c r="E537" s="42" t="s">
        <v>678</v>
      </c>
      <c r="F537" s="43" t="s">
        <v>9</v>
      </c>
      <c r="G537" s="38" t="s">
        <v>20</v>
      </c>
      <c r="H537" s="80" t="s">
        <v>42</v>
      </c>
      <c r="I537" s="87">
        <v>0.27539999999999998</v>
      </c>
      <c r="J537" s="88">
        <v>0</v>
      </c>
      <c r="K537" s="89">
        <v>0</v>
      </c>
      <c r="L537" s="90">
        <v>11.6632</v>
      </c>
      <c r="M537" s="89">
        <v>0</v>
      </c>
      <c r="N537" s="89">
        <v>0</v>
      </c>
      <c r="O537" s="109">
        <f>SUM(Table1[[#This Row],[2022]:[YTD 2024]])</f>
        <v>0.27539999999999998</v>
      </c>
      <c r="P537" s="219">
        <f>IFERROR(((Table1[[#This Row],[2023]]-Table1[[#This Row],[2022]])/Table1[[#This Row],[2022]]),0)</f>
        <v>-1</v>
      </c>
      <c r="Q537" s="219">
        <f>IFERROR(((Table1[[#This Row],[Volume 2023]]-Table1[[#This Row],[Volume 2022]])/Table1[[#This Row],[Volume 2022]]),0)</f>
        <v>-1</v>
      </c>
      <c r="R537" s="219">
        <f>Table1[[#This Row],[YoY growth]]-Table1[[#This Row],[Volume growth]]</f>
        <v>0</v>
      </c>
      <c r="S537" s="46"/>
    </row>
    <row r="538" spans="1:19" hidden="1" x14ac:dyDescent="0.25">
      <c r="A538" s="45"/>
      <c r="B538" s="41" t="s">
        <v>807</v>
      </c>
      <c r="C538" s="39" t="s">
        <v>1018</v>
      </c>
      <c r="D538" s="39" t="s">
        <v>1129</v>
      </c>
      <c r="E538" s="42" t="s">
        <v>679</v>
      </c>
      <c r="F538" s="43" t="s">
        <v>9</v>
      </c>
      <c r="G538" s="38" t="s">
        <v>20</v>
      </c>
      <c r="H538" s="79" t="s">
        <v>42</v>
      </c>
      <c r="I538" s="87">
        <v>0.36249999999999999</v>
      </c>
      <c r="J538" s="88">
        <v>0</v>
      </c>
      <c r="K538" s="89">
        <v>0</v>
      </c>
      <c r="L538" s="90">
        <v>17.400500000000001</v>
      </c>
      <c r="M538" s="89">
        <v>0</v>
      </c>
      <c r="N538" s="89">
        <v>0</v>
      </c>
      <c r="O538" s="109">
        <f>SUM(Table1[[#This Row],[2022]:[YTD 2024]])</f>
        <v>0.36249999999999999</v>
      </c>
      <c r="P538" s="219">
        <f>IFERROR(((Table1[[#This Row],[2023]]-Table1[[#This Row],[2022]])/Table1[[#This Row],[2022]]),0)</f>
        <v>-1</v>
      </c>
      <c r="Q538" s="219">
        <f>IFERROR(((Table1[[#This Row],[Volume 2023]]-Table1[[#This Row],[Volume 2022]])/Table1[[#This Row],[Volume 2022]]),0)</f>
        <v>-1</v>
      </c>
      <c r="R538" s="219">
        <f>Table1[[#This Row],[YoY growth]]-Table1[[#This Row],[Volume growth]]</f>
        <v>0</v>
      </c>
      <c r="S538" s="46"/>
    </row>
    <row r="539" spans="1:19" ht="24.75" hidden="1" x14ac:dyDescent="0.25">
      <c r="A539" s="45"/>
      <c r="B539" s="41" t="s">
        <v>808</v>
      </c>
      <c r="C539" s="39" t="s">
        <v>1019</v>
      </c>
      <c r="D539" s="39" t="s">
        <v>1020</v>
      </c>
      <c r="E539" s="42" t="s">
        <v>681</v>
      </c>
      <c r="F539" s="43" t="s">
        <v>9</v>
      </c>
      <c r="G539" s="38" t="s">
        <v>10</v>
      </c>
      <c r="H539" s="79" t="s">
        <v>11</v>
      </c>
      <c r="I539" s="87">
        <v>0</v>
      </c>
      <c r="J539" s="88">
        <v>0</v>
      </c>
      <c r="K539" s="89">
        <v>0</v>
      </c>
      <c r="L539" s="90">
        <v>0</v>
      </c>
      <c r="M539" s="89">
        <v>0</v>
      </c>
      <c r="N539" s="89">
        <v>0</v>
      </c>
      <c r="O539" s="109">
        <f>SUM(Table1[[#This Row],[2022]:[YTD 2024]])</f>
        <v>0</v>
      </c>
      <c r="P539" s="219">
        <f>IFERROR(((Table1[[#This Row],[2023]]-Table1[[#This Row],[2022]])/Table1[[#This Row],[2022]]),0)</f>
        <v>0</v>
      </c>
      <c r="Q539" s="219">
        <f>IFERROR(((Table1[[#This Row],[Volume 2023]]-Table1[[#This Row],[Volume 2022]])/Table1[[#This Row],[Volume 2022]]),0)</f>
        <v>0</v>
      </c>
      <c r="R539" s="219">
        <f>Table1[[#This Row],[YoY growth]]-Table1[[#This Row],[Volume growth]]</f>
        <v>0</v>
      </c>
      <c r="S539" s="46"/>
    </row>
    <row r="540" spans="1:19" ht="24.75" hidden="1" x14ac:dyDescent="0.25">
      <c r="A540" s="45"/>
      <c r="B540" s="41" t="s">
        <v>808</v>
      </c>
      <c r="C540" s="39" t="s">
        <v>1019</v>
      </c>
      <c r="D540" s="39" t="s">
        <v>1020</v>
      </c>
      <c r="E540" s="42" t="s">
        <v>682</v>
      </c>
      <c r="F540" s="43" t="s">
        <v>9</v>
      </c>
      <c r="G540" s="38" t="s">
        <v>10</v>
      </c>
      <c r="H540" s="81" t="s">
        <v>42</v>
      </c>
      <c r="I540" s="87">
        <v>0</v>
      </c>
      <c r="J540" s="88">
        <v>0</v>
      </c>
      <c r="K540" s="89">
        <v>0</v>
      </c>
      <c r="L540" s="90">
        <v>0</v>
      </c>
      <c r="M540" s="89">
        <v>0</v>
      </c>
      <c r="N540" s="89">
        <v>0</v>
      </c>
      <c r="O540" s="109">
        <f>SUM(Table1[[#This Row],[2022]:[YTD 2024]])</f>
        <v>0</v>
      </c>
      <c r="P540" s="219">
        <f>IFERROR(((Table1[[#This Row],[2023]]-Table1[[#This Row],[2022]])/Table1[[#This Row],[2022]]),0)</f>
        <v>0</v>
      </c>
      <c r="Q540" s="219">
        <f>IFERROR(((Table1[[#This Row],[Volume 2023]]-Table1[[#This Row],[Volume 2022]])/Table1[[#This Row],[Volume 2022]]),0)</f>
        <v>0</v>
      </c>
      <c r="R540" s="219">
        <f>Table1[[#This Row],[YoY growth]]-Table1[[#This Row],[Volume growth]]</f>
        <v>0</v>
      </c>
      <c r="S540" s="46"/>
    </row>
    <row r="541" spans="1:19" hidden="1" x14ac:dyDescent="0.25">
      <c r="A541" s="45"/>
      <c r="B541" s="41" t="s">
        <v>809</v>
      </c>
      <c r="C541" s="39" t="s">
        <v>1021</v>
      </c>
      <c r="D541" s="39" t="s">
        <v>1130</v>
      </c>
      <c r="E541" s="42" t="s">
        <v>827</v>
      </c>
      <c r="F541" s="43" t="s">
        <v>9</v>
      </c>
      <c r="G541" s="38" t="s">
        <v>20</v>
      </c>
      <c r="H541" s="81" t="s">
        <v>24</v>
      </c>
      <c r="I541" s="87">
        <v>0</v>
      </c>
      <c r="J541" s="88">
        <v>0</v>
      </c>
      <c r="K541" s="89">
        <v>3.1633</v>
      </c>
      <c r="L541" s="90">
        <v>0</v>
      </c>
      <c r="M541" s="89">
        <v>0</v>
      </c>
      <c r="N541" s="89">
        <v>171.71680000000001</v>
      </c>
      <c r="O541" s="109">
        <f>SUM(Table1[[#This Row],[2022]:[YTD 2024]])</f>
        <v>3.1633</v>
      </c>
      <c r="P541" s="219">
        <f>IFERROR(((Table1[[#This Row],[2023]]-Table1[[#This Row],[2022]])/Table1[[#This Row],[2022]]),0)</f>
        <v>0</v>
      </c>
      <c r="Q541" s="219">
        <f>IFERROR(((Table1[[#This Row],[Volume 2023]]-Table1[[#This Row],[Volume 2022]])/Table1[[#This Row],[Volume 2022]]),0)</f>
        <v>0</v>
      </c>
      <c r="R541" s="219">
        <f>Table1[[#This Row],[YoY growth]]-Table1[[#This Row],[Volume growth]]</f>
        <v>0</v>
      </c>
      <c r="S541" s="46"/>
    </row>
    <row r="542" spans="1:19" hidden="1" x14ac:dyDescent="0.25">
      <c r="A542" s="45"/>
      <c r="B542" s="41" t="s">
        <v>810</v>
      </c>
      <c r="C542" s="39" t="s">
        <v>1022</v>
      </c>
      <c r="D542" s="39" t="s">
        <v>1131</v>
      </c>
      <c r="E542" s="42" t="s">
        <v>685</v>
      </c>
      <c r="F542" s="43" t="s">
        <v>9</v>
      </c>
      <c r="G542" s="38" t="s">
        <v>20</v>
      </c>
      <c r="H542" s="81" t="s">
        <v>24</v>
      </c>
      <c r="I542" s="87">
        <v>0</v>
      </c>
      <c r="J542" s="88">
        <v>10.313499999999999</v>
      </c>
      <c r="K542" s="89">
        <v>10.635400000000001</v>
      </c>
      <c r="L542" s="90">
        <v>0</v>
      </c>
      <c r="M542" s="89">
        <v>475.9119</v>
      </c>
      <c r="N542" s="89">
        <v>461.80500000000001</v>
      </c>
      <c r="O542" s="109">
        <f>SUM(Table1[[#This Row],[2022]:[YTD 2024]])</f>
        <v>20.948900000000002</v>
      </c>
      <c r="P542" s="219">
        <f>IFERROR(((Table1[[#This Row],[2023]]-Table1[[#This Row],[2022]])/Table1[[#This Row],[2022]]),0)</f>
        <v>0</v>
      </c>
      <c r="Q542" s="219">
        <f>IFERROR(((Table1[[#This Row],[Volume 2023]]-Table1[[#This Row],[Volume 2022]])/Table1[[#This Row],[Volume 2022]]),0)</f>
        <v>0</v>
      </c>
      <c r="R542" s="219">
        <f>Table1[[#This Row],[YoY growth]]-Table1[[#This Row],[Volume growth]]</f>
        <v>0</v>
      </c>
      <c r="S542" s="46"/>
    </row>
    <row r="543" spans="1:19" hidden="1" x14ac:dyDescent="0.25">
      <c r="A543" s="45"/>
      <c r="B543" s="41" t="s">
        <v>810</v>
      </c>
      <c r="C543" s="39" t="s">
        <v>1022</v>
      </c>
      <c r="D543" s="39" t="s">
        <v>1131</v>
      </c>
      <c r="E543" s="42" t="s">
        <v>686</v>
      </c>
      <c r="F543" s="43" t="s">
        <v>9</v>
      </c>
      <c r="G543" s="38" t="s">
        <v>20</v>
      </c>
      <c r="H543" s="81" t="s">
        <v>42</v>
      </c>
      <c r="I543" s="87">
        <v>54.988799999999998</v>
      </c>
      <c r="J543" s="88">
        <v>32.909799999999997</v>
      </c>
      <c r="K543" s="89">
        <v>13.822900000000001</v>
      </c>
      <c r="L543" s="90">
        <v>1994.8981000000001</v>
      </c>
      <c r="M543" s="89">
        <v>1164.6792</v>
      </c>
      <c r="N543" s="89">
        <v>463.84859999999998</v>
      </c>
      <c r="O543" s="109">
        <f>SUM(Table1[[#This Row],[2022]:[YTD 2024]])</f>
        <v>101.72149999999999</v>
      </c>
      <c r="P543" s="219">
        <f>IFERROR(((Table1[[#This Row],[2023]]-Table1[[#This Row],[2022]])/Table1[[#This Row],[2022]]),0)</f>
        <v>-0.40151812732774678</v>
      </c>
      <c r="Q543" s="219">
        <f>IFERROR(((Table1[[#This Row],[Volume 2023]]-Table1[[#This Row],[Volume 2022]])/Table1[[#This Row],[Volume 2022]]),0)</f>
        <v>-0.41617108162066024</v>
      </c>
      <c r="R543" s="219">
        <f>Table1[[#This Row],[YoY growth]]-Table1[[#This Row],[Volume growth]]</f>
        <v>1.4652954292913467E-2</v>
      </c>
      <c r="S543" s="46"/>
    </row>
    <row r="544" spans="1:19" hidden="1" x14ac:dyDescent="0.25">
      <c r="A544" s="45"/>
      <c r="B544" s="41" t="s">
        <v>810</v>
      </c>
      <c r="C544" s="39" t="s">
        <v>1023</v>
      </c>
      <c r="D544" s="39" t="s">
        <v>1131</v>
      </c>
      <c r="E544" s="42" t="s">
        <v>688</v>
      </c>
      <c r="F544" s="43" t="s">
        <v>9</v>
      </c>
      <c r="G544" s="38" t="s">
        <v>20</v>
      </c>
      <c r="H544" s="81" t="s">
        <v>42</v>
      </c>
      <c r="I544" s="87">
        <v>0.1076</v>
      </c>
      <c r="J544" s="88">
        <v>0.1249</v>
      </c>
      <c r="K544" s="89">
        <v>7.1900000000000006E-2</v>
      </c>
      <c r="L544" s="90">
        <v>5.5374999999999996</v>
      </c>
      <c r="M544" s="89">
        <v>6.4203000000000001</v>
      </c>
      <c r="N544" s="89">
        <v>3.698</v>
      </c>
      <c r="O544" s="109">
        <f>SUM(Table1[[#This Row],[2022]:[YTD 2024]])</f>
        <v>0.3044</v>
      </c>
      <c r="P544" s="219">
        <f>IFERROR(((Table1[[#This Row],[2023]]-Table1[[#This Row],[2022]])/Table1[[#This Row],[2022]]),0)</f>
        <v>0.16078066914498138</v>
      </c>
      <c r="Q544" s="219">
        <f>IFERROR(((Table1[[#This Row],[Volume 2023]]-Table1[[#This Row],[Volume 2022]])/Table1[[#This Row],[Volume 2022]]),0)</f>
        <v>0.15942212189616262</v>
      </c>
      <c r="R544" s="219">
        <f>Table1[[#This Row],[YoY growth]]-Table1[[#This Row],[Volume growth]]</f>
        <v>1.3585472488187589E-3</v>
      </c>
      <c r="S544" s="46"/>
    </row>
    <row r="545" spans="1:19" hidden="1" x14ac:dyDescent="0.25">
      <c r="A545" s="45"/>
      <c r="B545" s="41" t="s">
        <v>811</v>
      </c>
      <c r="C545" s="39" t="s">
        <v>1024</v>
      </c>
      <c r="D545" s="39" t="s">
        <v>1132</v>
      </c>
      <c r="E545" s="42" t="s">
        <v>690</v>
      </c>
      <c r="F545" s="43" t="s">
        <v>9</v>
      </c>
      <c r="G545" s="38" t="s">
        <v>30</v>
      </c>
      <c r="H545" s="81" t="s">
        <v>99</v>
      </c>
      <c r="I545" s="87">
        <v>0.30349999999999999</v>
      </c>
      <c r="J545" s="88">
        <v>7.7100000000000002E-2</v>
      </c>
      <c r="K545" s="89">
        <v>0</v>
      </c>
      <c r="L545" s="90">
        <v>10.7111</v>
      </c>
      <c r="M545" s="89">
        <v>2.9864999999999999</v>
      </c>
      <c r="N545" s="89">
        <v>0</v>
      </c>
      <c r="O545" s="109">
        <f>SUM(Table1[[#This Row],[2022]:[YTD 2024]])</f>
        <v>0.38059999999999999</v>
      </c>
      <c r="P545" s="219">
        <f>IFERROR(((Table1[[#This Row],[2023]]-Table1[[#This Row],[2022]])/Table1[[#This Row],[2022]]),0)</f>
        <v>-0.74596375617792421</v>
      </c>
      <c r="Q545" s="219">
        <f>IFERROR(((Table1[[#This Row],[Volume 2023]]-Table1[[#This Row],[Volume 2022]])/Table1[[#This Row],[Volume 2022]]),0)</f>
        <v>-0.72117709665673935</v>
      </c>
      <c r="R545" s="219">
        <f>Table1[[#This Row],[YoY growth]]-Table1[[#This Row],[Volume growth]]</f>
        <v>-2.4786659521184862E-2</v>
      </c>
      <c r="S545" s="46"/>
    </row>
    <row r="546" spans="1:19" hidden="1" x14ac:dyDescent="0.25">
      <c r="A546" s="45"/>
      <c r="B546" s="41" t="s">
        <v>811</v>
      </c>
      <c r="C546" s="39" t="s">
        <v>1024</v>
      </c>
      <c r="D546" s="39" t="s">
        <v>1132</v>
      </c>
      <c r="E546" s="42" t="s">
        <v>691</v>
      </c>
      <c r="F546" s="43" t="s">
        <v>9</v>
      </c>
      <c r="G546" s="38" t="s">
        <v>30</v>
      </c>
      <c r="H546" s="81" t="s">
        <v>42</v>
      </c>
      <c r="I546" s="87">
        <v>34.620800000000003</v>
      </c>
      <c r="J546" s="88">
        <v>13.6218</v>
      </c>
      <c r="K546" s="89">
        <v>2.1793999999999998</v>
      </c>
      <c r="L546" s="90">
        <v>2351.0409</v>
      </c>
      <c r="M546" s="89">
        <v>917.37919999999997</v>
      </c>
      <c r="N546" s="89">
        <v>151.65029999999999</v>
      </c>
      <c r="O546" s="109">
        <f>SUM(Table1[[#This Row],[2022]:[YTD 2024]])</f>
        <v>50.422000000000004</v>
      </c>
      <c r="P546" s="219">
        <f>IFERROR(((Table1[[#This Row],[2023]]-Table1[[#This Row],[2022]])/Table1[[#This Row],[2022]]),0)</f>
        <v>-0.60654288751270913</v>
      </c>
      <c r="Q546" s="219">
        <f>IFERROR(((Table1[[#This Row],[Volume 2023]]-Table1[[#This Row],[Volume 2022]])/Table1[[#This Row],[Volume 2022]]),0)</f>
        <v>-0.60979870660693314</v>
      </c>
      <c r="R546" s="219">
        <f>Table1[[#This Row],[YoY growth]]-Table1[[#This Row],[Volume growth]]</f>
        <v>3.2558190942240106E-3</v>
      </c>
      <c r="S546" s="46"/>
    </row>
    <row r="547" spans="1:19" hidden="1" x14ac:dyDescent="0.25">
      <c r="A547" s="45"/>
      <c r="B547" s="41" t="s">
        <v>812</v>
      </c>
      <c r="C547" s="39" t="s">
        <v>1025</v>
      </c>
      <c r="D547" s="39" t="s">
        <v>1133</v>
      </c>
      <c r="E547" s="42" t="s">
        <v>693</v>
      </c>
      <c r="F547" s="43" t="s">
        <v>9</v>
      </c>
      <c r="G547" s="38" t="s">
        <v>10</v>
      </c>
      <c r="H547" s="80" t="s">
        <v>24</v>
      </c>
      <c r="I547" s="87">
        <v>0</v>
      </c>
      <c r="J547" s="88">
        <v>0</v>
      </c>
      <c r="K547" s="89">
        <v>1.9407000000000001</v>
      </c>
      <c r="L547" s="90">
        <v>0</v>
      </c>
      <c r="M547" s="89">
        <v>0</v>
      </c>
      <c r="N547" s="89">
        <v>110.1146</v>
      </c>
      <c r="O547" s="109">
        <f>SUM(Table1[[#This Row],[2022]:[YTD 2024]])</f>
        <v>1.9407000000000001</v>
      </c>
      <c r="P547" s="219">
        <f>IFERROR(((Table1[[#This Row],[2023]]-Table1[[#This Row],[2022]])/Table1[[#This Row],[2022]]),0)</f>
        <v>0</v>
      </c>
      <c r="Q547" s="219">
        <f>IFERROR(((Table1[[#This Row],[Volume 2023]]-Table1[[#This Row],[Volume 2022]])/Table1[[#This Row],[Volume 2022]]),0)</f>
        <v>0</v>
      </c>
      <c r="R547" s="219">
        <f>Table1[[#This Row],[YoY growth]]-Table1[[#This Row],[Volume growth]]</f>
        <v>0</v>
      </c>
      <c r="S547" s="46"/>
    </row>
    <row r="548" spans="1:19" hidden="1" x14ac:dyDescent="0.25">
      <c r="A548" s="45"/>
      <c r="B548" s="41" t="s">
        <v>813</v>
      </c>
      <c r="C548" s="39" t="s">
        <v>988</v>
      </c>
      <c r="D548" s="39" t="s">
        <v>1134</v>
      </c>
      <c r="E548" s="42" t="s">
        <v>695</v>
      </c>
      <c r="F548" s="43" t="s">
        <v>9</v>
      </c>
      <c r="G548" s="38" t="s">
        <v>20</v>
      </c>
      <c r="H548" s="80" t="s">
        <v>42</v>
      </c>
      <c r="I548" s="87">
        <v>2.0785999999999998</v>
      </c>
      <c r="J548" s="88">
        <v>7.1199999999999999E-2</v>
      </c>
      <c r="K548" s="89">
        <v>0</v>
      </c>
      <c r="L548" s="90">
        <v>104.04649999999999</v>
      </c>
      <c r="M548" s="89">
        <v>3.8216000000000001</v>
      </c>
      <c r="N548" s="89">
        <v>0</v>
      </c>
      <c r="O548" s="109">
        <f>SUM(Table1[[#This Row],[2022]:[YTD 2024]])</f>
        <v>2.1497999999999999</v>
      </c>
      <c r="P548" s="219">
        <f>IFERROR(((Table1[[#This Row],[2023]]-Table1[[#This Row],[2022]])/Table1[[#This Row],[2022]]),0)</f>
        <v>-0.96574617531030493</v>
      </c>
      <c r="Q548" s="219">
        <f>IFERROR(((Table1[[#This Row],[Volume 2023]]-Table1[[#This Row],[Volume 2022]])/Table1[[#This Row],[Volume 2022]]),0)</f>
        <v>-0.96327026858183595</v>
      </c>
      <c r="R548" s="219">
        <f>Table1[[#This Row],[YoY growth]]-Table1[[#This Row],[Volume growth]]</f>
        <v>-2.4759067284689795E-3</v>
      </c>
      <c r="S548" s="46"/>
    </row>
    <row r="549" spans="1:19" hidden="1" x14ac:dyDescent="0.25">
      <c r="A549" s="45"/>
      <c r="B549" s="41" t="s">
        <v>814</v>
      </c>
      <c r="C549" s="39" t="s">
        <v>1026</v>
      </c>
      <c r="D549" s="39" t="s">
        <v>1135</v>
      </c>
      <c r="E549" s="42" t="s">
        <v>697</v>
      </c>
      <c r="F549" s="43" t="s">
        <v>9</v>
      </c>
      <c r="G549" s="38" t="s">
        <v>30</v>
      </c>
      <c r="H549" s="80" t="s">
        <v>24</v>
      </c>
      <c r="I549" s="87">
        <v>0</v>
      </c>
      <c r="J549" s="88">
        <v>0</v>
      </c>
      <c r="K549" s="89">
        <v>0.1532</v>
      </c>
      <c r="L549" s="90">
        <v>0</v>
      </c>
      <c r="M549" s="89">
        <v>0</v>
      </c>
      <c r="N549" s="89">
        <v>9.1946999999999992</v>
      </c>
      <c r="O549" s="109">
        <f>SUM(Table1[[#This Row],[2022]:[YTD 2024]])</f>
        <v>0.1532</v>
      </c>
      <c r="P549" s="219">
        <f>IFERROR(((Table1[[#This Row],[2023]]-Table1[[#This Row],[2022]])/Table1[[#This Row],[2022]]),0)</f>
        <v>0</v>
      </c>
      <c r="Q549" s="219">
        <f>IFERROR(((Table1[[#This Row],[Volume 2023]]-Table1[[#This Row],[Volume 2022]])/Table1[[#This Row],[Volume 2022]]),0)</f>
        <v>0</v>
      </c>
      <c r="R549" s="219">
        <f>Table1[[#This Row],[YoY growth]]-Table1[[#This Row],[Volume growth]]</f>
        <v>0</v>
      </c>
      <c r="S549" s="46"/>
    </row>
    <row r="550" spans="1:19" hidden="1" x14ac:dyDescent="0.25">
      <c r="A550" s="45"/>
      <c r="B550" s="41" t="s">
        <v>814</v>
      </c>
      <c r="C550" s="39" t="s">
        <v>1027</v>
      </c>
      <c r="D550" s="39" t="s">
        <v>1136</v>
      </c>
      <c r="E550" s="42" t="s">
        <v>699</v>
      </c>
      <c r="F550" s="43" t="s">
        <v>9</v>
      </c>
      <c r="G550" s="38" t="s">
        <v>30</v>
      </c>
      <c r="H550" s="80" t="s">
        <v>42</v>
      </c>
      <c r="I550" s="87">
        <v>0</v>
      </c>
      <c r="J550" s="88">
        <v>2.8000000000000001E-2</v>
      </c>
      <c r="K550" s="89">
        <v>14.061199999999999</v>
      </c>
      <c r="L550" s="90">
        <v>0</v>
      </c>
      <c r="M550" s="89">
        <v>1.8513999999999999</v>
      </c>
      <c r="N550" s="89">
        <v>850.57989999999995</v>
      </c>
      <c r="O550" s="109">
        <f>SUM(Table1[[#This Row],[2022]:[YTD 2024]])</f>
        <v>14.0892</v>
      </c>
      <c r="P550" s="219">
        <f>IFERROR(((Table1[[#This Row],[2023]]-Table1[[#This Row],[2022]])/Table1[[#This Row],[2022]]),0)</f>
        <v>0</v>
      </c>
      <c r="Q550" s="219">
        <f>IFERROR(((Table1[[#This Row],[Volume 2023]]-Table1[[#This Row],[Volume 2022]])/Table1[[#This Row],[Volume 2022]]),0)</f>
        <v>0</v>
      </c>
      <c r="R550" s="219">
        <f>Table1[[#This Row],[YoY growth]]-Table1[[#This Row],[Volume growth]]</f>
        <v>0</v>
      </c>
      <c r="S550" s="46"/>
    </row>
    <row r="551" spans="1:19" hidden="1" x14ac:dyDescent="0.25">
      <c r="A551" s="45"/>
      <c r="B551" s="41" t="s">
        <v>814</v>
      </c>
      <c r="C551" s="39" t="s">
        <v>1027</v>
      </c>
      <c r="D551" s="39" t="s">
        <v>1136</v>
      </c>
      <c r="E551" s="42" t="s">
        <v>700</v>
      </c>
      <c r="F551" s="43" t="s">
        <v>9</v>
      </c>
      <c r="G551" s="38" t="s">
        <v>30</v>
      </c>
      <c r="H551" s="80" t="s">
        <v>42</v>
      </c>
      <c r="I551" s="87">
        <v>0</v>
      </c>
      <c r="J551" s="88">
        <v>3.1899999999999998E-2</v>
      </c>
      <c r="K551" s="89">
        <v>8.1054999999999993</v>
      </c>
      <c r="L551" s="90">
        <v>0</v>
      </c>
      <c r="M551" s="89">
        <v>2.1086</v>
      </c>
      <c r="N551" s="89">
        <v>502.96</v>
      </c>
      <c r="O551" s="109">
        <f>SUM(Table1[[#This Row],[2022]:[YTD 2024]])</f>
        <v>8.1373999999999995</v>
      </c>
      <c r="P551" s="219">
        <f>IFERROR(((Table1[[#This Row],[2023]]-Table1[[#This Row],[2022]])/Table1[[#This Row],[2022]]),0)</f>
        <v>0</v>
      </c>
      <c r="Q551" s="219">
        <f>IFERROR(((Table1[[#This Row],[Volume 2023]]-Table1[[#This Row],[Volume 2022]])/Table1[[#This Row],[Volume 2022]]),0)</f>
        <v>0</v>
      </c>
      <c r="R551" s="219">
        <f>Table1[[#This Row],[YoY growth]]-Table1[[#This Row],[Volume growth]]</f>
        <v>0</v>
      </c>
      <c r="S551" s="46"/>
    </row>
    <row r="552" spans="1:19" hidden="1" x14ac:dyDescent="0.25">
      <c r="A552" s="45"/>
      <c r="B552" s="41" t="s">
        <v>815</v>
      </c>
      <c r="C552" s="39" t="s">
        <v>1028</v>
      </c>
      <c r="D552" s="39" t="s">
        <v>1137</v>
      </c>
      <c r="E552" s="42" t="s">
        <v>702</v>
      </c>
      <c r="F552" s="43" t="s">
        <v>9</v>
      </c>
      <c r="G552" s="38" t="s">
        <v>64</v>
      </c>
      <c r="H552" s="80" t="s">
        <v>21</v>
      </c>
      <c r="I552" s="87">
        <v>0</v>
      </c>
      <c r="J552" s="88">
        <v>0</v>
      </c>
      <c r="K552" s="89">
        <v>0</v>
      </c>
      <c r="L552" s="90">
        <v>0</v>
      </c>
      <c r="M552" s="89">
        <v>0</v>
      </c>
      <c r="N552" s="89">
        <v>0</v>
      </c>
      <c r="O552" s="109">
        <f>SUM(Table1[[#This Row],[2022]:[YTD 2024]])</f>
        <v>0</v>
      </c>
      <c r="P552" s="219">
        <f>IFERROR(((Table1[[#This Row],[2023]]-Table1[[#This Row],[2022]])/Table1[[#This Row],[2022]]),0)</f>
        <v>0</v>
      </c>
      <c r="Q552" s="219">
        <f>IFERROR(((Table1[[#This Row],[Volume 2023]]-Table1[[#This Row],[Volume 2022]])/Table1[[#This Row],[Volume 2022]]),0)</f>
        <v>0</v>
      </c>
      <c r="R552" s="219">
        <f>Table1[[#This Row],[YoY growth]]-Table1[[#This Row],[Volume growth]]</f>
        <v>0</v>
      </c>
      <c r="S552" s="46"/>
    </row>
    <row r="553" spans="1:19" hidden="1" x14ac:dyDescent="0.25">
      <c r="A553" s="45"/>
      <c r="B553" s="41" t="s">
        <v>816</v>
      </c>
      <c r="C553" s="39" t="s">
        <v>1029</v>
      </c>
      <c r="D553" s="39" t="s">
        <v>1138</v>
      </c>
      <c r="E553" s="42" t="s">
        <v>704</v>
      </c>
      <c r="F553" s="43" t="s">
        <v>9</v>
      </c>
      <c r="G553" s="38" t="s">
        <v>30</v>
      </c>
      <c r="H553" s="80" t="s">
        <v>24</v>
      </c>
      <c r="I553" s="87">
        <v>25.839099999999998</v>
      </c>
      <c r="J553" s="88">
        <v>9.0121000000000002</v>
      </c>
      <c r="K553" s="89">
        <v>10.0204</v>
      </c>
      <c r="L553" s="90">
        <v>1539.4739</v>
      </c>
      <c r="M553" s="89">
        <v>509.45670000000001</v>
      </c>
      <c r="N553" s="89">
        <v>585.52229999999997</v>
      </c>
      <c r="O553" s="109">
        <f>SUM(Table1[[#This Row],[2022]:[YTD 2024]])</f>
        <v>44.871600000000001</v>
      </c>
      <c r="P553" s="219">
        <f>IFERROR(((Table1[[#This Row],[2023]]-Table1[[#This Row],[2022]])/Table1[[#This Row],[2022]]),0)</f>
        <v>-0.65122237229624869</v>
      </c>
      <c r="Q553" s="219">
        <f>IFERROR(((Table1[[#This Row],[Volume 2023]]-Table1[[#This Row],[Volume 2022]])/Table1[[#This Row],[Volume 2022]]),0)</f>
        <v>-0.66907090792510349</v>
      </c>
      <c r="R553" s="219">
        <f>Table1[[#This Row],[YoY growth]]-Table1[[#This Row],[Volume growth]]</f>
        <v>1.78485356288548E-2</v>
      </c>
      <c r="S553" s="46"/>
    </row>
    <row r="554" spans="1:19" hidden="1" x14ac:dyDescent="0.25">
      <c r="A554" s="45"/>
      <c r="B554" s="41" t="s">
        <v>817</v>
      </c>
      <c r="C554" s="39" t="s">
        <v>1030</v>
      </c>
      <c r="D554" s="39" t="s">
        <v>1139</v>
      </c>
      <c r="E554" s="42" t="s">
        <v>706</v>
      </c>
      <c r="F554" s="43" t="s">
        <v>9</v>
      </c>
      <c r="G554" s="38" t="s">
        <v>249</v>
      </c>
      <c r="H554" s="80" t="s">
        <v>15</v>
      </c>
      <c r="I554" s="87">
        <v>9.0969999999999995</v>
      </c>
      <c r="J554" s="88">
        <v>13.0891</v>
      </c>
      <c r="K554" s="89">
        <v>4.6460999999999997</v>
      </c>
      <c r="L554" s="90">
        <v>134.3818</v>
      </c>
      <c r="M554" s="89">
        <v>186.4109</v>
      </c>
      <c r="N554" s="89">
        <v>56.316099999999999</v>
      </c>
      <c r="O554" s="109">
        <f>SUM(Table1[[#This Row],[2022]:[YTD 2024]])</f>
        <v>26.8322</v>
      </c>
      <c r="P554" s="219">
        <f>IFERROR(((Table1[[#This Row],[2023]]-Table1[[#This Row],[2022]])/Table1[[#This Row],[2022]]),0)</f>
        <v>0.43883697922392007</v>
      </c>
      <c r="Q554" s="219">
        <f>IFERROR(((Table1[[#This Row],[Volume 2023]]-Table1[[#This Row],[Volume 2022]])/Table1[[#This Row],[Volume 2022]]),0)</f>
        <v>0.38717370953507096</v>
      </c>
      <c r="R554" s="219">
        <f>Table1[[#This Row],[YoY growth]]-Table1[[#This Row],[Volume growth]]</f>
        <v>5.1663269688849101E-2</v>
      </c>
      <c r="S554" s="46"/>
    </row>
    <row r="555" spans="1:19" hidden="1" x14ac:dyDescent="0.25">
      <c r="A555" s="45"/>
      <c r="B555" s="41" t="s">
        <v>817</v>
      </c>
      <c r="C555" s="39" t="s">
        <v>1030</v>
      </c>
      <c r="D555" s="39" t="s">
        <v>1139</v>
      </c>
      <c r="E555" s="42" t="s">
        <v>707</v>
      </c>
      <c r="F555" s="43" t="s">
        <v>9</v>
      </c>
      <c r="G555" s="38" t="s">
        <v>64</v>
      </c>
      <c r="H555" s="80" t="s">
        <v>15</v>
      </c>
      <c r="I555" s="87">
        <v>10.3986</v>
      </c>
      <c r="J555" s="88">
        <v>26.6724</v>
      </c>
      <c r="K555" s="89">
        <v>21.6234</v>
      </c>
      <c r="L555" s="90">
        <v>151.6679</v>
      </c>
      <c r="M555" s="89">
        <v>465.6979</v>
      </c>
      <c r="N555" s="89">
        <v>443.52179999999998</v>
      </c>
      <c r="O555" s="109">
        <f>SUM(Table1[[#This Row],[2022]:[YTD 2024]])</f>
        <v>58.694400000000002</v>
      </c>
      <c r="P555" s="219">
        <f>IFERROR(((Table1[[#This Row],[2023]]-Table1[[#This Row],[2022]])/Table1[[#This Row],[2022]]),0)</f>
        <v>1.564999134498875</v>
      </c>
      <c r="Q555" s="219">
        <f>IFERROR(((Table1[[#This Row],[Volume 2023]]-Table1[[#This Row],[Volume 2022]])/Table1[[#This Row],[Volume 2022]]),0)</f>
        <v>2.0705106354080196</v>
      </c>
      <c r="R555" s="219">
        <f>Table1[[#This Row],[YoY growth]]-Table1[[#This Row],[Volume growth]]</f>
        <v>-0.50551150090914465</v>
      </c>
      <c r="S555" s="46"/>
    </row>
    <row r="556" spans="1:19" hidden="1" x14ac:dyDescent="0.25">
      <c r="A556" s="45"/>
      <c r="B556" s="41" t="s">
        <v>818</v>
      </c>
      <c r="C556" s="39" t="s">
        <v>988</v>
      </c>
      <c r="D556" s="39" t="s">
        <v>1140</v>
      </c>
      <c r="E556" s="42" t="s">
        <v>709</v>
      </c>
      <c r="F556" s="43" t="s">
        <v>9</v>
      </c>
      <c r="G556" s="38" t="s">
        <v>20</v>
      </c>
      <c r="H556" s="80" t="s">
        <v>42</v>
      </c>
      <c r="I556" s="91">
        <v>1.8396999999999999</v>
      </c>
      <c r="J556" s="92">
        <v>4.3616000000000001</v>
      </c>
      <c r="K556" s="93">
        <v>0</v>
      </c>
      <c r="L556" s="94">
        <v>115.49760000000001</v>
      </c>
      <c r="M556" s="93">
        <v>300.46589999999998</v>
      </c>
      <c r="N556" s="93">
        <v>0</v>
      </c>
      <c r="O556" s="109">
        <f>SUM(Table1[[#This Row],[2022]:[YTD 2024]])</f>
        <v>6.2012999999999998</v>
      </c>
      <c r="P556" s="219">
        <f>IFERROR(((Table1[[#This Row],[2023]]-Table1[[#This Row],[2022]])/Table1[[#This Row],[2022]]),0)</f>
        <v>1.3708213295646032</v>
      </c>
      <c r="Q556" s="219">
        <f>IFERROR(((Table1[[#This Row],[Volume 2023]]-Table1[[#This Row],[Volume 2022]])/Table1[[#This Row],[Volume 2022]]),0)</f>
        <v>1.6014904205801677</v>
      </c>
      <c r="R556" s="219">
        <f>Table1[[#This Row],[YoY growth]]-Table1[[#This Row],[Volume growth]]</f>
        <v>-0.23066909101556443</v>
      </c>
      <c r="S556" s="46"/>
    </row>
    <row r="557" spans="1:19" x14ac:dyDescent="0.25">
      <c r="C557" s="40"/>
      <c r="D557" s="40"/>
    </row>
    <row r="558" spans="1:19" x14ac:dyDescent="0.25">
      <c r="C558" s="40"/>
      <c r="D558" s="40"/>
    </row>
    <row r="559" spans="1:19" x14ac:dyDescent="0.25">
      <c r="C559" s="40"/>
      <c r="D559" s="40"/>
    </row>
  </sheetData>
  <mergeCells count="4">
    <mergeCell ref="E1:E2"/>
    <mergeCell ref="F1:H1"/>
    <mergeCell ref="I1:K1"/>
    <mergeCell ref="P1:R1"/>
  </mergeCells>
  <phoneticPr fontId="16" type="noConversion"/>
  <conditionalFormatting sqref="B12:B34">
    <cfRule type="top10" dxfId="5" priority="1" percent="1" rank="10"/>
  </conditionalFormatting>
  <conditionalFormatting sqref="O6:O556">
    <cfRule type="top10" dxfId="4" priority="10" percent="1" rank="10"/>
  </conditionalFormatting>
  <conditionalFormatting sqref="P12:P492">
    <cfRule type="dataBar" priority="2">
      <dataBar>
        <cfvo type="min"/>
        <cfvo type="max"/>
        <color rgb="FF638EC6"/>
      </dataBar>
      <extLst>
        <ext xmlns:x14="http://schemas.microsoft.com/office/spreadsheetml/2009/9/main" uri="{B025F937-C7B1-47D3-B67F-A62EFF666E3E}">
          <x14:id>{67C32AD5-8F71-4FCD-B922-FBF6633BEF64}</x14:id>
        </ext>
      </extLst>
    </cfRule>
    <cfRule type="top10" dxfId="3" priority="5" percent="1" rank="10"/>
    <cfRule type="dataBar" priority="7">
      <dataBar>
        <cfvo type="min"/>
        <cfvo type="max"/>
        <color rgb="FF638EC6"/>
      </dataBar>
      <extLst>
        <ext xmlns:x14="http://schemas.microsoft.com/office/spreadsheetml/2009/9/main" uri="{B025F937-C7B1-47D3-B67F-A62EFF666E3E}">
          <x14:id>{B961DEB8-5B6E-4B38-BA62-3815322C6F57}</x14:id>
        </ext>
      </extLst>
    </cfRule>
  </conditionalFormatting>
  <conditionalFormatting sqref="Q12:Q492">
    <cfRule type="top10" dxfId="2" priority="4" percent="1" rank="10"/>
  </conditionalFormatting>
  <conditionalFormatting sqref="R12:R492">
    <cfRule type="top10" dxfId="1" priority="3" percent="1" rank="10"/>
  </conditionalFormatting>
  <dataValidations count="1">
    <dataValidation type="list" allowBlank="1" showInputMessage="1" showErrorMessage="1" sqref="B6:D556" xr:uid="{E75AD7F5-2EEF-46BD-AEEB-AB508F0B7DCC}">
      <formula1>#REF!</formula1>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7C32AD5-8F71-4FCD-B922-FBF6633BEF64}">
            <x14:dataBar minLength="0" maxLength="100" gradient="0">
              <x14:cfvo type="autoMin"/>
              <x14:cfvo type="max"/>
              <x14:negativeFillColor rgb="FFFF0000"/>
              <x14:axisColor rgb="FF000000"/>
            </x14:dataBar>
          </x14:cfRule>
          <x14:cfRule type="dataBar" id="{B961DEB8-5B6E-4B38-BA62-3815322C6F57}">
            <x14:dataBar minLength="0" maxLength="100" gradient="0">
              <x14:cfvo type="autoMin"/>
              <x14:cfvo type="autoMax"/>
              <x14:negativeFillColor rgb="FFFF0000"/>
              <x14:axisColor rgb="FF000000"/>
            </x14:dataBar>
          </x14:cfRule>
          <xm:sqref>P12:P492</xm:sqref>
        </x14:conditionalFormatting>
      </x14:conditionalFormattings>
    </ext>
    <ext xmlns:x14="http://schemas.microsoft.com/office/spreadsheetml/2009/9/main" uri="{05C60535-1F16-4fd2-B633-F4F36F0B64E0}">
      <x14:sparklineGroups xmlns:xm="http://schemas.microsoft.com/office/excel/2006/main">
        <x14:sparklineGroup manualMax="0" manualMin="0" displayEmptyCellsAs="gap" xr2:uid="{FB4B02C0-690A-4C1F-BB94-6F1D9323AB22}">
          <x14:colorSeries rgb="FF376092"/>
          <x14:colorNegative rgb="FFD00000"/>
          <x14:colorAxis rgb="FF000000"/>
          <x14:colorMarkers rgb="FFD00000"/>
          <x14:colorFirst rgb="FFD00000"/>
          <x14:colorLast rgb="FFD00000"/>
          <x14:colorHigh rgb="FFD00000"/>
          <x14:colorLow rgb="FFD00000"/>
          <x14:sparklines>
            <x14:sparkline>
              <xm:f>productdetails!I12:K12</xm:f>
              <xm:sqref>S12</xm:sqref>
            </x14:sparkline>
            <x14:sparkline>
              <xm:f>productdetails!I13:K13</xm:f>
              <xm:sqref>S13</xm:sqref>
            </x14:sparkline>
            <x14:sparkline>
              <xm:f>productdetails!I14:K14</xm:f>
              <xm:sqref>S14</xm:sqref>
            </x14:sparkline>
            <x14:sparkline>
              <xm:f>productdetails!I15:K15</xm:f>
              <xm:sqref>S15</xm:sqref>
            </x14:sparkline>
            <x14:sparkline>
              <xm:f>productdetails!I16:K16</xm:f>
              <xm:sqref>S16</xm:sqref>
            </x14:sparkline>
            <x14:sparkline>
              <xm:f>productdetails!I17:K17</xm:f>
              <xm:sqref>S17</xm:sqref>
            </x14:sparkline>
            <x14:sparkline>
              <xm:f>productdetails!I18:K18</xm:f>
              <xm:sqref>S18</xm:sqref>
            </x14:sparkline>
            <x14:sparkline>
              <xm:f>productdetails!I19:K19</xm:f>
              <xm:sqref>S19</xm:sqref>
            </x14:sparkline>
            <x14:sparkline>
              <xm:f>productdetails!I20:K20</xm:f>
              <xm:sqref>S20</xm:sqref>
            </x14:sparkline>
            <x14:sparkline>
              <xm:f>productdetails!I21:K21</xm:f>
              <xm:sqref>S21</xm:sqref>
            </x14:sparkline>
            <x14:sparkline>
              <xm:f>productdetails!I22:K22</xm:f>
              <xm:sqref>S22</xm:sqref>
            </x14:sparkline>
            <x14:sparkline>
              <xm:f>productdetails!I23:K23</xm:f>
              <xm:sqref>S23</xm:sqref>
            </x14:sparkline>
            <x14:sparkline>
              <xm:f>productdetails!I24:K24</xm:f>
              <xm:sqref>S24</xm:sqref>
            </x14:sparkline>
            <x14:sparkline>
              <xm:f>productdetails!I25:K25</xm:f>
              <xm:sqref>S25</xm:sqref>
            </x14:sparkline>
            <x14:sparkline>
              <xm:f>productdetails!I26:K26</xm:f>
              <xm:sqref>S26</xm:sqref>
            </x14:sparkline>
            <x14:sparkline>
              <xm:f>productdetails!I27:K27</xm:f>
              <xm:sqref>S27</xm:sqref>
            </x14:sparkline>
            <x14:sparkline>
              <xm:f>productdetails!I28:K28</xm:f>
              <xm:sqref>S28</xm:sqref>
            </x14:sparkline>
            <x14:sparkline>
              <xm:f>productdetails!I29:K29</xm:f>
              <xm:sqref>S29</xm:sqref>
            </x14:sparkline>
            <x14:sparkline>
              <xm:f>productdetails!I30:K30</xm:f>
              <xm:sqref>S30</xm:sqref>
            </x14:sparkline>
            <x14:sparkline>
              <xm:f>productdetails!I31:K31</xm:f>
              <xm:sqref>S31</xm:sqref>
            </x14:sparkline>
            <x14:sparkline>
              <xm:f>productdetails!I32:K32</xm:f>
              <xm:sqref>S32</xm:sqref>
            </x14:sparkline>
            <x14:sparkline>
              <xm:f>productdetails!I33:K33</xm:f>
              <xm:sqref>S33</xm:sqref>
            </x14:sparkline>
            <x14:sparkline>
              <xm:f>productdetails!I34:K34</xm:f>
              <xm:sqref>S34</xm:sqref>
            </x14:sparkline>
            <x14:sparkline>
              <xm:f>productdetails!I35:K35</xm:f>
              <xm:sqref>S35</xm:sqref>
            </x14:sparkline>
            <x14:sparkline>
              <xm:f>productdetails!I36:K36</xm:f>
              <xm:sqref>S36</xm:sqref>
            </x14:sparkline>
            <x14:sparkline>
              <xm:f>productdetails!I37:K37</xm:f>
              <xm:sqref>S37</xm:sqref>
            </x14:sparkline>
            <x14:sparkline>
              <xm:f>productdetails!I38:K38</xm:f>
              <xm:sqref>S38</xm:sqref>
            </x14:sparkline>
            <x14:sparkline>
              <xm:f>productdetails!I39:K39</xm:f>
              <xm:sqref>S39</xm:sqref>
            </x14:sparkline>
            <x14:sparkline>
              <xm:f>productdetails!I40:K40</xm:f>
              <xm:sqref>S40</xm:sqref>
            </x14:sparkline>
            <x14:sparkline>
              <xm:f>productdetails!I41:K41</xm:f>
              <xm:sqref>S41</xm:sqref>
            </x14:sparkline>
            <x14:sparkline>
              <xm:f>productdetails!I42:K42</xm:f>
              <xm:sqref>S42</xm:sqref>
            </x14:sparkline>
            <x14:sparkline>
              <xm:f>productdetails!I43:K43</xm:f>
              <xm:sqref>S43</xm:sqref>
            </x14:sparkline>
            <x14:sparkline>
              <xm:f>productdetails!I44:K44</xm:f>
              <xm:sqref>S44</xm:sqref>
            </x14:sparkline>
            <x14:sparkline>
              <xm:f>productdetails!I45:K45</xm:f>
              <xm:sqref>S45</xm:sqref>
            </x14:sparkline>
            <x14:sparkline>
              <xm:f>productdetails!I46:K46</xm:f>
              <xm:sqref>S46</xm:sqref>
            </x14:sparkline>
            <x14:sparkline>
              <xm:f>productdetails!I47:K47</xm:f>
              <xm:sqref>S47</xm:sqref>
            </x14:sparkline>
            <x14:sparkline>
              <xm:f>productdetails!I48:K48</xm:f>
              <xm:sqref>S48</xm:sqref>
            </x14:sparkline>
            <x14:sparkline>
              <xm:f>productdetails!I49:K49</xm:f>
              <xm:sqref>S49</xm:sqref>
            </x14:sparkline>
            <x14:sparkline>
              <xm:f>productdetails!I50:K50</xm:f>
              <xm:sqref>S50</xm:sqref>
            </x14:sparkline>
            <x14:sparkline>
              <xm:f>productdetails!I51:K51</xm:f>
              <xm:sqref>S51</xm:sqref>
            </x14:sparkline>
            <x14:sparkline>
              <xm:f>productdetails!I52:K52</xm:f>
              <xm:sqref>S52</xm:sqref>
            </x14:sparkline>
            <x14:sparkline>
              <xm:f>productdetails!I53:K53</xm:f>
              <xm:sqref>S53</xm:sqref>
            </x14:sparkline>
            <x14:sparkline>
              <xm:f>productdetails!I54:K54</xm:f>
              <xm:sqref>S54</xm:sqref>
            </x14:sparkline>
            <x14:sparkline>
              <xm:f>productdetails!I55:K55</xm:f>
              <xm:sqref>S55</xm:sqref>
            </x14:sparkline>
            <x14:sparkline>
              <xm:f>productdetails!I56:K56</xm:f>
              <xm:sqref>S56</xm:sqref>
            </x14:sparkline>
            <x14:sparkline>
              <xm:f>productdetails!I57:K57</xm:f>
              <xm:sqref>S57</xm:sqref>
            </x14:sparkline>
            <x14:sparkline>
              <xm:f>productdetails!I58:K58</xm:f>
              <xm:sqref>S58</xm:sqref>
            </x14:sparkline>
            <x14:sparkline>
              <xm:f>productdetails!I59:K59</xm:f>
              <xm:sqref>S59</xm:sqref>
            </x14:sparkline>
            <x14:sparkline>
              <xm:f>productdetails!I60:K60</xm:f>
              <xm:sqref>S60</xm:sqref>
            </x14:sparkline>
            <x14:sparkline>
              <xm:f>productdetails!I61:K61</xm:f>
              <xm:sqref>S61</xm:sqref>
            </x14:sparkline>
            <x14:sparkline>
              <xm:f>productdetails!I62:K62</xm:f>
              <xm:sqref>S62</xm:sqref>
            </x14:sparkline>
            <x14:sparkline>
              <xm:f>productdetails!I63:K63</xm:f>
              <xm:sqref>S63</xm:sqref>
            </x14:sparkline>
            <x14:sparkline>
              <xm:f>productdetails!I64:K64</xm:f>
              <xm:sqref>S64</xm:sqref>
            </x14:sparkline>
            <x14:sparkline>
              <xm:f>productdetails!I65:K65</xm:f>
              <xm:sqref>S65</xm:sqref>
            </x14:sparkline>
            <x14:sparkline>
              <xm:f>productdetails!I66:K66</xm:f>
              <xm:sqref>S66</xm:sqref>
            </x14:sparkline>
            <x14:sparkline>
              <xm:f>productdetails!I67:K67</xm:f>
              <xm:sqref>S67</xm:sqref>
            </x14:sparkline>
            <x14:sparkline>
              <xm:f>productdetails!I68:K68</xm:f>
              <xm:sqref>S68</xm:sqref>
            </x14:sparkline>
            <x14:sparkline>
              <xm:f>productdetails!I69:K69</xm:f>
              <xm:sqref>S69</xm:sqref>
            </x14:sparkline>
            <x14:sparkline>
              <xm:f>productdetails!I70:K70</xm:f>
              <xm:sqref>S70</xm:sqref>
            </x14:sparkline>
            <x14:sparkline>
              <xm:f>productdetails!I71:K71</xm:f>
              <xm:sqref>S71</xm:sqref>
            </x14:sparkline>
            <x14:sparkline>
              <xm:f>productdetails!I72:K72</xm:f>
              <xm:sqref>S72</xm:sqref>
            </x14:sparkline>
            <x14:sparkline>
              <xm:f>productdetails!I73:K73</xm:f>
              <xm:sqref>S73</xm:sqref>
            </x14:sparkline>
            <x14:sparkline>
              <xm:f>productdetails!I74:K74</xm:f>
              <xm:sqref>S74</xm:sqref>
            </x14:sparkline>
            <x14:sparkline>
              <xm:f>productdetails!I75:K75</xm:f>
              <xm:sqref>S75</xm:sqref>
            </x14:sparkline>
            <x14:sparkline>
              <xm:f>productdetails!I76:K76</xm:f>
              <xm:sqref>S76</xm:sqref>
            </x14:sparkline>
            <x14:sparkline>
              <xm:f>productdetails!I77:K77</xm:f>
              <xm:sqref>S77</xm:sqref>
            </x14:sparkline>
            <x14:sparkline>
              <xm:f>productdetails!I78:K78</xm:f>
              <xm:sqref>S78</xm:sqref>
            </x14:sparkline>
            <x14:sparkline>
              <xm:f>productdetails!I79:K79</xm:f>
              <xm:sqref>S79</xm:sqref>
            </x14:sparkline>
            <x14:sparkline>
              <xm:f>productdetails!I80:K80</xm:f>
              <xm:sqref>S80</xm:sqref>
            </x14:sparkline>
            <x14:sparkline>
              <xm:f>productdetails!I81:K81</xm:f>
              <xm:sqref>S81</xm:sqref>
            </x14:sparkline>
            <x14:sparkline>
              <xm:f>productdetails!I82:K82</xm:f>
              <xm:sqref>S82</xm:sqref>
            </x14:sparkline>
            <x14:sparkline>
              <xm:f>productdetails!I83:K83</xm:f>
              <xm:sqref>S83</xm:sqref>
            </x14:sparkline>
            <x14:sparkline>
              <xm:f>productdetails!I84:K84</xm:f>
              <xm:sqref>S84</xm:sqref>
            </x14:sparkline>
            <x14:sparkline>
              <xm:f>productdetails!I85:K85</xm:f>
              <xm:sqref>S85</xm:sqref>
            </x14:sparkline>
            <x14:sparkline>
              <xm:f>productdetails!I86:K86</xm:f>
              <xm:sqref>S86</xm:sqref>
            </x14:sparkline>
            <x14:sparkline>
              <xm:f>productdetails!I87:K87</xm:f>
              <xm:sqref>S87</xm:sqref>
            </x14:sparkline>
            <x14:sparkline>
              <xm:f>productdetails!I88:K88</xm:f>
              <xm:sqref>S88</xm:sqref>
            </x14:sparkline>
            <x14:sparkline>
              <xm:f>productdetails!I89:K89</xm:f>
              <xm:sqref>S89</xm:sqref>
            </x14:sparkline>
            <x14:sparkline>
              <xm:f>productdetails!I90:K90</xm:f>
              <xm:sqref>S90</xm:sqref>
            </x14:sparkline>
            <x14:sparkline>
              <xm:f>productdetails!I91:K91</xm:f>
              <xm:sqref>S91</xm:sqref>
            </x14:sparkline>
            <x14:sparkline>
              <xm:f>productdetails!I92:K92</xm:f>
              <xm:sqref>S92</xm:sqref>
            </x14:sparkline>
            <x14:sparkline>
              <xm:f>productdetails!I93:K93</xm:f>
              <xm:sqref>S93</xm:sqref>
            </x14:sparkline>
            <x14:sparkline>
              <xm:f>productdetails!I94:K94</xm:f>
              <xm:sqref>S94</xm:sqref>
            </x14:sparkline>
            <x14:sparkline>
              <xm:f>productdetails!I95:K95</xm:f>
              <xm:sqref>S95</xm:sqref>
            </x14:sparkline>
            <x14:sparkline>
              <xm:f>productdetails!I96:K96</xm:f>
              <xm:sqref>S96</xm:sqref>
            </x14:sparkline>
            <x14:sparkline>
              <xm:f>productdetails!I97:K97</xm:f>
              <xm:sqref>S97</xm:sqref>
            </x14:sparkline>
            <x14:sparkline>
              <xm:f>productdetails!I98:K98</xm:f>
              <xm:sqref>S98</xm:sqref>
            </x14:sparkline>
            <x14:sparkline>
              <xm:f>productdetails!I99:K99</xm:f>
              <xm:sqref>S99</xm:sqref>
            </x14:sparkline>
            <x14:sparkline>
              <xm:f>productdetails!I100:K100</xm:f>
              <xm:sqref>S100</xm:sqref>
            </x14:sparkline>
            <x14:sparkline>
              <xm:f>productdetails!I101:K101</xm:f>
              <xm:sqref>S101</xm:sqref>
            </x14:sparkline>
            <x14:sparkline>
              <xm:f>productdetails!I102:K102</xm:f>
              <xm:sqref>S102</xm:sqref>
            </x14:sparkline>
            <x14:sparkline>
              <xm:f>productdetails!I103:K103</xm:f>
              <xm:sqref>S103</xm:sqref>
            </x14:sparkline>
            <x14:sparkline>
              <xm:f>productdetails!I104:K104</xm:f>
              <xm:sqref>S104</xm:sqref>
            </x14:sparkline>
            <x14:sparkline>
              <xm:f>productdetails!I105:K105</xm:f>
              <xm:sqref>S105</xm:sqref>
            </x14:sparkline>
            <x14:sparkline>
              <xm:f>productdetails!I106:K106</xm:f>
              <xm:sqref>S106</xm:sqref>
            </x14:sparkline>
            <x14:sparkline>
              <xm:f>productdetails!I107:K107</xm:f>
              <xm:sqref>S107</xm:sqref>
            </x14:sparkline>
            <x14:sparkline>
              <xm:f>productdetails!I108:K108</xm:f>
              <xm:sqref>S108</xm:sqref>
            </x14:sparkline>
            <x14:sparkline>
              <xm:f>productdetails!I109:K109</xm:f>
              <xm:sqref>S109</xm:sqref>
            </x14:sparkline>
            <x14:sparkline>
              <xm:f>productdetails!I110:K110</xm:f>
              <xm:sqref>S110</xm:sqref>
            </x14:sparkline>
            <x14:sparkline>
              <xm:f>productdetails!I111:K111</xm:f>
              <xm:sqref>S111</xm:sqref>
            </x14:sparkline>
            <x14:sparkline>
              <xm:f>productdetails!I112:K112</xm:f>
              <xm:sqref>S112</xm:sqref>
            </x14:sparkline>
            <x14:sparkline>
              <xm:f>productdetails!I113:K113</xm:f>
              <xm:sqref>S113</xm:sqref>
            </x14:sparkline>
            <x14:sparkline>
              <xm:f>productdetails!I114:K114</xm:f>
              <xm:sqref>S114</xm:sqref>
            </x14:sparkline>
            <x14:sparkline>
              <xm:f>productdetails!I115:K115</xm:f>
              <xm:sqref>S115</xm:sqref>
            </x14:sparkline>
            <x14:sparkline>
              <xm:f>productdetails!I116:K116</xm:f>
              <xm:sqref>S116</xm:sqref>
            </x14:sparkline>
            <x14:sparkline>
              <xm:f>productdetails!I117:K117</xm:f>
              <xm:sqref>S117</xm:sqref>
            </x14:sparkline>
            <x14:sparkline>
              <xm:f>productdetails!I118:K118</xm:f>
              <xm:sqref>S118</xm:sqref>
            </x14:sparkline>
            <x14:sparkline>
              <xm:f>productdetails!I119:K119</xm:f>
              <xm:sqref>S119</xm:sqref>
            </x14:sparkline>
            <x14:sparkline>
              <xm:f>productdetails!I120:K120</xm:f>
              <xm:sqref>S120</xm:sqref>
            </x14:sparkline>
            <x14:sparkline>
              <xm:f>productdetails!I121:K121</xm:f>
              <xm:sqref>S121</xm:sqref>
            </x14:sparkline>
            <x14:sparkline>
              <xm:f>productdetails!I122:K122</xm:f>
              <xm:sqref>S122</xm:sqref>
            </x14:sparkline>
            <x14:sparkline>
              <xm:f>productdetails!I123:K123</xm:f>
              <xm:sqref>S123</xm:sqref>
            </x14:sparkline>
            <x14:sparkline>
              <xm:f>productdetails!I124:K124</xm:f>
              <xm:sqref>S124</xm:sqref>
            </x14:sparkline>
            <x14:sparkline>
              <xm:f>productdetails!I125:K125</xm:f>
              <xm:sqref>S125</xm:sqref>
            </x14:sparkline>
            <x14:sparkline>
              <xm:f>productdetails!I126:K126</xm:f>
              <xm:sqref>S126</xm:sqref>
            </x14:sparkline>
            <x14:sparkline>
              <xm:f>productdetails!I127:K127</xm:f>
              <xm:sqref>S127</xm:sqref>
            </x14:sparkline>
            <x14:sparkline>
              <xm:f>productdetails!I128:K128</xm:f>
              <xm:sqref>S128</xm:sqref>
            </x14:sparkline>
            <x14:sparkline>
              <xm:f>productdetails!I129:K129</xm:f>
              <xm:sqref>S129</xm:sqref>
            </x14:sparkline>
            <x14:sparkline>
              <xm:f>productdetails!I130:K130</xm:f>
              <xm:sqref>S130</xm:sqref>
            </x14:sparkline>
            <x14:sparkline>
              <xm:f>productdetails!I131:K131</xm:f>
              <xm:sqref>S131</xm:sqref>
            </x14:sparkline>
            <x14:sparkline>
              <xm:f>productdetails!I132:K132</xm:f>
              <xm:sqref>S132</xm:sqref>
            </x14:sparkline>
            <x14:sparkline>
              <xm:f>productdetails!I133:K133</xm:f>
              <xm:sqref>S133</xm:sqref>
            </x14:sparkline>
            <x14:sparkline>
              <xm:f>productdetails!I134:K134</xm:f>
              <xm:sqref>S134</xm:sqref>
            </x14:sparkline>
            <x14:sparkline>
              <xm:f>productdetails!I135:K135</xm:f>
              <xm:sqref>S135</xm:sqref>
            </x14:sparkline>
            <x14:sparkline>
              <xm:f>productdetails!I136:K136</xm:f>
              <xm:sqref>S136</xm:sqref>
            </x14:sparkline>
            <x14:sparkline>
              <xm:f>productdetails!I137:K137</xm:f>
              <xm:sqref>S137</xm:sqref>
            </x14:sparkline>
            <x14:sparkline>
              <xm:f>productdetails!I138:K138</xm:f>
              <xm:sqref>S138</xm:sqref>
            </x14:sparkline>
            <x14:sparkline>
              <xm:f>productdetails!I139:K139</xm:f>
              <xm:sqref>S139</xm:sqref>
            </x14:sparkline>
            <x14:sparkline>
              <xm:f>productdetails!I140:K140</xm:f>
              <xm:sqref>S140</xm:sqref>
            </x14:sparkline>
            <x14:sparkline>
              <xm:f>productdetails!I141:K141</xm:f>
              <xm:sqref>S141</xm:sqref>
            </x14:sparkline>
            <x14:sparkline>
              <xm:f>productdetails!I142:K142</xm:f>
              <xm:sqref>S142</xm:sqref>
            </x14:sparkline>
            <x14:sparkline>
              <xm:f>productdetails!I143:K143</xm:f>
              <xm:sqref>S143</xm:sqref>
            </x14:sparkline>
            <x14:sparkline>
              <xm:f>productdetails!I144:K144</xm:f>
              <xm:sqref>S144</xm:sqref>
            </x14:sparkline>
            <x14:sparkline>
              <xm:f>productdetails!I145:K145</xm:f>
              <xm:sqref>S145</xm:sqref>
            </x14:sparkline>
            <x14:sparkline>
              <xm:f>productdetails!I146:K146</xm:f>
              <xm:sqref>S146</xm:sqref>
            </x14:sparkline>
            <x14:sparkline>
              <xm:f>productdetails!I147:K147</xm:f>
              <xm:sqref>S147</xm:sqref>
            </x14:sparkline>
            <x14:sparkline>
              <xm:f>productdetails!I148:K148</xm:f>
              <xm:sqref>S148</xm:sqref>
            </x14:sparkline>
            <x14:sparkline>
              <xm:f>productdetails!I149:K149</xm:f>
              <xm:sqref>S149</xm:sqref>
            </x14:sparkline>
            <x14:sparkline>
              <xm:f>productdetails!I150:K150</xm:f>
              <xm:sqref>S150</xm:sqref>
            </x14:sparkline>
            <x14:sparkline>
              <xm:f>productdetails!I151:K151</xm:f>
              <xm:sqref>S151</xm:sqref>
            </x14:sparkline>
            <x14:sparkline>
              <xm:f>productdetails!I152:K152</xm:f>
              <xm:sqref>S152</xm:sqref>
            </x14:sparkline>
            <x14:sparkline>
              <xm:f>productdetails!I153:K153</xm:f>
              <xm:sqref>S153</xm:sqref>
            </x14:sparkline>
            <x14:sparkline>
              <xm:f>productdetails!I154:K154</xm:f>
              <xm:sqref>S154</xm:sqref>
            </x14:sparkline>
            <x14:sparkline>
              <xm:f>productdetails!I155:K155</xm:f>
              <xm:sqref>S155</xm:sqref>
            </x14:sparkline>
            <x14:sparkline>
              <xm:f>productdetails!I156:K156</xm:f>
              <xm:sqref>S156</xm:sqref>
            </x14:sparkline>
            <x14:sparkline>
              <xm:f>productdetails!I157:K157</xm:f>
              <xm:sqref>S157</xm:sqref>
            </x14:sparkline>
            <x14:sparkline>
              <xm:f>productdetails!I158:K158</xm:f>
              <xm:sqref>S158</xm:sqref>
            </x14:sparkline>
            <x14:sparkline>
              <xm:f>productdetails!I159:K159</xm:f>
              <xm:sqref>S159</xm:sqref>
            </x14:sparkline>
            <x14:sparkline>
              <xm:f>productdetails!I160:K160</xm:f>
              <xm:sqref>S160</xm:sqref>
            </x14:sparkline>
            <x14:sparkline>
              <xm:f>productdetails!I161:K161</xm:f>
              <xm:sqref>S161</xm:sqref>
            </x14:sparkline>
            <x14:sparkline>
              <xm:f>productdetails!I162:K162</xm:f>
              <xm:sqref>S162</xm:sqref>
            </x14:sparkline>
            <x14:sparkline>
              <xm:f>productdetails!I163:K163</xm:f>
              <xm:sqref>S163</xm:sqref>
            </x14:sparkline>
            <x14:sparkline>
              <xm:f>productdetails!I164:K164</xm:f>
              <xm:sqref>S164</xm:sqref>
            </x14:sparkline>
            <x14:sparkline>
              <xm:f>productdetails!I165:K165</xm:f>
              <xm:sqref>S165</xm:sqref>
            </x14:sparkline>
            <x14:sparkline>
              <xm:f>productdetails!I166:K166</xm:f>
              <xm:sqref>S166</xm:sqref>
            </x14:sparkline>
            <x14:sparkline>
              <xm:f>productdetails!I167:K167</xm:f>
              <xm:sqref>S167</xm:sqref>
            </x14:sparkline>
            <x14:sparkline>
              <xm:f>productdetails!I168:K168</xm:f>
              <xm:sqref>S168</xm:sqref>
            </x14:sparkline>
            <x14:sparkline>
              <xm:f>productdetails!I169:K169</xm:f>
              <xm:sqref>S169</xm:sqref>
            </x14:sparkline>
            <x14:sparkline>
              <xm:f>productdetails!I170:K170</xm:f>
              <xm:sqref>S170</xm:sqref>
            </x14:sparkline>
            <x14:sparkline>
              <xm:f>productdetails!I171:K171</xm:f>
              <xm:sqref>S171</xm:sqref>
            </x14:sparkline>
            <x14:sparkline>
              <xm:f>productdetails!I172:K172</xm:f>
              <xm:sqref>S172</xm:sqref>
            </x14:sparkline>
            <x14:sparkline>
              <xm:f>productdetails!I173:K173</xm:f>
              <xm:sqref>S173</xm:sqref>
            </x14:sparkline>
            <x14:sparkline>
              <xm:f>productdetails!I174:K174</xm:f>
              <xm:sqref>S174</xm:sqref>
            </x14:sparkline>
            <x14:sparkline>
              <xm:f>productdetails!I175:K175</xm:f>
              <xm:sqref>S175</xm:sqref>
            </x14:sparkline>
            <x14:sparkline>
              <xm:f>productdetails!I176:K176</xm:f>
              <xm:sqref>S176</xm:sqref>
            </x14:sparkline>
            <x14:sparkline>
              <xm:f>productdetails!I177:K177</xm:f>
              <xm:sqref>S177</xm:sqref>
            </x14:sparkline>
            <x14:sparkline>
              <xm:f>productdetails!I178:K178</xm:f>
              <xm:sqref>S178</xm:sqref>
            </x14:sparkline>
            <x14:sparkline>
              <xm:f>productdetails!I179:K179</xm:f>
              <xm:sqref>S179</xm:sqref>
            </x14:sparkline>
            <x14:sparkline>
              <xm:f>productdetails!I180:K180</xm:f>
              <xm:sqref>S180</xm:sqref>
            </x14:sparkline>
            <x14:sparkline>
              <xm:f>productdetails!I181:K181</xm:f>
              <xm:sqref>S181</xm:sqref>
            </x14:sparkline>
            <x14:sparkline>
              <xm:f>productdetails!I182:K182</xm:f>
              <xm:sqref>S182</xm:sqref>
            </x14:sparkline>
            <x14:sparkline>
              <xm:f>productdetails!I183:K183</xm:f>
              <xm:sqref>S183</xm:sqref>
            </x14:sparkline>
            <x14:sparkline>
              <xm:f>productdetails!I184:K184</xm:f>
              <xm:sqref>S184</xm:sqref>
            </x14:sparkline>
            <x14:sparkline>
              <xm:f>productdetails!I185:K185</xm:f>
              <xm:sqref>S185</xm:sqref>
            </x14:sparkline>
            <x14:sparkline>
              <xm:f>productdetails!I186:K186</xm:f>
              <xm:sqref>S186</xm:sqref>
            </x14:sparkline>
            <x14:sparkline>
              <xm:f>productdetails!I187:K187</xm:f>
              <xm:sqref>S187</xm:sqref>
            </x14:sparkline>
            <x14:sparkline>
              <xm:f>productdetails!I188:K188</xm:f>
              <xm:sqref>S188</xm:sqref>
            </x14:sparkline>
            <x14:sparkline>
              <xm:f>productdetails!I189:K189</xm:f>
              <xm:sqref>S189</xm:sqref>
            </x14:sparkline>
            <x14:sparkline>
              <xm:f>productdetails!I190:K190</xm:f>
              <xm:sqref>S190</xm:sqref>
            </x14:sparkline>
            <x14:sparkline>
              <xm:f>productdetails!I191:K191</xm:f>
              <xm:sqref>S191</xm:sqref>
            </x14:sparkline>
            <x14:sparkline>
              <xm:f>productdetails!I192:K192</xm:f>
              <xm:sqref>S192</xm:sqref>
            </x14:sparkline>
            <x14:sparkline>
              <xm:f>productdetails!I193:K193</xm:f>
              <xm:sqref>S193</xm:sqref>
            </x14:sparkline>
            <x14:sparkline>
              <xm:f>productdetails!I194:K194</xm:f>
              <xm:sqref>S194</xm:sqref>
            </x14:sparkline>
            <x14:sparkline>
              <xm:f>productdetails!I195:K195</xm:f>
              <xm:sqref>S195</xm:sqref>
            </x14:sparkline>
            <x14:sparkline>
              <xm:f>productdetails!I196:K196</xm:f>
              <xm:sqref>S196</xm:sqref>
            </x14:sparkline>
            <x14:sparkline>
              <xm:f>productdetails!I197:K197</xm:f>
              <xm:sqref>S197</xm:sqref>
            </x14:sparkline>
            <x14:sparkline>
              <xm:f>productdetails!I198:K198</xm:f>
              <xm:sqref>S198</xm:sqref>
            </x14:sparkline>
            <x14:sparkline>
              <xm:f>productdetails!I199:K199</xm:f>
              <xm:sqref>S199</xm:sqref>
            </x14:sparkline>
            <x14:sparkline>
              <xm:f>productdetails!I200:K200</xm:f>
              <xm:sqref>S200</xm:sqref>
            </x14:sparkline>
            <x14:sparkline>
              <xm:f>productdetails!I201:K201</xm:f>
              <xm:sqref>S201</xm:sqref>
            </x14:sparkline>
            <x14:sparkline>
              <xm:f>productdetails!I202:K202</xm:f>
              <xm:sqref>S202</xm:sqref>
            </x14:sparkline>
            <x14:sparkline>
              <xm:f>productdetails!I203:K203</xm:f>
              <xm:sqref>S203</xm:sqref>
            </x14:sparkline>
            <x14:sparkline>
              <xm:f>productdetails!I204:K204</xm:f>
              <xm:sqref>S204</xm:sqref>
            </x14:sparkline>
            <x14:sparkline>
              <xm:f>productdetails!I205:K205</xm:f>
              <xm:sqref>S205</xm:sqref>
            </x14:sparkline>
            <x14:sparkline>
              <xm:f>productdetails!I206:K206</xm:f>
              <xm:sqref>S206</xm:sqref>
            </x14:sparkline>
            <x14:sparkline>
              <xm:f>productdetails!I207:K207</xm:f>
              <xm:sqref>S207</xm:sqref>
            </x14:sparkline>
            <x14:sparkline>
              <xm:f>productdetails!I208:K208</xm:f>
              <xm:sqref>S208</xm:sqref>
            </x14:sparkline>
            <x14:sparkline>
              <xm:f>productdetails!I209:K209</xm:f>
              <xm:sqref>S209</xm:sqref>
            </x14:sparkline>
            <x14:sparkline>
              <xm:f>productdetails!I210:K210</xm:f>
              <xm:sqref>S210</xm:sqref>
            </x14:sparkline>
            <x14:sparkline>
              <xm:f>productdetails!I211:K211</xm:f>
              <xm:sqref>S211</xm:sqref>
            </x14:sparkline>
            <x14:sparkline>
              <xm:f>productdetails!I212:K212</xm:f>
              <xm:sqref>S212</xm:sqref>
            </x14:sparkline>
            <x14:sparkline>
              <xm:f>productdetails!I213:K213</xm:f>
              <xm:sqref>S213</xm:sqref>
            </x14:sparkline>
            <x14:sparkline>
              <xm:f>productdetails!I214:K214</xm:f>
              <xm:sqref>S214</xm:sqref>
            </x14:sparkline>
            <x14:sparkline>
              <xm:f>productdetails!I215:K215</xm:f>
              <xm:sqref>S215</xm:sqref>
            </x14:sparkline>
            <x14:sparkline>
              <xm:f>productdetails!I216:K216</xm:f>
              <xm:sqref>S216</xm:sqref>
            </x14:sparkline>
            <x14:sparkline>
              <xm:f>productdetails!I217:K217</xm:f>
              <xm:sqref>S217</xm:sqref>
            </x14:sparkline>
            <x14:sparkline>
              <xm:f>productdetails!I218:K218</xm:f>
              <xm:sqref>S218</xm:sqref>
            </x14:sparkline>
            <x14:sparkline>
              <xm:f>productdetails!I219:K219</xm:f>
              <xm:sqref>S219</xm:sqref>
            </x14:sparkline>
            <x14:sparkline>
              <xm:f>productdetails!I220:K220</xm:f>
              <xm:sqref>S220</xm:sqref>
            </x14:sparkline>
            <x14:sparkline>
              <xm:f>productdetails!I221:K221</xm:f>
              <xm:sqref>S221</xm:sqref>
            </x14:sparkline>
            <x14:sparkline>
              <xm:f>productdetails!I222:K222</xm:f>
              <xm:sqref>S222</xm:sqref>
            </x14:sparkline>
            <x14:sparkline>
              <xm:f>productdetails!I223:K223</xm:f>
              <xm:sqref>S223</xm:sqref>
            </x14:sparkline>
            <x14:sparkline>
              <xm:f>productdetails!I224:K224</xm:f>
              <xm:sqref>S224</xm:sqref>
            </x14:sparkline>
            <x14:sparkline>
              <xm:f>productdetails!I225:K225</xm:f>
              <xm:sqref>S225</xm:sqref>
            </x14:sparkline>
            <x14:sparkline>
              <xm:f>productdetails!I226:K226</xm:f>
              <xm:sqref>S226</xm:sqref>
            </x14:sparkline>
            <x14:sparkline>
              <xm:f>productdetails!I227:K227</xm:f>
              <xm:sqref>S227</xm:sqref>
            </x14:sparkline>
            <x14:sparkline>
              <xm:f>productdetails!I228:K228</xm:f>
              <xm:sqref>S228</xm:sqref>
            </x14:sparkline>
            <x14:sparkline>
              <xm:f>productdetails!I229:K229</xm:f>
              <xm:sqref>S229</xm:sqref>
            </x14:sparkline>
            <x14:sparkline>
              <xm:f>productdetails!I230:K230</xm:f>
              <xm:sqref>S230</xm:sqref>
            </x14:sparkline>
            <x14:sparkline>
              <xm:f>productdetails!I231:K231</xm:f>
              <xm:sqref>S231</xm:sqref>
            </x14:sparkline>
            <x14:sparkline>
              <xm:f>productdetails!I232:K232</xm:f>
              <xm:sqref>S232</xm:sqref>
            </x14:sparkline>
            <x14:sparkline>
              <xm:f>productdetails!I233:K233</xm:f>
              <xm:sqref>S233</xm:sqref>
            </x14:sparkline>
            <x14:sparkline>
              <xm:f>productdetails!I234:K234</xm:f>
              <xm:sqref>S234</xm:sqref>
            </x14:sparkline>
            <x14:sparkline>
              <xm:f>productdetails!I235:K235</xm:f>
              <xm:sqref>S235</xm:sqref>
            </x14:sparkline>
            <x14:sparkline>
              <xm:f>productdetails!I236:K236</xm:f>
              <xm:sqref>S236</xm:sqref>
            </x14:sparkline>
            <x14:sparkline>
              <xm:f>productdetails!I237:K237</xm:f>
              <xm:sqref>S237</xm:sqref>
            </x14:sparkline>
            <x14:sparkline>
              <xm:f>productdetails!I238:K238</xm:f>
              <xm:sqref>S238</xm:sqref>
            </x14:sparkline>
            <x14:sparkline>
              <xm:f>productdetails!I239:K239</xm:f>
              <xm:sqref>S239</xm:sqref>
            </x14:sparkline>
            <x14:sparkline>
              <xm:f>productdetails!I240:K240</xm:f>
              <xm:sqref>S240</xm:sqref>
            </x14:sparkline>
            <x14:sparkline>
              <xm:f>productdetails!I241:K241</xm:f>
              <xm:sqref>S241</xm:sqref>
            </x14:sparkline>
            <x14:sparkline>
              <xm:f>productdetails!I242:K242</xm:f>
              <xm:sqref>S242</xm:sqref>
            </x14:sparkline>
            <x14:sparkline>
              <xm:f>productdetails!I243:K243</xm:f>
              <xm:sqref>S243</xm:sqref>
            </x14:sparkline>
            <x14:sparkline>
              <xm:f>productdetails!I244:K244</xm:f>
              <xm:sqref>S244</xm:sqref>
            </x14:sparkline>
            <x14:sparkline>
              <xm:f>productdetails!I245:K245</xm:f>
              <xm:sqref>S245</xm:sqref>
            </x14:sparkline>
            <x14:sparkline>
              <xm:f>productdetails!I246:K246</xm:f>
              <xm:sqref>S246</xm:sqref>
            </x14:sparkline>
            <x14:sparkline>
              <xm:f>productdetails!I247:K247</xm:f>
              <xm:sqref>S247</xm:sqref>
            </x14:sparkline>
            <x14:sparkline>
              <xm:f>productdetails!I248:K248</xm:f>
              <xm:sqref>S248</xm:sqref>
            </x14:sparkline>
            <x14:sparkline>
              <xm:f>productdetails!I249:K249</xm:f>
              <xm:sqref>S249</xm:sqref>
            </x14:sparkline>
            <x14:sparkline>
              <xm:f>productdetails!I250:K250</xm:f>
              <xm:sqref>S250</xm:sqref>
            </x14:sparkline>
            <x14:sparkline>
              <xm:f>productdetails!I251:K251</xm:f>
              <xm:sqref>S251</xm:sqref>
            </x14:sparkline>
            <x14:sparkline>
              <xm:f>productdetails!I252:K252</xm:f>
              <xm:sqref>S252</xm:sqref>
            </x14:sparkline>
            <x14:sparkline>
              <xm:f>productdetails!I253:K253</xm:f>
              <xm:sqref>S253</xm:sqref>
            </x14:sparkline>
            <x14:sparkline>
              <xm:f>productdetails!I254:K254</xm:f>
              <xm:sqref>S254</xm:sqref>
            </x14:sparkline>
            <x14:sparkline>
              <xm:f>productdetails!I255:K255</xm:f>
              <xm:sqref>S255</xm:sqref>
            </x14:sparkline>
            <x14:sparkline>
              <xm:f>productdetails!I256:K256</xm:f>
              <xm:sqref>S256</xm:sqref>
            </x14:sparkline>
            <x14:sparkline>
              <xm:f>productdetails!I257:K257</xm:f>
              <xm:sqref>S257</xm:sqref>
            </x14:sparkline>
            <x14:sparkline>
              <xm:f>productdetails!I258:K258</xm:f>
              <xm:sqref>S258</xm:sqref>
            </x14:sparkline>
            <x14:sparkline>
              <xm:f>productdetails!I259:K259</xm:f>
              <xm:sqref>S259</xm:sqref>
            </x14:sparkline>
            <x14:sparkline>
              <xm:f>productdetails!I260:K260</xm:f>
              <xm:sqref>S260</xm:sqref>
            </x14:sparkline>
            <x14:sparkline>
              <xm:f>productdetails!I261:K261</xm:f>
              <xm:sqref>S261</xm:sqref>
            </x14:sparkline>
            <x14:sparkline>
              <xm:f>productdetails!I262:K262</xm:f>
              <xm:sqref>S262</xm:sqref>
            </x14:sparkline>
            <x14:sparkline>
              <xm:f>productdetails!I263:K263</xm:f>
              <xm:sqref>S263</xm:sqref>
            </x14:sparkline>
            <x14:sparkline>
              <xm:f>productdetails!I264:K264</xm:f>
              <xm:sqref>S264</xm:sqref>
            </x14:sparkline>
            <x14:sparkline>
              <xm:f>productdetails!I265:K265</xm:f>
              <xm:sqref>S265</xm:sqref>
            </x14:sparkline>
            <x14:sparkline>
              <xm:f>productdetails!I266:K266</xm:f>
              <xm:sqref>S266</xm:sqref>
            </x14:sparkline>
            <x14:sparkline>
              <xm:f>productdetails!I267:K267</xm:f>
              <xm:sqref>S267</xm:sqref>
            </x14:sparkline>
            <x14:sparkline>
              <xm:f>productdetails!I268:K268</xm:f>
              <xm:sqref>S268</xm:sqref>
            </x14:sparkline>
            <x14:sparkline>
              <xm:f>productdetails!I269:K269</xm:f>
              <xm:sqref>S269</xm:sqref>
            </x14:sparkline>
            <x14:sparkline>
              <xm:f>productdetails!I270:K270</xm:f>
              <xm:sqref>S270</xm:sqref>
            </x14:sparkline>
            <x14:sparkline>
              <xm:f>productdetails!I271:K271</xm:f>
              <xm:sqref>S271</xm:sqref>
            </x14:sparkline>
            <x14:sparkline>
              <xm:f>productdetails!I272:K272</xm:f>
              <xm:sqref>S272</xm:sqref>
            </x14:sparkline>
            <x14:sparkline>
              <xm:f>productdetails!I273:K273</xm:f>
              <xm:sqref>S273</xm:sqref>
            </x14:sparkline>
            <x14:sparkline>
              <xm:f>productdetails!I274:K274</xm:f>
              <xm:sqref>S274</xm:sqref>
            </x14:sparkline>
            <x14:sparkline>
              <xm:f>productdetails!I275:K275</xm:f>
              <xm:sqref>S275</xm:sqref>
            </x14:sparkline>
            <x14:sparkline>
              <xm:f>productdetails!I276:K276</xm:f>
              <xm:sqref>S276</xm:sqref>
            </x14:sparkline>
            <x14:sparkline>
              <xm:f>productdetails!I277:K277</xm:f>
              <xm:sqref>S277</xm:sqref>
            </x14:sparkline>
            <x14:sparkline>
              <xm:f>productdetails!I278:K278</xm:f>
              <xm:sqref>S278</xm:sqref>
            </x14:sparkline>
            <x14:sparkline>
              <xm:f>productdetails!I279:K279</xm:f>
              <xm:sqref>S279</xm:sqref>
            </x14:sparkline>
            <x14:sparkline>
              <xm:f>productdetails!I280:K280</xm:f>
              <xm:sqref>S280</xm:sqref>
            </x14:sparkline>
            <x14:sparkline>
              <xm:f>productdetails!I281:K281</xm:f>
              <xm:sqref>S281</xm:sqref>
            </x14:sparkline>
            <x14:sparkline>
              <xm:f>productdetails!I282:K282</xm:f>
              <xm:sqref>S282</xm:sqref>
            </x14:sparkline>
            <x14:sparkline>
              <xm:f>productdetails!I283:K283</xm:f>
              <xm:sqref>S283</xm:sqref>
            </x14:sparkline>
            <x14:sparkline>
              <xm:f>productdetails!I284:K284</xm:f>
              <xm:sqref>S284</xm:sqref>
            </x14:sparkline>
            <x14:sparkline>
              <xm:f>productdetails!I285:K285</xm:f>
              <xm:sqref>S285</xm:sqref>
            </x14:sparkline>
            <x14:sparkline>
              <xm:f>productdetails!I286:K286</xm:f>
              <xm:sqref>S286</xm:sqref>
            </x14:sparkline>
            <x14:sparkline>
              <xm:f>productdetails!I287:K287</xm:f>
              <xm:sqref>S287</xm:sqref>
            </x14:sparkline>
            <x14:sparkline>
              <xm:f>productdetails!I288:K288</xm:f>
              <xm:sqref>S288</xm:sqref>
            </x14:sparkline>
            <x14:sparkline>
              <xm:f>productdetails!I289:K289</xm:f>
              <xm:sqref>S289</xm:sqref>
            </x14:sparkline>
            <x14:sparkline>
              <xm:f>productdetails!I290:K290</xm:f>
              <xm:sqref>S290</xm:sqref>
            </x14:sparkline>
            <x14:sparkline>
              <xm:f>productdetails!I291:K291</xm:f>
              <xm:sqref>S291</xm:sqref>
            </x14:sparkline>
            <x14:sparkline>
              <xm:f>productdetails!I292:K292</xm:f>
              <xm:sqref>S292</xm:sqref>
            </x14:sparkline>
            <x14:sparkline>
              <xm:f>productdetails!I293:K293</xm:f>
              <xm:sqref>S293</xm:sqref>
            </x14:sparkline>
            <x14:sparkline>
              <xm:f>productdetails!I294:K294</xm:f>
              <xm:sqref>S294</xm:sqref>
            </x14:sparkline>
            <x14:sparkline>
              <xm:f>productdetails!I295:K295</xm:f>
              <xm:sqref>S295</xm:sqref>
            </x14:sparkline>
            <x14:sparkline>
              <xm:f>productdetails!I296:K296</xm:f>
              <xm:sqref>S296</xm:sqref>
            </x14:sparkline>
            <x14:sparkline>
              <xm:f>productdetails!I297:K297</xm:f>
              <xm:sqref>S297</xm:sqref>
            </x14:sparkline>
            <x14:sparkline>
              <xm:f>productdetails!I298:K298</xm:f>
              <xm:sqref>S298</xm:sqref>
            </x14:sparkline>
            <x14:sparkline>
              <xm:f>productdetails!I299:K299</xm:f>
              <xm:sqref>S299</xm:sqref>
            </x14:sparkline>
            <x14:sparkline>
              <xm:f>productdetails!I300:K300</xm:f>
              <xm:sqref>S300</xm:sqref>
            </x14:sparkline>
            <x14:sparkline>
              <xm:f>productdetails!I301:K301</xm:f>
              <xm:sqref>S301</xm:sqref>
            </x14:sparkline>
            <x14:sparkline>
              <xm:f>productdetails!I302:K302</xm:f>
              <xm:sqref>S302</xm:sqref>
            </x14:sparkline>
            <x14:sparkline>
              <xm:f>productdetails!I303:K303</xm:f>
              <xm:sqref>S303</xm:sqref>
            </x14:sparkline>
            <x14:sparkline>
              <xm:f>productdetails!I304:K304</xm:f>
              <xm:sqref>S304</xm:sqref>
            </x14:sparkline>
            <x14:sparkline>
              <xm:f>productdetails!I305:K305</xm:f>
              <xm:sqref>S305</xm:sqref>
            </x14:sparkline>
            <x14:sparkline>
              <xm:f>productdetails!I306:K306</xm:f>
              <xm:sqref>S306</xm:sqref>
            </x14:sparkline>
            <x14:sparkline>
              <xm:f>productdetails!I307:K307</xm:f>
              <xm:sqref>S307</xm:sqref>
            </x14:sparkline>
            <x14:sparkline>
              <xm:f>productdetails!I308:K308</xm:f>
              <xm:sqref>S308</xm:sqref>
            </x14:sparkline>
            <x14:sparkline>
              <xm:f>productdetails!I309:K309</xm:f>
              <xm:sqref>S309</xm:sqref>
            </x14:sparkline>
            <x14:sparkline>
              <xm:f>productdetails!I310:K310</xm:f>
              <xm:sqref>S310</xm:sqref>
            </x14:sparkline>
            <x14:sparkline>
              <xm:f>productdetails!I311:K311</xm:f>
              <xm:sqref>S311</xm:sqref>
            </x14:sparkline>
            <x14:sparkline>
              <xm:f>productdetails!I312:K312</xm:f>
              <xm:sqref>S312</xm:sqref>
            </x14:sparkline>
            <x14:sparkline>
              <xm:f>productdetails!I313:K313</xm:f>
              <xm:sqref>S313</xm:sqref>
            </x14:sparkline>
            <x14:sparkline>
              <xm:f>productdetails!I314:K314</xm:f>
              <xm:sqref>S314</xm:sqref>
            </x14:sparkline>
            <x14:sparkline>
              <xm:f>productdetails!I315:K315</xm:f>
              <xm:sqref>S315</xm:sqref>
            </x14:sparkline>
            <x14:sparkline>
              <xm:f>productdetails!I316:K316</xm:f>
              <xm:sqref>S316</xm:sqref>
            </x14:sparkline>
            <x14:sparkline>
              <xm:f>productdetails!I317:K317</xm:f>
              <xm:sqref>S317</xm:sqref>
            </x14:sparkline>
            <x14:sparkline>
              <xm:f>productdetails!I318:K318</xm:f>
              <xm:sqref>S318</xm:sqref>
            </x14:sparkline>
            <x14:sparkline>
              <xm:f>productdetails!I319:K319</xm:f>
              <xm:sqref>S319</xm:sqref>
            </x14:sparkline>
            <x14:sparkline>
              <xm:f>productdetails!I320:K320</xm:f>
              <xm:sqref>S320</xm:sqref>
            </x14:sparkline>
            <x14:sparkline>
              <xm:f>productdetails!I321:K321</xm:f>
              <xm:sqref>S321</xm:sqref>
            </x14:sparkline>
            <x14:sparkline>
              <xm:f>productdetails!I322:K322</xm:f>
              <xm:sqref>S322</xm:sqref>
            </x14:sparkline>
            <x14:sparkline>
              <xm:f>productdetails!I323:K323</xm:f>
              <xm:sqref>S323</xm:sqref>
            </x14:sparkline>
            <x14:sparkline>
              <xm:f>productdetails!I324:K324</xm:f>
              <xm:sqref>S324</xm:sqref>
            </x14:sparkline>
            <x14:sparkline>
              <xm:f>productdetails!I325:K325</xm:f>
              <xm:sqref>S325</xm:sqref>
            </x14:sparkline>
            <x14:sparkline>
              <xm:f>productdetails!I326:K326</xm:f>
              <xm:sqref>S326</xm:sqref>
            </x14:sparkline>
            <x14:sparkline>
              <xm:f>productdetails!I327:K327</xm:f>
              <xm:sqref>S327</xm:sqref>
            </x14:sparkline>
            <x14:sparkline>
              <xm:f>productdetails!I328:K328</xm:f>
              <xm:sqref>S328</xm:sqref>
            </x14:sparkline>
            <x14:sparkline>
              <xm:f>productdetails!I329:K329</xm:f>
              <xm:sqref>S329</xm:sqref>
            </x14:sparkline>
            <x14:sparkline>
              <xm:f>productdetails!I330:K330</xm:f>
              <xm:sqref>S330</xm:sqref>
            </x14:sparkline>
            <x14:sparkline>
              <xm:f>productdetails!I331:K331</xm:f>
              <xm:sqref>S331</xm:sqref>
            </x14:sparkline>
            <x14:sparkline>
              <xm:f>productdetails!I332:K332</xm:f>
              <xm:sqref>S332</xm:sqref>
            </x14:sparkline>
            <x14:sparkline>
              <xm:f>productdetails!I333:K333</xm:f>
              <xm:sqref>S333</xm:sqref>
            </x14:sparkline>
            <x14:sparkline>
              <xm:f>productdetails!I334:K334</xm:f>
              <xm:sqref>S334</xm:sqref>
            </x14:sparkline>
            <x14:sparkline>
              <xm:f>productdetails!I335:K335</xm:f>
              <xm:sqref>S335</xm:sqref>
            </x14:sparkline>
            <x14:sparkline>
              <xm:f>productdetails!I336:K336</xm:f>
              <xm:sqref>S336</xm:sqref>
            </x14:sparkline>
            <x14:sparkline>
              <xm:f>productdetails!I337:K337</xm:f>
              <xm:sqref>S337</xm:sqref>
            </x14:sparkline>
            <x14:sparkline>
              <xm:f>productdetails!I338:K338</xm:f>
              <xm:sqref>S338</xm:sqref>
            </x14:sparkline>
            <x14:sparkline>
              <xm:f>productdetails!I339:K339</xm:f>
              <xm:sqref>S339</xm:sqref>
            </x14:sparkline>
            <x14:sparkline>
              <xm:f>productdetails!I340:K340</xm:f>
              <xm:sqref>S340</xm:sqref>
            </x14:sparkline>
            <x14:sparkline>
              <xm:f>productdetails!I341:K341</xm:f>
              <xm:sqref>S341</xm:sqref>
            </x14:sparkline>
            <x14:sparkline>
              <xm:f>productdetails!I342:K342</xm:f>
              <xm:sqref>S342</xm:sqref>
            </x14:sparkline>
            <x14:sparkline>
              <xm:f>productdetails!I343:K343</xm:f>
              <xm:sqref>S343</xm:sqref>
            </x14:sparkline>
            <x14:sparkline>
              <xm:f>productdetails!I344:K344</xm:f>
              <xm:sqref>S344</xm:sqref>
            </x14:sparkline>
            <x14:sparkline>
              <xm:f>productdetails!I345:K345</xm:f>
              <xm:sqref>S345</xm:sqref>
            </x14:sparkline>
            <x14:sparkline>
              <xm:f>productdetails!I346:K346</xm:f>
              <xm:sqref>S346</xm:sqref>
            </x14:sparkline>
            <x14:sparkline>
              <xm:f>productdetails!I347:K347</xm:f>
              <xm:sqref>S347</xm:sqref>
            </x14:sparkline>
            <x14:sparkline>
              <xm:f>productdetails!I348:K348</xm:f>
              <xm:sqref>S348</xm:sqref>
            </x14:sparkline>
            <x14:sparkline>
              <xm:f>productdetails!I349:K349</xm:f>
              <xm:sqref>S349</xm:sqref>
            </x14:sparkline>
            <x14:sparkline>
              <xm:f>productdetails!I350:K350</xm:f>
              <xm:sqref>S350</xm:sqref>
            </x14:sparkline>
            <x14:sparkline>
              <xm:f>productdetails!I351:K351</xm:f>
              <xm:sqref>S351</xm:sqref>
            </x14:sparkline>
            <x14:sparkline>
              <xm:f>productdetails!I352:K352</xm:f>
              <xm:sqref>S352</xm:sqref>
            </x14:sparkline>
            <x14:sparkline>
              <xm:f>productdetails!I353:K353</xm:f>
              <xm:sqref>S353</xm:sqref>
            </x14:sparkline>
            <x14:sparkline>
              <xm:f>productdetails!I354:K354</xm:f>
              <xm:sqref>S354</xm:sqref>
            </x14:sparkline>
            <x14:sparkline>
              <xm:f>productdetails!I355:K355</xm:f>
              <xm:sqref>S355</xm:sqref>
            </x14:sparkline>
            <x14:sparkline>
              <xm:f>productdetails!I356:K356</xm:f>
              <xm:sqref>S356</xm:sqref>
            </x14:sparkline>
            <x14:sparkline>
              <xm:f>productdetails!I357:K357</xm:f>
              <xm:sqref>S357</xm:sqref>
            </x14:sparkline>
            <x14:sparkline>
              <xm:f>productdetails!I358:K358</xm:f>
              <xm:sqref>S358</xm:sqref>
            </x14:sparkline>
            <x14:sparkline>
              <xm:f>productdetails!I359:K359</xm:f>
              <xm:sqref>S359</xm:sqref>
            </x14:sparkline>
            <x14:sparkline>
              <xm:f>productdetails!I360:K360</xm:f>
              <xm:sqref>S360</xm:sqref>
            </x14:sparkline>
            <x14:sparkline>
              <xm:f>productdetails!I361:K361</xm:f>
              <xm:sqref>S361</xm:sqref>
            </x14:sparkline>
            <x14:sparkline>
              <xm:f>productdetails!I362:K362</xm:f>
              <xm:sqref>S362</xm:sqref>
            </x14:sparkline>
            <x14:sparkline>
              <xm:f>productdetails!I363:K363</xm:f>
              <xm:sqref>S363</xm:sqref>
            </x14:sparkline>
            <x14:sparkline>
              <xm:f>productdetails!I364:K364</xm:f>
              <xm:sqref>S364</xm:sqref>
            </x14:sparkline>
            <x14:sparkline>
              <xm:f>productdetails!I365:K365</xm:f>
              <xm:sqref>S365</xm:sqref>
            </x14:sparkline>
            <x14:sparkline>
              <xm:f>productdetails!I366:K366</xm:f>
              <xm:sqref>S366</xm:sqref>
            </x14:sparkline>
            <x14:sparkline>
              <xm:f>productdetails!I367:K367</xm:f>
              <xm:sqref>S367</xm:sqref>
            </x14:sparkline>
            <x14:sparkline>
              <xm:f>productdetails!I368:K368</xm:f>
              <xm:sqref>S368</xm:sqref>
            </x14:sparkline>
            <x14:sparkline>
              <xm:f>productdetails!I369:K369</xm:f>
              <xm:sqref>S369</xm:sqref>
            </x14:sparkline>
            <x14:sparkline>
              <xm:f>productdetails!I370:K370</xm:f>
              <xm:sqref>S370</xm:sqref>
            </x14:sparkline>
            <x14:sparkline>
              <xm:f>productdetails!I371:K371</xm:f>
              <xm:sqref>S371</xm:sqref>
            </x14:sparkline>
            <x14:sparkline>
              <xm:f>productdetails!I372:K372</xm:f>
              <xm:sqref>S372</xm:sqref>
            </x14:sparkline>
            <x14:sparkline>
              <xm:f>productdetails!I373:K373</xm:f>
              <xm:sqref>S373</xm:sqref>
            </x14:sparkline>
            <x14:sparkline>
              <xm:f>productdetails!I374:K374</xm:f>
              <xm:sqref>S374</xm:sqref>
            </x14:sparkline>
            <x14:sparkline>
              <xm:f>productdetails!I375:K375</xm:f>
              <xm:sqref>S375</xm:sqref>
            </x14:sparkline>
            <x14:sparkline>
              <xm:f>productdetails!I376:K376</xm:f>
              <xm:sqref>S376</xm:sqref>
            </x14:sparkline>
            <x14:sparkline>
              <xm:f>productdetails!I377:K377</xm:f>
              <xm:sqref>S377</xm:sqref>
            </x14:sparkline>
            <x14:sparkline>
              <xm:f>productdetails!I378:K378</xm:f>
              <xm:sqref>S378</xm:sqref>
            </x14:sparkline>
            <x14:sparkline>
              <xm:f>productdetails!I379:K379</xm:f>
              <xm:sqref>S379</xm:sqref>
            </x14:sparkline>
            <x14:sparkline>
              <xm:f>productdetails!I380:K380</xm:f>
              <xm:sqref>S380</xm:sqref>
            </x14:sparkline>
            <x14:sparkline>
              <xm:f>productdetails!I381:K381</xm:f>
              <xm:sqref>S381</xm:sqref>
            </x14:sparkline>
            <x14:sparkline>
              <xm:f>productdetails!I382:K382</xm:f>
              <xm:sqref>S382</xm:sqref>
            </x14:sparkline>
            <x14:sparkline>
              <xm:f>productdetails!I383:K383</xm:f>
              <xm:sqref>S383</xm:sqref>
            </x14:sparkline>
            <x14:sparkline>
              <xm:f>productdetails!I384:K384</xm:f>
              <xm:sqref>S384</xm:sqref>
            </x14:sparkline>
            <x14:sparkline>
              <xm:f>productdetails!I385:K385</xm:f>
              <xm:sqref>S385</xm:sqref>
            </x14:sparkline>
            <x14:sparkline>
              <xm:f>productdetails!I386:K386</xm:f>
              <xm:sqref>S386</xm:sqref>
            </x14:sparkline>
            <x14:sparkline>
              <xm:f>productdetails!I387:K387</xm:f>
              <xm:sqref>S387</xm:sqref>
            </x14:sparkline>
            <x14:sparkline>
              <xm:f>productdetails!I388:K388</xm:f>
              <xm:sqref>S388</xm:sqref>
            </x14:sparkline>
            <x14:sparkline>
              <xm:f>productdetails!I389:K389</xm:f>
              <xm:sqref>S389</xm:sqref>
            </x14:sparkline>
            <x14:sparkline>
              <xm:f>productdetails!I390:K390</xm:f>
              <xm:sqref>S390</xm:sqref>
            </x14:sparkline>
            <x14:sparkline>
              <xm:f>productdetails!I391:K391</xm:f>
              <xm:sqref>S391</xm:sqref>
            </x14:sparkline>
            <x14:sparkline>
              <xm:f>productdetails!I392:K392</xm:f>
              <xm:sqref>S392</xm:sqref>
            </x14:sparkline>
            <x14:sparkline>
              <xm:f>productdetails!I393:K393</xm:f>
              <xm:sqref>S393</xm:sqref>
            </x14:sparkline>
            <x14:sparkline>
              <xm:f>productdetails!I394:K394</xm:f>
              <xm:sqref>S394</xm:sqref>
            </x14:sparkline>
            <x14:sparkline>
              <xm:f>productdetails!I395:K395</xm:f>
              <xm:sqref>S395</xm:sqref>
            </x14:sparkline>
            <x14:sparkline>
              <xm:f>productdetails!I396:K396</xm:f>
              <xm:sqref>S396</xm:sqref>
            </x14:sparkline>
            <x14:sparkline>
              <xm:f>productdetails!I397:K397</xm:f>
              <xm:sqref>S397</xm:sqref>
            </x14:sparkline>
            <x14:sparkline>
              <xm:f>productdetails!I398:K398</xm:f>
              <xm:sqref>S398</xm:sqref>
            </x14:sparkline>
            <x14:sparkline>
              <xm:f>productdetails!I399:K399</xm:f>
              <xm:sqref>S399</xm:sqref>
            </x14:sparkline>
            <x14:sparkline>
              <xm:f>productdetails!I400:K400</xm:f>
              <xm:sqref>S400</xm:sqref>
            </x14:sparkline>
            <x14:sparkline>
              <xm:f>productdetails!I401:K401</xm:f>
              <xm:sqref>S401</xm:sqref>
            </x14:sparkline>
            <x14:sparkline>
              <xm:f>productdetails!I402:K402</xm:f>
              <xm:sqref>S402</xm:sqref>
            </x14:sparkline>
            <x14:sparkline>
              <xm:f>productdetails!I403:K403</xm:f>
              <xm:sqref>S403</xm:sqref>
            </x14:sparkline>
            <x14:sparkline>
              <xm:f>productdetails!I404:K404</xm:f>
              <xm:sqref>S404</xm:sqref>
            </x14:sparkline>
            <x14:sparkline>
              <xm:f>productdetails!I405:K405</xm:f>
              <xm:sqref>S405</xm:sqref>
            </x14:sparkline>
            <x14:sparkline>
              <xm:f>productdetails!I406:K406</xm:f>
              <xm:sqref>S406</xm:sqref>
            </x14:sparkline>
            <x14:sparkline>
              <xm:f>productdetails!I407:K407</xm:f>
              <xm:sqref>S407</xm:sqref>
            </x14:sparkline>
            <x14:sparkline>
              <xm:f>productdetails!I408:K408</xm:f>
              <xm:sqref>S408</xm:sqref>
            </x14:sparkline>
            <x14:sparkline>
              <xm:f>productdetails!I409:K409</xm:f>
              <xm:sqref>S409</xm:sqref>
            </x14:sparkline>
            <x14:sparkline>
              <xm:f>productdetails!I410:K410</xm:f>
              <xm:sqref>S410</xm:sqref>
            </x14:sparkline>
            <x14:sparkline>
              <xm:f>productdetails!I411:K411</xm:f>
              <xm:sqref>S411</xm:sqref>
            </x14:sparkline>
            <x14:sparkline>
              <xm:f>productdetails!I412:K412</xm:f>
              <xm:sqref>S412</xm:sqref>
            </x14:sparkline>
            <x14:sparkline>
              <xm:f>productdetails!I413:K413</xm:f>
              <xm:sqref>S413</xm:sqref>
            </x14:sparkline>
            <x14:sparkline>
              <xm:f>productdetails!I414:K414</xm:f>
              <xm:sqref>S414</xm:sqref>
            </x14:sparkline>
            <x14:sparkline>
              <xm:f>productdetails!I415:K415</xm:f>
              <xm:sqref>S415</xm:sqref>
            </x14:sparkline>
            <x14:sparkline>
              <xm:f>productdetails!I416:K416</xm:f>
              <xm:sqref>S416</xm:sqref>
            </x14:sparkline>
            <x14:sparkline>
              <xm:f>productdetails!I417:K417</xm:f>
              <xm:sqref>S417</xm:sqref>
            </x14:sparkline>
            <x14:sparkline>
              <xm:f>productdetails!I418:K418</xm:f>
              <xm:sqref>S418</xm:sqref>
            </x14:sparkline>
            <x14:sparkline>
              <xm:f>productdetails!I419:K419</xm:f>
              <xm:sqref>S419</xm:sqref>
            </x14:sparkline>
            <x14:sparkline>
              <xm:f>productdetails!I420:K420</xm:f>
              <xm:sqref>S420</xm:sqref>
            </x14:sparkline>
            <x14:sparkline>
              <xm:f>productdetails!I421:K421</xm:f>
              <xm:sqref>S421</xm:sqref>
            </x14:sparkline>
            <x14:sparkline>
              <xm:f>productdetails!I422:K422</xm:f>
              <xm:sqref>S422</xm:sqref>
            </x14:sparkline>
            <x14:sparkline>
              <xm:f>productdetails!I423:K423</xm:f>
              <xm:sqref>S423</xm:sqref>
            </x14:sparkline>
            <x14:sparkline>
              <xm:f>productdetails!I424:K424</xm:f>
              <xm:sqref>S424</xm:sqref>
            </x14:sparkline>
            <x14:sparkline>
              <xm:f>productdetails!I425:K425</xm:f>
              <xm:sqref>S425</xm:sqref>
            </x14:sparkline>
            <x14:sparkline>
              <xm:f>productdetails!I426:K426</xm:f>
              <xm:sqref>S426</xm:sqref>
            </x14:sparkline>
            <x14:sparkline>
              <xm:f>productdetails!I427:K427</xm:f>
              <xm:sqref>S427</xm:sqref>
            </x14:sparkline>
            <x14:sparkline>
              <xm:f>productdetails!I428:K428</xm:f>
              <xm:sqref>S428</xm:sqref>
            </x14:sparkline>
            <x14:sparkline>
              <xm:f>productdetails!I429:K429</xm:f>
              <xm:sqref>S429</xm:sqref>
            </x14:sparkline>
            <x14:sparkline>
              <xm:f>productdetails!I430:K430</xm:f>
              <xm:sqref>S430</xm:sqref>
            </x14:sparkline>
            <x14:sparkline>
              <xm:f>productdetails!I431:K431</xm:f>
              <xm:sqref>S431</xm:sqref>
            </x14:sparkline>
            <x14:sparkline>
              <xm:f>productdetails!I432:K432</xm:f>
              <xm:sqref>S432</xm:sqref>
            </x14:sparkline>
            <x14:sparkline>
              <xm:f>productdetails!I433:K433</xm:f>
              <xm:sqref>S433</xm:sqref>
            </x14:sparkline>
            <x14:sparkline>
              <xm:f>productdetails!I434:K434</xm:f>
              <xm:sqref>S434</xm:sqref>
            </x14:sparkline>
            <x14:sparkline>
              <xm:f>productdetails!I435:K435</xm:f>
              <xm:sqref>S435</xm:sqref>
            </x14:sparkline>
            <x14:sparkline>
              <xm:f>productdetails!I436:K436</xm:f>
              <xm:sqref>S436</xm:sqref>
            </x14:sparkline>
            <x14:sparkline>
              <xm:f>productdetails!I437:K437</xm:f>
              <xm:sqref>S437</xm:sqref>
            </x14:sparkline>
            <x14:sparkline>
              <xm:f>productdetails!I438:K438</xm:f>
              <xm:sqref>S438</xm:sqref>
            </x14:sparkline>
            <x14:sparkline>
              <xm:f>productdetails!I439:K439</xm:f>
              <xm:sqref>S439</xm:sqref>
            </x14:sparkline>
            <x14:sparkline>
              <xm:f>productdetails!I440:K440</xm:f>
              <xm:sqref>S440</xm:sqref>
            </x14:sparkline>
            <x14:sparkline>
              <xm:f>productdetails!I441:K441</xm:f>
              <xm:sqref>S441</xm:sqref>
            </x14:sparkline>
            <x14:sparkline>
              <xm:f>productdetails!I442:K442</xm:f>
              <xm:sqref>S442</xm:sqref>
            </x14:sparkline>
            <x14:sparkline>
              <xm:f>productdetails!I443:K443</xm:f>
              <xm:sqref>S443</xm:sqref>
            </x14:sparkline>
            <x14:sparkline>
              <xm:f>productdetails!I444:K444</xm:f>
              <xm:sqref>S444</xm:sqref>
            </x14:sparkline>
            <x14:sparkline>
              <xm:f>productdetails!I445:K445</xm:f>
              <xm:sqref>S445</xm:sqref>
            </x14:sparkline>
            <x14:sparkline>
              <xm:f>productdetails!I446:K446</xm:f>
              <xm:sqref>S446</xm:sqref>
            </x14:sparkline>
            <x14:sparkline>
              <xm:f>productdetails!I447:K447</xm:f>
              <xm:sqref>S447</xm:sqref>
            </x14:sparkline>
            <x14:sparkline>
              <xm:f>productdetails!I448:K448</xm:f>
              <xm:sqref>S448</xm:sqref>
            </x14:sparkline>
            <x14:sparkline>
              <xm:f>productdetails!I449:K449</xm:f>
              <xm:sqref>S449</xm:sqref>
            </x14:sparkline>
            <x14:sparkline>
              <xm:f>productdetails!I450:K450</xm:f>
              <xm:sqref>S450</xm:sqref>
            </x14:sparkline>
            <x14:sparkline>
              <xm:f>productdetails!I451:K451</xm:f>
              <xm:sqref>S451</xm:sqref>
            </x14:sparkline>
            <x14:sparkline>
              <xm:f>productdetails!I452:K452</xm:f>
              <xm:sqref>S452</xm:sqref>
            </x14:sparkline>
            <x14:sparkline>
              <xm:f>productdetails!I453:K453</xm:f>
              <xm:sqref>S453</xm:sqref>
            </x14:sparkline>
            <x14:sparkline>
              <xm:f>productdetails!I454:K454</xm:f>
              <xm:sqref>S454</xm:sqref>
            </x14:sparkline>
            <x14:sparkline>
              <xm:f>productdetails!I455:K455</xm:f>
              <xm:sqref>S455</xm:sqref>
            </x14:sparkline>
            <x14:sparkline>
              <xm:f>productdetails!I456:K456</xm:f>
              <xm:sqref>S456</xm:sqref>
            </x14:sparkline>
            <x14:sparkline>
              <xm:f>productdetails!I457:K457</xm:f>
              <xm:sqref>S457</xm:sqref>
            </x14:sparkline>
            <x14:sparkline>
              <xm:f>productdetails!I458:K458</xm:f>
              <xm:sqref>S458</xm:sqref>
            </x14:sparkline>
            <x14:sparkline>
              <xm:f>productdetails!I459:K459</xm:f>
              <xm:sqref>S459</xm:sqref>
            </x14:sparkline>
            <x14:sparkline>
              <xm:f>productdetails!I460:K460</xm:f>
              <xm:sqref>S460</xm:sqref>
            </x14:sparkline>
            <x14:sparkline>
              <xm:f>productdetails!I461:K461</xm:f>
              <xm:sqref>S461</xm:sqref>
            </x14:sparkline>
            <x14:sparkline>
              <xm:f>productdetails!I462:K462</xm:f>
              <xm:sqref>S462</xm:sqref>
            </x14:sparkline>
            <x14:sparkline>
              <xm:f>productdetails!I463:K463</xm:f>
              <xm:sqref>S463</xm:sqref>
            </x14:sparkline>
            <x14:sparkline>
              <xm:f>productdetails!I464:K464</xm:f>
              <xm:sqref>S464</xm:sqref>
            </x14:sparkline>
            <x14:sparkline>
              <xm:f>productdetails!I465:K465</xm:f>
              <xm:sqref>S465</xm:sqref>
            </x14:sparkline>
            <x14:sparkline>
              <xm:f>productdetails!I466:K466</xm:f>
              <xm:sqref>S466</xm:sqref>
            </x14:sparkline>
            <x14:sparkline>
              <xm:f>productdetails!I467:K467</xm:f>
              <xm:sqref>S467</xm:sqref>
            </x14:sparkline>
            <x14:sparkline>
              <xm:f>productdetails!I468:K468</xm:f>
              <xm:sqref>S468</xm:sqref>
            </x14:sparkline>
            <x14:sparkline>
              <xm:f>productdetails!I469:K469</xm:f>
              <xm:sqref>S469</xm:sqref>
            </x14:sparkline>
            <x14:sparkline>
              <xm:f>productdetails!I470:K470</xm:f>
              <xm:sqref>S470</xm:sqref>
            </x14:sparkline>
            <x14:sparkline>
              <xm:f>productdetails!I471:K471</xm:f>
              <xm:sqref>S471</xm:sqref>
            </x14:sparkline>
            <x14:sparkline>
              <xm:f>productdetails!I472:K472</xm:f>
              <xm:sqref>S472</xm:sqref>
            </x14:sparkline>
            <x14:sparkline>
              <xm:f>productdetails!I473:K473</xm:f>
              <xm:sqref>S473</xm:sqref>
            </x14:sparkline>
            <x14:sparkline>
              <xm:f>productdetails!I474:K474</xm:f>
              <xm:sqref>S474</xm:sqref>
            </x14:sparkline>
            <x14:sparkline>
              <xm:f>productdetails!I475:K475</xm:f>
              <xm:sqref>S475</xm:sqref>
            </x14:sparkline>
            <x14:sparkline>
              <xm:f>productdetails!I476:K476</xm:f>
              <xm:sqref>S476</xm:sqref>
            </x14:sparkline>
            <x14:sparkline>
              <xm:f>productdetails!I477:K477</xm:f>
              <xm:sqref>S477</xm:sqref>
            </x14:sparkline>
            <x14:sparkline>
              <xm:f>productdetails!I478:K478</xm:f>
              <xm:sqref>S478</xm:sqref>
            </x14:sparkline>
            <x14:sparkline>
              <xm:f>productdetails!I479:K479</xm:f>
              <xm:sqref>S479</xm:sqref>
            </x14:sparkline>
            <x14:sparkline>
              <xm:f>productdetails!I480:K480</xm:f>
              <xm:sqref>S480</xm:sqref>
            </x14:sparkline>
            <x14:sparkline>
              <xm:f>productdetails!I481:K481</xm:f>
              <xm:sqref>S481</xm:sqref>
            </x14:sparkline>
            <x14:sparkline>
              <xm:f>productdetails!I482:K482</xm:f>
              <xm:sqref>S482</xm:sqref>
            </x14:sparkline>
            <x14:sparkline>
              <xm:f>productdetails!I483:K483</xm:f>
              <xm:sqref>S483</xm:sqref>
            </x14:sparkline>
            <x14:sparkline>
              <xm:f>productdetails!I484:K484</xm:f>
              <xm:sqref>S484</xm:sqref>
            </x14:sparkline>
            <x14:sparkline>
              <xm:f>productdetails!I485:K485</xm:f>
              <xm:sqref>S485</xm:sqref>
            </x14:sparkline>
            <x14:sparkline>
              <xm:f>productdetails!I486:K486</xm:f>
              <xm:sqref>S486</xm:sqref>
            </x14:sparkline>
            <x14:sparkline>
              <xm:f>productdetails!I487:K487</xm:f>
              <xm:sqref>S487</xm:sqref>
            </x14:sparkline>
            <x14:sparkline>
              <xm:f>productdetails!I488:K488</xm:f>
              <xm:sqref>S488</xm:sqref>
            </x14:sparkline>
            <x14:sparkline>
              <xm:f>productdetails!I489:K489</xm:f>
              <xm:sqref>S489</xm:sqref>
            </x14:sparkline>
            <x14:sparkline>
              <xm:f>productdetails!I490:K490</xm:f>
              <xm:sqref>S490</xm:sqref>
            </x14:sparkline>
            <x14:sparkline>
              <xm:f>productdetails!I491:K491</xm:f>
              <xm:sqref>S491</xm:sqref>
            </x14:sparkline>
            <x14:sparkline>
              <xm:f>productdetails!I492:K492</xm:f>
              <xm:sqref>S492</xm:sqref>
            </x14:sparkline>
          </x14:sparklines>
        </x14:sparklineGroup>
        <x14:sparklineGroup manualMax="0" manualMin="0" displayEmptyCellsAs="gap" xr2:uid="{03A77A83-59A2-4B0E-A1DC-A4D50328B265}">
          <x14:colorSeries rgb="FF376092"/>
          <x14:colorNegative rgb="FFD00000"/>
          <x14:colorAxis rgb="FF000000"/>
          <x14:colorMarkers rgb="FFD00000"/>
          <x14:colorFirst rgb="FFD00000"/>
          <x14:colorLast rgb="FFD00000"/>
          <x14:colorHigh rgb="FFD00000"/>
          <x14:colorLow rgb="FFD00000"/>
          <x14:sparklines>
            <x14:sparkline>
              <xm:f>productdetails!I6:K6</xm:f>
              <xm:sqref>S6</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6235F-F598-47D7-806D-C4AD986557EA}">
  <sheetPr codeName="Sheet3"/>
  <dimension ref="A1:P46"/>
  <sheetViews>
    <sheetView workbookViewId="0">
      <selection activeCell="L19" sqref="L19"/>
    </sheetView>
  </sheetViews>
  <sheetFormatPr defaultRowHeight="15" x14ac:dyDescent="0.25"/>
  <cols>
    <col min="1" max="1" width="13.140625" bestFit="1" customWidth="1"/>
    <col min="2" max="2" width="20.7109375" bestFit="1" customWidth="1"/>
    <col min="3" max="3" width="11.5703125" bestFit="1" customWidth="1"/>
    <col min="4" max="4" width="2" style="46" customWidth="1"/>
    <col min="5" max="7" width="16.5703125" bestFit="1" customWidth="1"/>
    <col min="8" max="8" width="2.7109375" customWidth="1"/>
    <col min="9" max="9" width="14.28515625" customWidth="1"/>
    <col min="10" max="10" width="22.5703125" customWidth="1"/>
    <col min="11" max="11" width="14.42578125" customWidth="1"/>
  </cols>
  <sheetData>
    <row r="1" spans="1:16" ht="15.75" x14ac:dyDescent="0.25">
      <c r="A1" s="125" t="s">
        <v>1191</v>
      </c>
      <c r="B1" s="46"/>
      <c r="C1" s="46"/>
      <c r="E1" s="46"/>
      <c r="F1" s="46"/>
      <c r="G1" s="46"/>
      <c r="H1" s="46"/>
      <c r="I1" s="46"/>
      <c r="J1" s="46"/>
      <c r="K1" s="46"/>
      <c r="L1" s="46"/>
      <c r="M1" s="46"/>
      <c r="N1" s="46"/>
      <c r="O1" s="46"/>
      <c r="P1" s="46"/>
    </row>
    <row r="2" spans="1:16" x14ac:dyDescent="0.25">
      <c r="A2" s="46"/>
      <c r="B2" s="46"/>
      <c r="C2" s="46"/>
      <c r="E2" s="158"/>
      <c r="F2" s="46"/>
      <c r="G2" s="46"/>
      <c r="H2" s="46"/>
      <c r="I2" s="159" t="s">
        <v>877</v>
      </c>
      <c r="J2" s="159" t="s">
        <v>1178</v>
      </c>
      <c r="K2" s="159" t="s">
        <v>1196</v>
      </c>
      <c r="L2" s="46"/>
      <c r="M2" s="46"/>
      <c r="N2" s="46"/>
      <c r="O2" s="46"/>
      <c r="P2" s="46"/>
    </row>
    <row r="3" spans="1:16" ht="15.75" x14ac:dyDescent="0.25">
      <c r="A3" s="123" t="s">
        <v>1156</v>
      </c>
      <c r="B3" t="s">
        <v>1178</v>
      </c>
      <c r="C3" s="46"/>
      <c r="E3" s="158"/>
      <c r="F3" s="46"/>
      <c r="G3" s="46"/>
      <c r="H3" s="46"/>
      <c r="I3" s="160" t="s">
        <v>42</v>
      </c>
      <c r="J3" s="161">
        <v>123</v>
      </c>
      <c r="K3" s="159">
        <v>3692.6367</v>
      </c>
      <c r="L3" s="46"/>
      <c r="M3" s="46"/>
      <c r="N3" s="46"/>
      <c r="O3" s="46"/>
      <c r="P3" s="46"/>
    </row>
    <row r="4" spans="1:16" ht="15.75" x14ac:dyDescent="0.25">
      <c r="A4" s="124" t="s">
        <v>42</v>
      </c>
      <c r="B4">
        <v>123</v>
      </c>
      <c r="C4" s="46"/>
      <c r="E4" s="158"/>
      <c r="F4" s="46"/>
      <c r="G4" s="46"/>
      <c r="H4" s="46"/>
      <c r="I4" s="160" t="s">
        <v>24</v>
      </c>
      <c r="J4" s="161">
        <v>70</v>
      </c>
      <c r="K4" s="159">
        <v>2669.0506999999998</v>
      </c>
      <c r="L4" s="46"/>
      <c r="M4" s="46"/>
      <c r="N4" s="46"/>
      <c r="O4" s="46"/>
      <c r="P4" s="46"/>
    </row>
    <row r="5" spans="1:16" ht="15.75" x14ac:dyDescent="0.25">
      <c r="A5" s="124" t="s">
        <v>24</v>
      </c>
      <c r="B5">
        <v>70</v>
      </c>
      <c r="C5" s="46"/>
      <c r="E5" s="158"/>
      <c r="F5" s="46"/>
      <c r="G5" s="46"/>
      <c r="H5" s="46"/>
      <c r="I5" s="160" t="s">
        <v>37</v>
      </c>
      <c r="J5" s="161">
        <v>52</v>
      </c>
      <c r="K5" s="159">
        <v>809.65509999999995</v>
      </c>
      <c r="L5" s="46"/>
      <c r="M5" s="46"/>
      <c r="N5" s="46"/>
      <c r="O5" s="46"/>
      <c r="P5" s="46"/>
    </row>
    <row r="6" spans="1:16" ht="15.75" x14ac:dyDescent="0.25">
      <c r="A6" s="124" t="s">
        <v>37</v>
      </c>
      <c r="B6">
        <v>52</v>
      </c>
      <c r="C6" s="46"/>
      <c r="E6" s="158"/>
      <c r="F6" s="46"/>
      <c r="G6" s="46"/>
      <c r="H6" s="46"/>
      <c r="I6" s="160" t="s">
        <v>34</v>
      </c>
      <c r="J6" s="161">
        <v>46</v>
      </c>
      <c r="K6" s="159">
        <v>222.58699999999999</v>
      </c>
      <c r="L6" s="46"/>
      <c r="M6" s="46"/>
      <c r="N6" s="46"/>
      <c r="O6" s="46"/>
      <c r="P6" s="46"/>
    </row>
    <row r="7" spans="1:16" ht="15.75" x14ac:dyDescent="0.25">
      <c r="A7" s="124" t="s">
        <v>34</v>
      </c>
      <c r="B7">
        <v>46</v>
      </c>
      <c r="C7" s="46"/>
      <c r="E7" s="158"/>
      <c r="F7" s="46"/>
      <c r="G7" s="46"/>
      <c r="H7" s="46"/>
      <c r="I7" s="160" t="s">
        <v>21</v>
      </c>
      <c r="J7" s="161">
        <v>33</v>
      </c>
      <c r="K7" s="159">
        <v>607.65369999999996</v>
      </c>
      <c r="L7" s="46"/>
      <c r="M7" s="46"/>
      <c r="N7" s="46"/>
      <c r="O7" s="46"/>
      <c r="P7" s="46"/>
    </row>
    <row r="8" spans="1:16" ht="15.75" x14ac:dyDescent="0.25">
      <c r="A8" s="124" t="s">
        <v>21</v>
      </c>
      <c r="B8">
        <v>33</v>
      </c>
      <c r="C8" s="46"/>
      <c r="E8" s="158"/>
      <c r="F8" s="46"/>
      <c r="G8" s="46"/>
      <c r="H8" s="46"/>
      <c r="I8" s="160" t="s">
        <v>256</v>
      </c>
      <c r="J8" s="161">
        <v>29</v>
      </c>
      <c r="K8" s="159">
        <v>971.36649999999997</v>
      </c>
      <c r="L8" s="46"/>
      <c r="M8" s="46"/>
      <c r="N8" s="46"/>
      <c r="O8" s="46"/>
      <c r="P8" s="46"/>
    </row>
    <row r="9" spans="1:16" ht="15.75" x14ac:dyDescent="0.25">
      <c r="A9" s="124" t="s">
        <v>256</v>
      </c>
      <c r="B9">
        <v>29</v>
      </c>
      <c r="C9" s="46"/>
      <c r="E9" s="158"/>
      <c r="F9" s="46"/>
      <c r="G9" s="46"/>
      <c r="H9" s="46"/>
      <c r="I9" s="160" t="s">
        <v>99</v>
      </c>
      <c r="J9" s="161">
        <v>27</v>
      </c>
      <c r="K9" s="159">
        <v>630.05600000000004</v>
      </c>
      <c r="L9" s="46"/>
      <c r="M9" s="46"/>
      <c r="N9" s="46"/>
      <c r="O9" s="46"/>
      <c r="P9" s="46"/>
    </row>
    <row r="10" spans="1:16" ht="15.75" x14ac:dyDescent="0.25">
      <c r="A10" s="124" t="s">
        <v>99</v>
      </c>
      <c r="B10">
        <v>27</v>
      </c>
      <c r="C10" s="46"/>
      <c r="E10" s="158"/>
      <c r="F10" s="46"/>
      <c r="G10" s="46"/>
      <c r="H10" s="46"/>
      <c r="I10" s="160" t="s">
        <v>17</v>
      </c>
      <c r="J10" s="161">
        <v>25</v>
      </c>
      <c r="K10" s="159">
        <v>858.73659999999995</v>
      </c>
      <c r="L10" s="46"/>
      <c r="M10" s="46"/>
      <c r="N10" s="46"/>
      <c r="O10" s="46"/>
      <c r="P10" s="46"/>
    </row>
    <row r="11" spans="1:16" ht="15.75" x14ac:dyDescent="0.25">
      <c r="A11" s="124" t="s">
        <v>17</v>
      </c>
      <c r="B11">
        <v>25</v>
      </c>
      <c r="C11" s="46"/>
      <c r="E11" s="158"/>
      <c r="F11" s="46"/>
      <c r="G11" s="46"/>
      <c r="H11" s="46"/>
      <c r="I11" s="160" t="s">
        <v>103</v>
      </c>
      <c r="J11" s="161">
        <v>18</v>
      </c>
      <c r="K11" s="159">
        <v>75.895799999999994</v>
      </c>
      <c r="L11" s="46"/>
      <c r="M11" s="46"/>
      <c r="N11" s="46"/>
      <c r="O11" s="46"/>
      <c r="P11" s="46"/>
    </row>
    <row r="12" spans="1:16" ht="15.75" x14ac:dyDescent="0.25">
      <c r="A12" s="124" t="s">
        <v>103</v>
      </c>
      <c r="B12">
        <v>18</v>
      </c>
      <c r="C12" s="46"/>
      <c r="E12" s="158"/>
      <c r="F12" s="46"/>
      <c r="G12" s="46"/>
      <c r="H12" s="46"/>
      <c r="I12" s="160" t="s">
        <v>11</v>
      </c>
      <c r="J12" s="161">
        <v>18</v>
      </c>
      <c r="K12" s="159">
        <v>118.6182</v>
      </c>
      <c r="L12" s="46"/>
      <c r="M12" s="46"/>
      <c r="N12" s="46"/>
      <c r="O12" s="46"/>
      <c r="P12" s="46"/>
    </row>
    <row r="13" spans="1:16" x14ac:dyDescent="0.25">
      <c r="A13" s="124" t="s">
        <v>11</v>
      </c>
      <c r="B13">
        <v>18</v>
      </c>
      <c r="C13" s="46"/>
      <c r="E13" s="158"/>
      <c r="F13" s="46"/>
      <c r="G13" s="46"/>
      <c r="H13" s="46"/>
      <c r="I13" s="46"/>
      <c r="J13" s="46"/>
      <c r="K13" s="46"/>
      <c r="L13" s="46"/>
      <c r="M13" s="46"/>
      <c r="N13" s="46"/>
      <c r="O13" s="46"/>
      <c r="P13" s="46"/>
    </row>
    <row r="14" spans="1:16" x14ac:dyDescent="0.25">
      <c r="A14" s="124" t="s">
        <v>68</v>
      </c>
      <c r="B14">
        <v>13</v>
      </c>
      <c r="C14" s="46"/>
      <c r="E14" s="158"/>
      <c r="F14" s="46"/>
      <c r="G14" s="46"/>
      <c r="H14" s="46"/>
      <c r="I14" s="46"/>
      <c r="J14" s="46"/>
      <c r="K14" s="46"/>
      <c r="L14" s="46"/>
      <c r="M14" s="46"/>
      <c r="N14" s="46"/>
      <c r="O14" s="46"/>
      <c r="P14" s="46"/>
    </row>
    <row r="15" spans="1:16" x14ac:dyDescent="0.25">
      <c r="A15" s="124" t="s">
        <v>15</v>
      </c>
      <c r="B15">
        <v>12</v>
      </c>
      <c r="C15" s="46"/>
      <c r="E15" s="158"/>
      <c r="F15" s="46"/>
      <c r="G15" s="46"/>
      <c r="H15" s="46"/>
      <c r="I15" s="46"/>
      <c r="J15" s="46"/>
      <c r="K15" s="46"/>
      <c r="L15" s="46"/>
      <c r="M15" s="46"/>
      <c r="N15" s="46"/>
      <c r="O15" s="46"/>
      <c r="P15" s="46"/>
    </row>
    <row r="16" spans="1:16" x14ac:dyDescent="0.25">
      <c r="A16" s="124" t="s">
        <v>123</v>
      </c>
      <c r="B16">
        <v>11</v>
      </c>
      <c r="C16" s="46"/>
      <c r="E16" s="158"/>
      <c r="F16" s="46"/>
      <c r="G16" s="46"/>
      <c r="H16" s="46"/>
      <c r="I16" s="46"/>
      <c r="J16" s="46"/>
      <c r="K16" s="46"/>
      <c r="L16" s="46"/>
      <c r="M16" s="46"/>
      <c r="N16" s="46"/>
      <c r="O16" s="46"/>
      <c r="P16" s="46"/>
    </row>
    <row r="17" spans="1:16" x14ac:dyDescent="0.25">
      <c r="A17" s="124" t="s">
        <v>376</v>
      </c>
      <c r="B17">
        <v>10</v>
      </c>
      <c r="C17" s="46"/>
      <c r="E17" s="158"/>
      <c r="F17" s="46"/>
      <c r="G17" s="46"/>
      <c r="H17" s="46"/>
      <c r="I17" s="46"/>
      <c r="J17" s="46"/>
      <c r="K17" s="46"/>
      <c r="L17" s="46"/>
      <c r="M17" s="46"/>
      <c r="N17" s="46"/>
      <c r="O17" s="46"/>
      <c r="P17" s="46"/>
    </row>
    <row r="18" spans="1:16" x14ac:dyDescent="0.25">
      <c r="A18" s="124" t="s">
        <v>26</v>
      </c>
      <c r="B18">
        <v>9</v>
      </c>
      <c r="C18" s="46"/>
      <c r="E18" s="158"/>
      <c r="F18" s="46"/>
      <c r="G18" s="46"/>
      <c r="H18" s="46"/>
      <c r="I18" s="46"/>
      <c r="J18" s="46"/>
      <c r="K18" s="46"/>
      <c r="L18" s="46"/>
      <c r="M18" s="46"/>
      <c r="N18" s="46"/>
      <c r="O18" s="46"/>
      <c r="P18" s="46"/>
    </row>
    <row r="19" spans="1:16" x14ac:dyDescent="0.25">
      <c r="A19" s="124" t="s">
        <v>88</v>
      </c>
      <c r="B19">
        <v>8</v>
      </c>
      <c r="C19" s="46"/>
      <c r="E19" s="158"/>
      <c r="F19" s="46"/>
      <c r="G19" s="46"/>
      <c r="H19" s="46"/>
      <c r="I19" s="46"/>
      <c r="J19" s="46"/>
      <c r="K19" s="46"/>
      <c r="L19" s="46"/>
      <c r="M19" s="46"/>
      <c r="N19" s="46"/>
      <c r="O19" s="46"/>
      <c r="P19" s="46"/>
    </row>
    <row r="20" spans="1:16" x14ac:dyDescent="0.25">
      <c r="A20" s="124" t="s">
        <v>363</v>
      </c>
      <c r="B20">
        <v>7</v>
      </c>
      <c r="C20" s="46"/>
      <c r="E20" s="158"/>
      <c r="F20" s="46"/>
      <c r="G20" s="46"/>
      <c r="H20" s="46"/>
      <c r="I20" s="46"/>
      <c r="J20" s="46"/>
      <c r="K20" s="46"/>
      <c r="L20" s="46"/>
      <c r="M20" s="46"/>
      <c r="N20" s="46"/>
      <c r="O20" s="46"/>
      <c r="P20" s="46"/>
    </row>
    <row r="21" spans="1:16" x14ac:dyDescent="0.25">
      <c r="A21" s="124" t="s">
        <v>32</v>
      </c>
      <c r="B21">
        <v>6</v>
      </c>
      <c r="C21" s="46"/>
      <c r="E21" s="158"/>
      <c r="F21" s="46"/>
      <c r="G21" s="46"/>
      <c r="H21" s="46"/>
      <c r="I21" s="46"/>
      <c r="J21" s="46"/>
      <c r="K21" s="46"/>
      <c r="L21" s="46"/>
      <c r="M21" s="46"/>
      <c r="N21" s="46"/>
      <c r="O21" s="46"/>
      <c r="P21" s="46"/>
    </row>
    <row r="22" spans="1:16" x14ac:dyDescent="0.25">
      <c r="A22" s="124" t="s">
        <v>13</v>
      </c>
      <c r="B22">
        <v>4</v>
      </c>
      <c r="C22" s="46"/>
      <c r="E22" s="158"/>
      <c r="F22" s="46"/>
      <c r="G22" s="46"/>
      <c r="H22" s="46"/>
      <c r="I22" s="46"/>
      <c r="J22" s="46"/>
      <c r="K22" s="46"/>
      <c r="L22" s="46"/>
      <c r="M22" s="46"/>
      <c r="N22" s="46"/>
      <c r="O22" s="46"/>
      <c r="P22" s="46"/>
    </row>
    <row r="23" spans="1:16" x14ac:dyDescent="0.25">
      <c r="A23" s="124" t="s">
        <v>118</v>
      </c>
      <c r="B23">
        <v>4</v>
      </c>
      <c r="C23" s="46"/>
      <c r="E23" s="158"/>
      <c r="F23" s="46"/>
      <c r="G23" s="46"/>
      <c r="H23" s="46"/>
      <c r="I23" s="46"/>
      <c r="J23" s="46"/>
      <c r="K23" s="46"/>
      <c r="L23" s="46"/>
      <c r="M23" s="46"/>
      <c r="N23" s="46"/>
      <c r="O23" s="46"/>
      <c r="P23" s="46"/>
    </row>
    <row r="24" spans="1:16" x14ac:dyDescent="0.25">
      <c r="A24" s="124" t="s">
        <v>476</v>
      </c>
      <c r="B24">
        <v>4</v>
      </c>
      <c r="C24" s="46"/>
      <c r="E24" s="158"/>
      <c r="F24" s="46"/>
      <c r="G24" s="46"/>
      <c r="H24" s="46"/>
      <c r="I24" s="46"/>
      <c r="J24" s="46"/>
      <c r="K24" s="46"/>
      <c r="L24" s="46"/>
      <c r="M24" s="46"/>
      <c r="N24" s="46"/>
      <c r="O24" s="46"/>
      <c r="P24" s="46"/>
    </row>
    <row r="25" spans="1:16" x14ac:dyDescent="0.25">
      <c r="A25" s="124" t="s">
        <v>1195</v>
      </c>
      <c r="B25">
        <v>4</v>
      </c>
      <c r="C25" s="46"/>
      <c r="E25" s="158"/>
      <c r="F25" s="46"/>
      <c r="G25" s="46"/>
      <c r="H25" s="46"/>
      <c r="I25" s="46"/>
      <c r="J25" s="46"/>
      <c r="K25" s="46"/>
      <c r="L25" s="46"/>
      <c r="M25" s="46"/>
      <c r="N25" s="46"/>
      <c r="O25" s="46"/>
      <c r="P25" s="46"/>
    </row>
    <row r="26" spans="1:16" x14ac:dyDescent="0.25">
      <c r="A26" s="124" t="s">
        <v>570</v>
      </c>
      <c r="B26">
        <v>3</v>
      </c>
      <c r="C26" s="46"/>
      <c r="E26" s="158"/>
      <c r="F26" s="46"/>
      <c r="G26" s="46"/>
      <c r="H26" s="46"/>
      <c r="I26" s="46"/>
      <c r="J26" s="46"/>
      <c r="K26" s="46"/>
      <c r="L26" s="46"/>
      <c r="M26" s="46"/>
      <c r="N26" s="46"/>
      <c r="O26" s="46"/>
      <c r="P26" s="46"/>
    </row>
    <row r="27" spans="1:16" x14ac:dyDescent="0.25">
      <c r="A27" s="124" t="s">
        <v>84</v>
      </c>
      <c r="B27">
        <v>2</v>
      </c>
      <c r="C27" s="46"/>
      <c r="E27" s="158"/>
      <c r="F27" s="46"/>
      <c r="G27" s="46"/>
      <c r="H27" s="46"/>
      <c r="I27" s="46"/>
      <c r="J27" s="46"/>
      <c r="K27" s="46"/>
      <c r="L27" s="46"/>
      <c r="M27" s="46"/>
      <c r="N27" s="46"/>
      <c r="O27" s="46"/>
      <c r="P27" s="46"/>
    </row>
    <row r="28" spans="1:16" x14ac:dyDescent="0.25">
      <c r="A28" s="124" t="s">
        <v>105</v>
      </c>
      <c r="B28">
        <v>2</v>
      </c>
      <c r="C28" s="46"/>
      <c r="E28" s="158"/>
      <c r="F28" s="46"/>
      <c r="G28" s="46"/>
      <c r="H28" s="46"/>
      <c r="I28" s="46"/>
      <c r="J28" s="46"/>
      <c r="K28" s="46"/>
      <c r="L28" s="46"/>
      <c r="M28" s="46"/>
      <c r="N28" s="46"/>
      <c r="O28" s="46"/>
      <c r="P28" s="46"/>
    </row>
    <row r="29" spans="1:16" x14ac:dyDescent="0.25">
      <c r="A29" s="124" t="s">
        <v>630</v>
      </c>
      <c r="B29">
        <v>1</v>
      </c>
      <c r="C29" s="46"/>
      <c r="E29" s="158"/>
      <c r="F29" s="46"/>
      <c r="G29" s="46"/>
      <c r="H29" s="46"/>
      <c r="I29" s="46"/>
      <c r="J29" s="46"/>
      <c r="K29" s="46"/>
      <c r="L29" s="46"/>
      <c r="M29" s="46"/>
      <c r="N29" s="46"/>
      <c r="O29" s="46"/>
      <c r="P29" s="46"/>
    </row>
    <row r="30" spans="1:16" x14ac:dyDescent="0.25">
      <c r="A30" s="124" t="s">
        <v>474</v>
      </c>
      <c r="B30">
        <v>1</v>
      </c>
      <c r="C30" s="46"/>
      <c r="E30" s="158"/>
      <c r="F30" s="46"/>
      <c r="G30" s="46"/>
      <c r="H30" s="46"/>
      <c r="I30" s="46"/>
      <c r="J30" s="46"/>
    </row>
    <row r="31" spans="1:16" x14ac:dyDescent="0.25">
      <c r="A31" s="124" t="s">
        <v>270</v>
      </c>
      <c r="B31">
        <v>1</v>
      </c>
      <c r="C31" s="46"/>
      <c r="E31" s="158"/>
      <c r="F31" s="46"/>
      <c r="G31" s="46"/>
      <c r="H31" s="46"/>
      <c r="I31" s="46"/>
      <c r="J31" s="46"/>
    </row>
    <row r="32" spans="1:16" x14ac:dyDescent="0.25">
      <c r="A32" s="124" t="s">
        <v>102</v>
      </c>
      <c r="B32">
        <v>1</v>
      </c>
      <c r="C32" s="46"/>
      <c r="E32" s="158"/>
      <c r="F32" s="46"/>
      <c r="G32" s="46"/>
      <c r="H32" s="46"/>
      <c r="I32" s="46"/>
      <c r="J32" s="46"/>
    </row>
    <row r="33" spans="1:10" x14ac:dyDescent="0.25">
      <c r="A33" s="124" t="s">
        <v>640</v>
      </c>
      <c r="B33">
        <v>1</v>
      </c>
      <c r="C33" s="46"/>
      <c r="E33" s="158"/>
      <c r="F33" s="46"/>
      <c r="G33" s="46"/>
      <c r="H33" s="46"/>
      <c r="I33" s="46"/>
      <c r="J33" s="46"/>
    </row>
    <row r="34" spans="1:10" x14ac:dyDescent="0.25">
      <c r="A34" s="124" t="s">
        <v>358</v>
      </c>
      <c r="B34">
        <v>1</v>
      </c>
      <c r="C34" s="46"/>
      <c r="E34" s="158"/>
      <c r="F34" s="46"/>
      <c r="G34" s="46"/>
      <c r="H34" s="46"/>
      <c r="I34" s="46"/>
      <c r="J34" s="46"/>
    </row>
    <row r="35" spans="1:10" x14ac:dyDescent="0.25">
      <c r="A35" s="124" t="s">
        <v>156</v>
      </c>
      <c r="B35">
        <v>1</v>
      </c>
      <c r="C35" s="46"/>
      <c r="E35" s="158"/>
      <c r="F35" s="46"/>
      <c r="G35" s="46"/>
      <c r="H35" s="46"/>
      <c r="I35" s="46"/>
      <c r="J35" s="46"/>
    </row>
    <row r="36" spans="1:10" x14ac:dyDescent="0.25">
      <c r="A36" s="124" t="s">
        <v>423</v>
      </c>
      <c r="B36">
        <v>1</v>
      </c>
      <c r="C36" s="46"/>
      <c r="E36" s="158"/>
      <c r="F36" s="46"/>
      <c r="G36" s="46"/>
      <c r="H36" s="46"/>
      <c r="I36" s="46"/>
      <c r="J36" s="46"/>
    </row>
    <row r="37" spans="1:10" x14ac:dyDescent="0.25">
      <c r="A37" s="124" t="s">
        <v>661</v>
      </c>
      <c r="B37">
        <v>1</v>
      </c>
      <c r="C37" s="46"/>
      <c r="E37" s="158"/>
      <c r="F37" s="46"/>
      <c r="G37" s="46"/>
      <c r="H37" s="46"/>
      <c r="I37" s="46"/>
      <c r="J37" s="46"/>
    </row>
    <row r="38" spans="1:10" x14ac:dyDescent="0.25">
      <c r="A38" s="124" t="s">
        <v>119</v>
      </c>
      <c r="B38">
        <v>1</v>
      </c>
      <c r="C38" s="46"/>
      <c r="E38" s="46"/>
      <c r="F38" s="46"/>
      <c r="G38" s="46"/>
      <c r="H38" s="46"/>
      <c r="I38" s="46"/>
      <c r="J38" s="46"/>
    </row>
    <row r="39" spans="1:10" x14ac:dyDescent="0.25">
      <c r="A39" s="124" t="s">
        <v>268</v>
      </c>
      <c r="B39">
        <v>1</v>
      </c>
      <c r="C39" s="46"/>
      <c r="E39" s="46"/>
      <c r="F39" s="46"/>
      <c r="G39" s="46"/>
      <c r="H39" s="46"/>
      <c r="I39" s="46"/>
      <c r="J39" s="46"/>
    </row>
    <row r="40" spans="1:10" x14ac:dyDescent="0.25">
      <c r="A40" s="124" t="s">
        <v>1158</v>
      </c>
      <c r="B40">
        <v>551</v>
      </c>
      <c r="C40" s="46"/>
      <c r="E40" s="46"/>
      <c r="F40" s="46"/>
      <c r="G40" s="46"/>
      <c r="H40" s="46"/>
      <c r="I40" s="46"/>
      <c r="J40" s="46"/>
    </row>
    <row r="46" spans="1:10" ht="15.75" x14ac:dyDescent="0.25">
      <c r="G46" s="125"/>
    </row>
  </sheetData>
  <dataConsolidate function="average"/>
  <conditionalFormatting sqref="F3:F34">
    <cfRule type="top10" dxfId="27" priority="15" percent="1" rank="10"/>
  </conditionalFormatting>
  <conditionalFormatting sqref="G2:G37">
    <cfRule type="dataBar" priority="22">
      <dataBar>
        <cfvo type="min"/>
        <cfvo type="max"/>
        <color rgb="FF638EC6"/>
      </dataBar>
      <extLst>
        <ext xmlns:x14="http://schemas.microsoft.com/office/spreadsheetml/2009/9/main" uri="{B025F937-C7B1-47D3-B67F-A62EFF666E3E}">
          <x14:id>{B601EE82-418C-479C-960C-EBEEB0C442FE}</x14:id>
        </ext>
      </extLst>
    </cfRule>
  </conditionalFormatting>
  <conditionalFormatting sqref="G7 G32">
    <cfRule type="dataBar" priority="17">
      <dataBar>
        <cfvo type="min"/>
        <cfvo type="max"/>
        <color rgb="FF638EC6"/>
      </dataBar>
      <extLst>
        <ext xmlns:x14="http://schemas.microsoft.com/office/spreadsheetml/2009/9/main" uri="{B025F937-C7B1-47D3-B67F-A62EFF666E3E}">
          <x14:id>{A7C5D488-46D9-485E-90F4-F36D7442CFCE}</x14:id>
        </ext>
      </extLst>
    </cfRule>
  </conditionalFormatting>
  <conditionalFormatting sqref="A3:B3 C15 A4:A39">
    <cfRule type="dataBar" priority="11">
      <dataBar>
        <cfvo type="min"/>
        <cfvo type="max"/>
        <color rgb="FF638EC6"/>
      </dataBar>
      <extLst>
        <ext xmlns:x14="http://schemas.microsoft.com/office/spreadsheetml/2009/9/main" uri="{B025F937-C7B1-47D3-B67F-A62EFF666E3E}">
          <x14:id>{4EF57F5C-3897-4BBA-835C-D24F1CFCA461}</x14:id>
        </ext>
      </extLst>
    </cfRule>
  </conditionalFormatting>
  <conditionalFormatting sqref="B3">
    <cfRule type="top10" dxfId="26" priority="10" percent="1" rank="10"/>
  </conditionalFormatting>
  <conditionalFormatting pivot="1" sqref="B4:B40">
    <cfRule type="dataBar" priority="9">
      <dataBar>
        <cfvo type="min"/>
        <cfvo type="max"/>
        <color rgb="FF638EC6"/>
      </dataBar>
      <extLst>
        <ext xmlns:x14="http://schemas.microsoft.com/office/spreadsheetml/2009/9/main" uri="{B025F937-C7B1-47D3-B67F-A62EFF666E3E}">
          <x14:id>{CB815CD0-C97B-43CB-AF27-82B16159F81F}</x14:id>
        </ext>
      </extLst>
    </cfRule>
  </conditionalFormatting>
  <conditionalFormatting sqref="A4:A39">
    <cfRule type="top10" dxfId="25" priority="8" rank="10"/>
  </conditionalFormatting>
  <conditionalFormatting sqref="I3:I12">
    <cfRule type="dataBar" priority="7">
      <dataBar>
        <cfvo type="min"/>
        <cfvo type="max"/>
        <color rgb="FF638EC6"/>
      </dataBar>
      <extLst>
        <ext xmlns:x14="http://schemas.microsoft.com/office/spreadsheetml/2009/9/main" uri="{B025F937-C7B1-47D3-B67F-A62EFF666E3E}">
          <x14:id>{EDE8653C-71BA-4678-B0EC-CE58A2E47C8F}</x14:id>
        </ext>
      </extLst>
    </cfRule>
  </conditionalFormatting>
  <conditionalFormatting sqref="I3:I12">
    <cfRule type="top10" dxfId="24" priority="6" rank="10"/>
  </conditionalFormatting>
  <conditionalFormatting sqref="J3:J12">
    <cfRule type="dataBar" priority="3">
      <dataBar>
        <cfvo type="min"/>
        <cfvo type="max"/>
        <color theme="4" tint="0.79998168889431442"/>
      </dataBar>
      <extLst>
        <ext xmlns:x14="http://schemas.microsoft.com/office/spreadsheetml/2009/9/main" uri="{B025F937-C7B1-47D3-B67F-A62EFF666E3E}">
          <x14:id>{FB76CD7C-B5D2-401D-BCBE-6521EECC1B9C}</x14:id>
        </ext>
      </extLst>
    </cfRule>
    <cfRule type="top10" dxfId="23" priority="4" percent="1" rank="30"/>
    <cfRule type="dataBar" priority="5">
      <dataBar>
        <cfvo type="min"/>
        <cfvo type="max"/>
        <color rgb="FF638EC6"/>
      </dataBar>
      <extLst>
        <ext xmlns:x14="http://schemas.microsoft.com/office/spreadsheetml/2009/9/main" uri="{B025F937-C7B1-47D3-B67F-A62EFF666E3E}">
          <x14:id>{80D5E43F-73BB-4293-8C78-61F6533FA763}</x14:id>
        </ext>
      </extLst>
    </cfRule>
  </conditionalFormatting>
  <conditionalFormatting sqref="K3:K12">
    <cfRule type="dataBar" priority="1">
      <dataBar>
        <cfvo type="min"/>
        <cfvo type="max"/>
        <color theme="9" tint="0.59999389629810485"/>
      </dataBar>
      <extLst>
        <ext xmlns:x14="http://schemas.microsoft.com/office/spreadsheetml/2009/9/main" uri="{B025F937-C7B1-47D3-B67F-A62EFF666E3E}">
          <x14:id>{B8B38EB2-CC3D-4ABC-9D41-AF434527DA63}</x14:id>
        </ext>
      </extLst>
    </cfRule>
    <cfRule type="dataBar" priority="2">
      <dataBar>
        <cfvo type="min"/>
        <cfvo type="max"/>
        <color rgb="FF63C384"/>
      </dataBar>
      <extLst>
        <ext xmlns:x14="http://schemas.microsoft.com/office/spreadsheetml/2009/9/main" uri="{B025F937-C7B1-47D3-B67F-A62EFF666E3E}">
          <x14:id>{4A3E4284-26D7-49D4-AC9F-8389785AC47D}</x14:id>
        </ext>
      </extLs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B601EE82-418C-479C-960C-EBEEB0C442FE}">
            <x14:dataBar minLength="0" maxLength="100" gradient="0">
              <x14:cfvo type="autoMin"/>
              <x14:cfvo type="autoMax"/>
              <x14:negativeFillColor rgb="FFFF0000"/>
              <x14:axisColor rgb="FF000000"/>
            </x14:dataBar>
          </x14:cfRule>
          <xm:sqref>G2:G37</xm:sqref>
        </x14:conditionalFormatting>
        <x14:conditionalFormatting xmlns:xm="http://schemas.microsoft.com/office/excel/2006/main">
          <x14:cfRule type="dataBar" id="{A7C5D488-46D9-485E-90F4-F36D7442CFCE}">
            <x14:dataBar minLength="0" maxLength="100" gradient="0">
              <x14:cfvo type="min"/>
              <x14:cfvo type="max"/>
              <x14:negativeFillColor rgb="FFFF0000"/>
              <x14:axisColor rgb="FF000000"/>
            </x14:dataBar>
          </x14:cfRule>
          <xm:sqref>G7 G32</xm:sqref>
        </x14:conditionalFormatting>
        <x14:conditionalFormatting xmlns:xm="http://schemas.microsoft.com/office/excel/2006/main">
          <x14:cfRule type="dataBar" id="{4EF57F5C-3897-4BBA-835C-D24F1CFCA461}">
            <x14:dataBar minLength="0" maxLength="100" gradient="0">
              <x14:cfvo type="min"/>
              <x14:cfvo type="max"/>
              <x14:negativeFillColor rgb="FFFF0000"/>
              <x14:axisColor rgb="FF000000"/>
            </x14:dataBar>
          </x14:cfRule>
          <xm:sqref>A3:B3 C15 A4:A39</xm:sqref>
        </x14:conditionalFormatting>
        <x14:conditionalFormatting xmlns:xm="http://schemas.microsoft.com/office/excel/2006/main" pivot="1">
          <x14:cfRule type="dataBar" id="{CB815CD0-C97B-43CB-AF27-82B16159F81F}">
            <x14:dataBar minLength="0" maxLength="100" gradient="0">
              <x14:cfvo type="min"/>
              <x14:cfvo type="max"/>
              <x14:negativeFillColor rgb="FFFF0000"/>
              <x14:axisColor rgb="FF000000"/>
            </x14:dataBar>
          </x14:cfRule>
          <xm:sqref>B4:B40</xm:sqref>
        </x14:conditionalFormatting>
        <x14:conditionalFormatting xmlns:xm="http://schemas.microsoft.com/office/excel/2006/main">
          <x14:cfRule type="dataBar" id="{EDE8653C-71BA-4678-B0EC-CE58A2E47C8F}">
            <x14:dataBar minLength="0" maxLength="100" gradient="0">
              <x14:cfvo type="min"/>
              <x14:cfvo type="max"/>
              <x14:negativeFillColor rgb="FFFF0000"/>
              <x14:axisColor rgb="FF000000"/>
            </x14:dataBar>
          </x14:cfRule>
          <xm:sqref>I3:I12</xm:sqref>
        </x14:conditionalFormatting>
        <x14:conditionalFormatting xmlns:xm="http://schemas.microsoft.com/office/excel/2006/main">
          <x14:cfRule type="dataBar" id="{FB76CD7C-B5D2-401D-BCBE-6521EECC1B9C}">
            <x14:dataBar minLength="0" maxLength="100" gradient="0">
              <x14:cfvo type="autoMin"/>
              <x14:cfvo type="max"/>
              <x14:negativeFillColor rgb="FFFF0000"/>
              <x14:axisColor rgb="FF000000"/>
            </x14:dataBar>
          </x14:cfRule>
          <x14:cfRule type="dataBar" id="{80D5E43F-73BB-4293-8C78-61F6533FA763}">
            <x14:dataBar minLength="0" maxLength="100" gradient="0">
              <x14:cfvo type="min"/>
              <x14:cfvo type="max"/>
              <x14:negativeFillColor rgb="FFFF0000"/>
              <x14:axisColor rgb="FF000000"/>
            </x14:dataBar>
          </x14:cfRule>
          <xm:sqref>J3:J12</xm:sqref>
        </x14:conditionalFormatting>
        <x14:conditionalFormatting xmlns:xm="http://schemas.microsoft.com/office/excel/2006/main">
          <x14:cfRule type="dataBar" id="{B8B38EB2-CC3D-4ABC-9D41-AF434527DA63}">
            <x14:dataBar minLength="0" maxLength="100" gradient="0">
              <x14:cfvo type="autoMin"/>
              <x14:cfvo type="autoMax"/>
              <x14:negativeFillColor rgb="FFFF0000"/>
              <x14:axisColor rgb="FF000000"/>
            </x14:dataBar>
          </x14:cfRule>
          <x14:cfRule type="dataBar" id="{4A3E4284-26D7-49D4-AC9F-8389785AC47D}">
            <x14:dataBar minLength="0" maxLength="100" gradient="0">
              <x14:cfvo type="autoMin"/>
              <x14:cfvo type="autoMax"/>
              <x14:negativeFillColor rgb="FFFF0000"/>
              <x14:axisColor rgb="FF000000"/>
            </x14:dataBar>
          </x14:cfRule>
          <xm:sqref>K3:K12</xm:sqref>
        </x14:conditionalFormatting>
      </x14:conditionalFormattings>
    </ex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04CF1-DDBC-464A-B836-372491245AE9}">
  <sheetPr codeName="Sheet9"/>
  <dimension ref="A1:W24"/>
  <sheetViews>
    <sheetView workbookViewId="0">
      <selection activeCell="K5" sqref="K5"/>
    </sheetView>
  </sheetViews>
  <sheetFormatPr defaultRowHeight="15" x14ac:dyDescent="0.25"/>
  <cols>
    <col min="1" max="1" width="40.42578125" bestFit="1" customWidth="1"/>
    <col min="2" max="3" width="11.5703125" bestFit="1" customWidth="1"/>
    <col min="4" max="4" width="15.5703125" bestFit="1" customWidth="1"/>
    <col min="5" max="5" width="17.85546875" bestFit="1" customWidth="1"/>
    <col min="6" max="6" width="7" customWidth="1"/>
    <col min="7" max="7" width="8" bestFit="1" customWidth="1"/>
    <col min="8" max="8" width="6" bestFit="1" customWidth="1"/>
    <col min="9" max="9" width="3" bestFit="1" customWidth="1"/>
    <col min="10" max="11" width="7" bestFit="1" customWidth="1"/>
    <col min="12" max="12" width="8" bestFit="1" customWidth="1"/>
    <col min="13" max="13" width="9" bestFit="1" customWidth="1"/>
    <col min="14" max="14" width="8" bestFit="1" customWidth="1"/>
    <col min="15" max="15" width="40.42578125" bestFit="1" customWidth="1"/>
    <col min="16" max="16" width="21.140625" bestFit="1" customWidth="1"/>
    <col min="17" max="17" width="9" bestFit="1" customWidth="1"/>
    <col min="18" max="18" width="7" bestFit="1" customWidth="1"/>
    <col min="19" max="21" width="9" bestFit="1" customWidth="1"/>
    <col min="22" max="22" width="3" bestFit="1" customWidth="1"/>
    <col min="23" max="23" width="8" bestFit="1" customWidth="1"/>
    <col min="24" max="24" width="10" bestFit="1" customWidth="1"/>
    <col min="25" max="25" width="6" bestFit="1" customWidth="1"/>
    <col min="26" max="26" width="9" bestFit="1" customWidth="1"/>
    <col min="27" max="27" width="7" bestFit="1" customWidth="1"/>
    <col min="28" max="28" width="8" bestFit="1" customWidth="1"/>
    <col min="29" max="29" width="3" bestFit="1" customWidth="1"/>
    <col min="30" max="30" width="9" bestFit="1" customWidth="1"/>
    <col min="31" max="32" width="7" bestFit="1" customWidth="1"/>
    <col min="33" max="33" width="10" bestFit="1" customWidth="1"/>
    <col min="34" max="34" width="8" bestFit="1" customWidth="1"/>
    <col min="35" max="35" width="9" bestFit="1" customWidth="1"/>
    <col min="36" max="37" width="8" bestFit="1" customWidth="1"/>
    <col min="38" max="38" width="11.5703125" bestFit="1" customWidth="1"/>
    <col min="39" max="39" width="7" bestFit="1" customWidth="1"/>
    <col min="40" max="41" width="8" bestFit="1" customWidth="1"/>
    <col min="42" max="42" width="7" bestFit="1" customWidth="1"/>
    <col min="43" max="43" width="8" bestFit="1" customWidth="1"/>
    <col min="44" max="44" width="7" bestFit="1" customWidth="1"/>
    <col min="45" max="45" width="3" bestFit="1" customWidth="1"/>
    <col min="46" max="47" width="7" bestFit="1" customWidth="1"/>
    <col min="48" max="48" width="8" bestFit="1" customWidth="1"/>
    <col min="49" max="49" width="9" bestFit="1" customWidth="1"/>
    <col min="50" max="50" width="8" bestFit="1" customWidth="1"/>
    <col min="51" max="51" width="10" bestFit="1" customWidth="1"/>
    <col min="52" max="52" width="8" bestFit="1" customWidth="1"/>
    <col min="53" max="53" width="9" bestFit="1" customWidth="1"/>
    <col min="54" max="54" width="3" bestFit="1" customWidth="1"/>
    <col min="55" max="57" width="9" bestFit="1" customWidth="1"/>
    <col min="58" max="58" width="3" bestFit="1" customWidth="1"/>
    <col min="59" max="59" width="8" bestFit="1" customWidth="1"/>
    <col min="60" max="60" width="10" bestFit="1" customWidth="1"/>
    <col min="61" max="61" width="7" bestFit="1" customWidth="1"/>
    <col min="62" max="62" width="9" bestFit="1" customWidth="1"/>
    <col min="63" max="63" width="3" bestFit="1" customWidth="1"/>
    <col min="64" max="64" width="8" bestFit="1" customWidth="1"/>
    <col min="65" max="65" width="6" bestFit="1" customWidth="1"/>
    <col min="66" max="66" width="9" bestFit="1" customWidth="1"/>
    <col min="67" max="67" width="7" bestFit="1" customWidth="1"/>
    <col min="68" max="68" width="4" bestFit="1" customWidth="1"/>
    <col min="69" max="69" width="10" bestFit="1" customWidth="1"/>
    <col min="70" max="70" width="8" bestFit="1" customWidth="1"/>
    <col min="71" max="72" width="9" bestFit="1" customWidth="1"/>
    <col min="73" max="73" width="8" bestFit="1" customWidth="1"/>
    <col min="74" max="74" width="15.5703125" bestFit="1" customWidth="1"/>
    <col min="75" max="75" width="7" bestFit="1" customWidth="1"/>
    <col min="76" max="77" width="8" bestFit="1" customWidth="1"/>
    <col min="78" max="78" width="7" bestFit="1" customWidth="1"/>
    <col min="79" max="79" width="8" bestFit="1" customWidth="1"/>
    <col min="80" max="82" width="7" bestFit="1" customWidth="1"/>
    <col min="83" max="83" width="6" bestFit="1" customWidth="1"/>
    <col min="84" max="84" width="8" bestFit="1" customWidth="1"/>
    <col min="85" max="85" width="9" bestFit="1" customWidth="1"/>
    <col min="86" max="86" width="8" bestFit="1" customWidth="1"/>
    <col min="87" max="87" width="9" bestFit="1" customWidth="1"/>
    <col min="88" max="88" width="7" bestFit="1" customWidth="1"/>
    <col min="89" max="89" width="9" bestFit="1" customWidth="1"/>
    <col min="90" max="90" width="3" bestFit="1" customWidth="1"/>
    <col min="91" max="91" width="9" bestFit="1" customWidth="1"/>
    <col min="92" max="92" width="8" bestFit="1" customWidth="1"/>
    <col min="93" max="93" width="9" bestFit="1" customWidth="1"/>
    <col min="94" max="94" width="7" bestFit="1" customWidth="1"/>
    <col min="95" max="95" width="8" bestFit="1" customWidth="1"/>
    <col min="96" max="96" width="10" bestFit="1" customWidth="1"/>
    <col min="97" max="97" width="3" bestFit="1" customWidth="1"/>
    <col min="98" max="98" width="9" bestFit="1" customWidth="1"/>
    <col min="99" max="99" width="3" bestFit="1" customWidth="1"/>
    <col min="100" max="100" width="8" bestFit="1" customWidth="1"/>
    <col min="101" max="101" width="3" bestFit="1" customWidth="1"/>
    <col min="102" max="102" width="9" bestFit="1" customWidth="1"/>
    <col min="103" max="104" width="4" bestFit="1" customWidth="1"/>
    <col min="105" max="105" width="10" bestFit="1" customWidth="1"/>
    <col min="106" max="106" width="7" bestFit="1" customWidth="1"/>
    <col min="107" max="107" width="9" bestFit="1" customWidth="1"/>
    <col min="108" max="109" width="8" bestFit="1" customWidth="1"/>
    <col min="110" max="111" width="16.5703125" bestFit="1" customWidth="1"/>
    <col min="112" max="112" width="20.5703125" bestFit="1" customWidth="1"/>
  </cols>
  <sheetData>
    <row r="1" spans="1:23" ht="15.75" x14ac:dyDescent="0.25">
      <c r="A1" s="125" t="s">
        <v>1169</v>
      </c>
      <c r="B1" s="46"/>
      <c r="C1" s="46"/>
      <c r="D1" s="46"/>
      <c r="E1" s="46"/>
      <c r="F1" s="46"/>
      <c r="G1" s="46"/>
      <c r="H1" s="46"/>
      <c r="I1" s="46"/>
      <c r="J1" s="46"/>
      <c r="K1" s="46"/>
      <c r="L1" s="46"/>
      <c r="M1" s="46"/>
      <c r="N1" s="46"/>
      <c r="O1" s="46"/>
      <c r="P1" s="46"/>
      <c r="Q1" s="46"/>
      <c r="R1" s="46"/>
      <c r="S1" s="46"/>
      <c r="T1" s="46"/>
      <c r="U1" s="46"/>
      <c r="V1" s="46"/>
      <c r="W1" s="46"/>
    </row>
    <row r="2" spans="1:23" ht="15.75" x14ac:dyDescent="0.25">
      <c r="A2" s="153" t="s">
        <v>1190</v>
      </c>
      <c r="B2" s="46"/>
      <c r="C2" s="46"/>
      <c r="D2" s="46"/>
      <c r="E2" s="46"/>
      <c r="F2" s="46"/>
      <c r="G2" s="46"/>
      <c r="H2" s="46"/>
      <c r="I2" s="46"/>
      <c r="J2" s="46"/>
      <c r="K2" s="46"/>
      <c r="L2" s="46"/>
      <c r="M2" s="46"/>
      <c r="N2" s="46"/>
      <c r="O2" s="46"/>
      <c r="P2" s="46"/>
      <c r="Q2" s="46"/>
      <c r="R2" s="46"/>
      <c r="S2" s="46"/>
      <c r="T2" s="46"/>
      <c r="U2" s="46"/>
      <c r="V2" s="46"/>
      <c r="W2" s="46"/>
    </row>
    <row r="3" spans="1:23" x14ac:dyDescent="0.25">
      <c r="A3" s="123" t="s">
        <v>1156</v>
      </c>
      <c r="B3" t="s">
        <v>1159</v>
      </c>
      <c r="C3" t="s">
        <v>1160</v>
      </c>
      <c r="D3" t="s">
        <v>1161</v>
      </c>
      <c r="E3" t="s">
        <v>1157</v>
      </c>
      <c r="F3" s="46" t="s">
        <v>1217</v>
      </c>
      <c r="G3" s="46"/>
      <c r="H3" s="46"/>
      <c r="I3" s="46"/>
      <c r="J3" s="46"/>
      <c r="K3" s="46"/>
      <c r="L3" s="46"/>
      <c r="M3" s="46"/>
      <c r="N3" s="46"/>
      <c r="O3" s="46"/>
      <c r="P3" s="46"/>
      <c r="Q3" s="46"/>
      <c r="R3" s="46"/>
      <c r="S3" s="46"/>
      <c r="T3" s="46"/>
      <c r="U3" s="46"/>
      <c r="V3" s="46"/>
      <c r="W3" s="46"/>
    </row>
    <row r="4" spans="1:23" x14ac:dyDescent="0.25">
      <c r="A4" s="124" t="s">
        <v>20</v>
      </c>
      <c r="B4">
        <v>6105.1386999999986</v>
      </c>
      <c r="C4">
        <v>6002.9082000000008</v>
      </c>
      <c r="D4">
        <v>3218.6821000000004</v>
      </c>
      <c r="E4">
        <v>15326.72900000001</v>
      </c>
      <c r="F4" s="46"/>
      <c r="G4" s="46"/>
      <c r="H4" s="46"/>
      <c r="I4" s="46"/>
      <c r="J4" s="46"/>
      <c r="K4" s="46"/>
      <c r="L4" s="46"/>
      <c r="M4" s="46"/>
      <c r="N4" s="46"/>
      <c r="O4" s="46"/>
      <c r="P4" s="46"/>
      <c r="Q4" s="46"/>
      <c r="R4" s="46"/>
      <c r="S4" s="46"/>
      <c r="T4" s="46"/>
      <c r="U4" s="46"/>
      <c r="V4" s="46"/>
      <c r="W4" s="46"/>
    </row>
    <row r="5" spans="1:23" x14ac:dyDescent="0.25">
      <c r="A5" s="124" t="s">
        <v>30</v>
      </c>
      <c r="B5">
        <v>2276.8304999999996</v>
      </c>
      <c r="C5">
        <v>2758.5756000000001</v>
      </c>
      <c r="D5">
        <v>1608.7238000000002</v>
      </c>
      <c r="E5">
        <v>6644.1299000000026</v>
      </c>
      <c r="F5" s="46"/>
      <c r="G5" s="46"/>
      <c r="H5" s="46"/>
      <c r="I5" s="46"/>
      <c r="J5" s="46"/>
      <c r="K5" s="46"/>
      <c r="L5" s="46"/>
      <c r="M5" s="46"/>
      <c r="N5" s="46"/>
      <c r="O5" s="46"/>
      <c r="P5" s="46"/>
      <c r="Q5" s="46"/>
      <c r="R5" s="46"/>
      <c r="S5" s="46"/>
      <c r="T5" s="46"/>
      <c r="U5" s="46"/>
      <c r="V5" s="46"/>
      <c r="W5" s="46"/>
    </row>
    <row r="6" spans="1:23" x14ac:dyDescent="0.25">
      <c r="A6" s="124" t="s">
        <v>10</v>
      </c>
      <c r="B6">
        <v>1969.4134999999999</v>
      </c>
      <c r="C6">
        <v>1850.6268000000005</v>
      </c>
      <c r="D6">
        <v>981.24129999999991</v>
      </c>
      <c r="E6">
        <v>4801.2816000000003</v>
      </c>
      <c r="F6" s="46"/>
      <c r="G6" s="46"/>
      <c r="H6" s="46"/>
      <c r="I6" s="46"/>
      <c r="J6" s="46"/>
      <c r="K6" s="46"/>
      <c r="L6" s="46"/>
      <c r="M6" s="46"/>
      <c r="N6" s="46"/>
      <c r="O6" s="46"/>
      <c r="P6" s="46"/>
      <c r="Q6" s="46"/>
      <c r="R6" s="46"/>
      <c r="S6" s="46"/>
      <c r="T6" s="46"/>
      <c r="U6" s="46"/>
      <c r="V6" s="46"/>
      <c r="W6" s="46"/>
    </row>
    <row r="7" spans="1:23" x14ac:dyDescent="0.25">
      <c r="A7" s="124" t="s">
        <v>64</v>
      </c>
      <c r="B7">
        <v>1370.6339999999998</v>
      </c>
      <c r="C7">
        <v>1559.4185</v>
      </c>
      <c r="D7">
        <v>731.44569999999999</v>
      </c>
      <c r="E7">
        <v>3661.4982000000005</v>
      </c>
      <c r="F7" s="46"/>
      <c r="G7" s="46"/>
      <c r="H7" s="46"/>
      <c r="I7" s="46"/>
      <c r="J7" s="46"/>
      <c r="K7" s="46"/>
      <c r="L7" s="46"/>
      <c r="M7" s="46"/>
      <c r="N7" s="46"/>
      <c r="O7" s="46"/>
      <c r="P7" s="46"/>
      <c r="Q7" s="46"/>
      <c r="R7" s="46"/>
      <c r="S7" s="46"/>
      <c r="T7" s="46"/>
      <c r="U7" s="46"/>
      <c r="V7" s="46"/>
      <c r="W7" s="46"/>
    </row>
    <row r="8" spans="1:23" x14ac:dyDescent="0.25">
      <c r="A8" s="124" t="s">
        <v>69</v>
      </c>
      <c r="B8">
        <v>93.788700000000006</v>
      </c>
      <c r="C8">
        <v>57.919700000000006</v>
      </c>
      <c r="D8">
        <v>35.799300000000002</v>
      </c>
      <c r="E8">
        <v>187.5077</v>
      </c>
      <c r="F8" s="46"/>
      <c r="G8" s="46"/>
      <c r="H8" s="46"/>
      <c r="I8" s="46"/>
      <c r="J8" s="46"/>
      <c r="K8" s="46"/>
      <c r="L8" s="46"/>
      <c r="M8" s="46"/>
      <c r="N8" s="46"/>
      <c r="O8" s="46"/>
      <c r="P8" s="46"/>
      <c r="Q8" s="46"/>
      <c r="R8" s="46"/>
      <c r="S8" s="46"/>
      <c r="T8" s="46"/>
      <c r="U8" s="46"/>
      <c r="V8" s="46"/>
      <c r="W8" s="46"/>
    </row>
    <row r="9" spans="1:23" x14ac:dyDescent="0.25">
      <c r="A9" s="124" t="s">
        <v>249</v>
      </c>
      <c r="B9">
        <v>64.353499999999997</v>
      </c>
      <c r="C9">
        <v>35.398600000000002</v>
      </c>
      <c r="D9">
        <v>14.159099999999999</v>
      </c>
      <c r="E9">
        <v>113.91119999999999</v>
      </c>
      <c r="F9" s="46"/>
      <c r="G9" s="46"/>
      <c r="H9" s="46"/>
      <c r="I9" s="46"/>
      <c r="J9" s="46"/>
      <c r="K9" s="46"/>
      <c r="L9" s="46"/>
      <c r="M9" s="46"/>
      <c r="N9" s="46"/>
      <c r="O9" s="46"/>
      <c r="P9" s="46"/>
      <c r="Q9" s="46"/>
      <c r="R9" s="46"/>
      <c r="S9" s="46"/>
      <c r="T9" s="46"/>
      <c r="U9" s="46"/>
      <c r="V9" s="46"/>
      <c r="W9" s="46"/>
    </row>
    <row r="10" spans="1:23" x14ac:dyDescent="0.25">
      <c r="A10" s="124" t="s">
        <v>1158</v>
      </c>
      <c r="B10">
        <v>11880.158899999999</v>
      </c>
      <c r="C10">
        <v>12264.847400000001</v>
      </c>
      <c r="D10">
        <v>6590.051300000001</v>
      </c>
      <c r="E10">
        <v>30735.057600000015</v>
      </c>
      <c r="F10" s="46"/>
      <c r="G10" s="46"/>
      <c r="H10" s="46"/>
      <c r="I10" s="46"/>
      <c r="J10" s="46"/>
      <c r="K10" s="46"/>
      <c r="L10" s="46"/>
      <c r="M10" s="46"/>
      <c r="N10" s="46"/>
      <c r="O10" s="46"/>
      <c r="P10" s="46"/>
      <c r="Q10" s="46"/>
      <c r="R10" s="46"/>
      <c r="S10" s="46"/>
      <c r="T10" s="46"/>
      <c r="U10" s="46"/>
      <c r="V10" s="46"/>
      <c r="W10" s="46"/>
    </row>
    <row r="11" spans="1:23" x14ac:dyDescent="0.25">
      <c r="A11" s="46"/>
      <c r="B11" s="46"/>
      <c r="C11" s="46"/>
      <c r="D11" s="46"/>
      <c r="E11" s="46"/>
      <c r="F11" s="46"/>
      <c r="G11" s="46"/>
      <c r="H11" s="46"/>
      <c r="I11" s="46"/>
      <c r="J11" s="46"/>
      <c r="K11" s="46"/>
      <c r="L11" s="46"/>
      <c r="M11" s="46"/>
      <c r="N11" s="46"/>
      <c r="O11" s="46"/>
      <c r="P11" s="46"/>
      <c r="Q11" s="46"/>
      <c r="R11" s="46"/>
      <c r="S11" s="46"/>
      <c r="T11" s="46"/>
      <c r="U11" s="46"/>
      <c r="V11" s="46"/>
      <c r="W11" s="46"/>
    </row>
    <row r="12" spans="1:23" x14ac:dyDescent="0.25">
      <c r="A12" s="46"/>
      <c r="B12" s="46"/>
      <c r="C12" s="46"/>
      <c r="D12" s="46"/>
      <c r="E12" s="46"/>
      <c r="F12" s="46"/>
      <c r="G12" s="46"/>
      <c r="H12" s="46"/>
      <c r="I12" s="46"/>
      <c r="J12" s="46"/>
      <c r="K12" s="46"/>
      <c r="L12" s="46"/>
      <c r="M12" s="46"/>
      <c r="N12" s="46"/>
      <c r="O12" s="46"/>
      <c r="P12" s="46"/>
      <c r="Q12" s="46"/>
      <c r="R12" s="46"/>
      <c r="S12" s="46"/>
      <c r="T12" s="46"/>
      <c r="U12" s="46"/>
      <c r="V12" s="46"/>
      <c r="W12" s="46"/>
    </row>
    <row r="13" spans="1:23" x14ac:dyDescent="0.25">
      <c r="A13" s="46"/>
      <c r="B13" s="46"/>
      <c r="C13" s="46"/>
      <c r="D13" s="46"/>
      <c r="E13" s="46"/>
      <c r="F13" s="46"/>
      <c r="G13" s="46"/>
      <c r="H13" s="46"/>
      <c r="I13" s="46"/>
      <c r="J13" s="46"/>
      <c r="K13" s="46"/>
      <c r="L13" s="46"/>
      <c r="M13" s="46"/>
      <c r="N13" s="46"/>
      <c r="O13" s="46"/>
      <c r="P13" s="46"/>
      <c r="Q13" s="46"/>
      <c r="R13" s="46"/>
      <c r="S13" s="46"/>
      <c r="T13" s="46"/>
      <c r="U13" s="46"/>
      <c r="V13" s="46"/>
      <c r="W13" s="46"/>
    </row>
    <row r="14" spans="1:23" x14ac:dyDescent="0.25">
      <c r="A14" s="46"/>
      <c r="B14" s="46"/>
      <c r="C14" s="46"/>
      <c r="D14" s="46"/>
      <c r="E14" s="46"/>
      <c r="F14" s="46"/>
      <c r="G14" s="46"/>
      <c r="H14" s="46"/>
      <c r="I14" s="46"/>
      <c r="J14" s="46"/>
      <c r="K14" s="46"/>
      <c r="L14" s="46"/>
      <c r="M14" s="46"/>
      <c r="N14" s="46"/>
      <c r="O14" s="46"/>
      <c r="P14" s="46"/>
      <c r="Q14" s="46"/>
      <c r="R14" s="46"/>
      <c r="S14" s="46"/>
      <c r="T14" s="46"/>
      <c r="U14" s="46"/>
      <c r="V14" s="46"/>
      <c r="W14" s="46"/>
    </row>
    <row r="15" spans="1:23" x14ac:dyDescent="0.25">
      <c r="A15" s="46"/>
      <c r="B15" s="46"/>
      <c r="C15" s="46"/>
      <c r="D15" s="46"/>
      <c r="E15" s="46"/>
      <c r="F15" s="46"/>
      <c r="G15" s="46"/>
      <c r="H15" s="46"/>
      <c r="I15" s="46"/>
      <c r="J15" s="46"/>
      <c r="K15" s="46"/>
      <c r="L15" s="46"/>
      <c r="M15" s="46"/>
      <c r="N15" s="46"/>
      <c r="O15" s="46"/>
      <c r="P15" s="46"/>
      <c r="Q15" s="46"/>
      <c r="R15" s="46"/>
      <c r="S15" s="46"/>
      <c r="T15" s="46"/>
      <c r="U15" s="46"/>
      <c r="V15" s="46"/>
      <c r="W15" s="46"/>
    </row>
    <row r="16" spans="1:23" x14ac:dyDescent="0.25">
      <c r="A16" s="46"/>
      <c r="B16" s="46"/>
      <c r="C16" s="46"/>
      <c r="D16" s="46"/>
      <c r="E16" s="46"/>
      <c r="F16" s="46"/>
      <c r="G16" s="46"/>
      <c r="H16" s="46"/>
      <c r="I16" s="46"/>
      <c r="J16" s="46"/>
      <c r="K16" s="46"/>
      <c r="L16" s="46"/>
      <c r="M16" s="46"/>
      <c r="N16" s="46"/>
      <c r="O16" s="46"/>
      <c r="P16" s="46"/>
      <c r="Q16" s="46"/>
      <c r="R16" s="46"/>
      <c r="S16" s="46"/>
      <c r="T16" s="46"/>
      <c r="U16" s="46"/>
      <c r="V16" s="46"/>
      <c r="W16" s="46"/>
    </row>
    <row r="17" spans="1:23" x14ac:dyDescent="0.25">
      <c r="A17" s="46"/>
      <c r="B17" s="46"/>
      <c r="C17" s="46"/>
      <c r="D17" s="46"/>
      <c r="E17" s="46"/>
      <c r="F17" s="46"/>
      <c r="G17" s="46"/>
      <c r="H17" s="46"/>
      <c r="I17" s="46"/>
      <c r="J17" s="46"/>
      <c r="K17" s="46"/>
      <c r="L17" s="46"/>
      <c r="M17" s="46"/>
      <c r="N17" s="46"/>
      <c r="O17" s="46"/>
      <c r="P17" s="46"/>
      <c r="Q17" s="46"/>
      <c r="R17" s="46"/>
      <c r="S17" s="46"/>
      <c r="T17" s="46"/>
      <c r="U17" s="46"/>
      <c r="V17" s="46"/>
      <c r="W17" s="46"/>
    </row>
    <row r="18" spans="1:23" x14ac:dyDescent="0.25">
      <c r="A18" s="46"/>
      <c r="B18" s="46"/>
      <c r="C18" s="46"/>
      <c r="D18" s="46"/>
      <c r="E18" s="46"/>
      <c r="F18" s="46"/>
      <c r="G18" s="46"/>
      <c r="H18" s="46"/>
      <c r="I18" s="46"/>
      <c r="J18" s="46"/>
      <c r="K18" s="46"/>
      <c r="L18" s="46"/>
      <c r="M18" s="46"/>
      <c r="N18" s="46"/>
      <c r="O18" s="46"/>
      <c r="P18" s="46"/>
      <c r="Q18" s="46"/>
      <c r="R18" s="46"/>
      <c r="S18" s="46"/>
      <c r="T18" s="46"/>
      <c r="U18" s="46"/>
      <c r="V18" s="46"/>
      <c r="W18" s="46"/>
    </row>
    <row r="19" spans="1:23" x14ac:dyDescent="0.25">
      <c r="A19" s="46"/>
      <c r="B19" s="46"/>
      <c r="C19" s="46"/>
      <c r="D19" s="46"/>
      <c r="E19" s="46"/>
      <c r="F19" s="46"/>
      <c r="G19" s="46"/>
      <c r="H19" s="46"/>
      <c r="I19" s="46"/>
      <c r="J19" s="46"/>
      <c r="K19" s="46"/>
      <c r="L19" s="46"/>
      <c r="M19" s="46"/>
      <c r="N19" s="46"/>
      <c r="O19" s="46"/>
      <c r="P19" s="46"/>
      <c r="Q19" s="46"/>
      <c r="R19" s="46"/>
      <c r="S19" s="46"/>
      <c r="T19" s="46"/>
      <c r="U19" s="46"/>
      <c r="V19" s="46"/>
      <c r="W19" s="46"/>
    </row>
    <row r="20" spans="1:23" x14ac:dyDescent="0.25">
      <c r="A20" s="46"/>
      <c r="B20" s="46"/>
      <c r="C20" s="46"/>
      <c r="D20" s="46"/>
      <c r="E20" s="46"/>
      <c r="F20" s="46"/>
      <c r="G20" s="46"/>
      <c r="H20" s="46"/>
      <c r="I20" s="46"/>
      <c r="J20" s="46"/>
      <c r="K20" s="46"/>
      <c r="L20" s="46"/>
      <c r="M20" s="46"/>
      <c r="N20" s="46"/>
      <c r="O20" s="46"/>
      <c r="P20" s="46"/>
      <c r="Q20" s="46"/>
      <c r="R20" s="46"/>
      <c r="S20" s="46"/>
      <c r="T20" s="46"/>
      <c r="U20" s="46"/>
      <c r="V20" s="46"/>
      <c r="W20" s="46"/>
    </row>
    <row r="21" spans="1:23" x14ac:dyDescent="0.25">
      <c r="A21" s="46"/>
      <c r="B21" s="46"/>
      <c r="C21" s="46"/>
      <c r="D21" s="46"/>
      <c r="E21" s="46"/>
      <c r="F21" s="46"/>
      <c r="G21" s="46"/>
      <c r="H21" s="46"/>
      <c r="I21" s="46"/>
      <c r="J21" s="46"/>
      <c r="K21" s="46"/>
      <c r="L21" s="46"/>
      <c r="M21" s="46"/>
      <c r="N21" s="46"/>
      <c r="O21" s="46"/>
      <c r="P21" s="46"/>
      <c r="Q21" s="46"/>
      <c r="R21" s="46"/>
      <c r="S21" s="46"/>
      <c r="T21" s="46"/>
      <c r="U21" s="46"/>
      <c r="V21" s="46"/>
      <c r="W21" s="46"/>
    </row>
    <row r="22" spans="1:23" x14ac:dyDescent="0.25">
      <c r="A22" s="46"/>
      <c r="B22" s="46"/>
      <c r="C22" s="46"/>
      <c r="D22" s="46"/>
      <c r="E22" s="46"/>
      <c r="F22" s="46"/>
      <c r="G22" s="46"/>
      <c r="H22" s="46"/>
      <c r="I22" s="46"/>
      <c r="J22" s="46"/>
      <c r="K22" s="46"/>
      <c r="L22" s="46"/>
      <c r="M22" s="46"/>
      <c r="N22" s="46"/>
      <c r="O22" s="46"/>
      <c r="P22" s="46"/>
      <c r="Q22" s="46"/>
      <c r="R22" s="46"/>
      <c r="S22" s="46"/>
      <c r="T22" s="46"/>
      <c r="U22" s="46"/>
      <c r="V22" s="46"/>
      <c r="W22" s="46"/>
    </row>
    <row r="23" spans="1:23" x14ac:dyDescent="0.25">
      <c r="A23" s="46"/>
      <c r="B23" s="46"/>
      <c r="C23" s="46"/>
      <c r="D23" s="46"/>
      <c r="E23" s="46"/>
      <c r="F23" s="46"/>
      <c r="G23" s="46"/>
      <c r="H23" s="46"/>
      <c r="I23" s="46"/>
      <c r="J23" s="46"/>
      <c r="K23" s="46"/>
      <c r="L23" s="46"/>
      <c r="M23" s="46"/>
      <c r="N23" s="46"/>
      <c r="O23" s="46"/>
      <c r="P23" s="46"/>
      <c r="Q23" s="46"/>
      <c r="R23" s="46"/>
      <c r="S23" s="46"/>
      <c r="T23" s="46"/>
      <c r="U23" s="46"/>
      <c r="V23" s="46"/>
      <c r="W23" s="46"/>
    </row>
    <row r="24" spans="1:23" x14ac:dyDescent="0.25">
      <c r="A24" s="46"/>
      <c r="B24" s="46"/>
      <c r="C24" s="46"/>
      <c r="D24" s="46"/>
      <c r="E24" s="46"/>
      <c r="F24" s="46"/>
      <c r="G24" s="46"/>
      <c r="H24" s="46"/>
      <c r="I24" s="46"/>
    </row>
  </sheetData>
  <conditionalFormatting pivot="1" sqref="E4:E9">
    <cfRule type="dataBar" priority="1">
      <dataBar>
        <cfvo type="min"/>
        <cfvo type="max"/>
        <color rgb="FFFFB628"/>
      </dataBar>
      <extLst>
        <ext xmlns:x14="http://schemas.microsoft.com/office/spreadsheetml/2009/9/main" uri="{B025F937-C7B1-47D3-B67F-A62EFF666E3E}">
          <x14:id>{A327D2A5-675D-4F15-A417-CFAA803331C7}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A327D2A5-675D-4F15-A417-CFAA803331C7}">
            <x14:dataBar minLength="0" maxLength="100" gradient="0">
              <x14:cfvo type="autoMin"/>
              <x14:cfvo type="max"/>
              <x14:negativeFillColor rgb="FFFF0000"/>
              <x14:axisColor rgb="FF000000"/>
            </x14:dataBar>
          </x14:cfRule>
          <xm:sqref>E4:E9</xm:sqref>
        </x14:conditionalFormatting>
      </x14:conditionalFormattings>
    </ext>
    <ext xmlns:x14="http://schemas.microsoft.com/office/spreadsheetml/2009/9/main" uri="{05C60535-1F16-4fd2-B633-F4F36F0B64E0}">
      <x14:sparklineGroups xmlns:xm="http://schemas.microsoft.com/office/excel/2006/main">
        <x14:sparklineGroup manualMax="0" manualMin="0" displayEmptyCellsAs="gap" xr2:uid="{E700F5F5-EE32-4633-A209-8A58CDE1EA93}">
          <x14:colorSeries rgb="FF376092"/>
          <x14:colorNegative rgb="FFD00000"/>
          <x14:colorAxis rgb="FF000000"/>
          <x14:colorMarkers rgb="FFD00000"/>
          <x14:colorFirst rgb="FFD00000"/>
          <x14:colorLast rgb="FFD00000"/>
          <x14:colorHigh rgb="FFD00000"/>
          <x14:colorLow rgb="FFD00000"/>
          <x14:sparklines>
            <x14:sparkline>
              <xm:f>'pivot perf care'!B4:D4</xm:f>
              <xm:sqref>F4</xm:sqref>
            </x14:sparkline>
            <x14:sparkline>
              <xm:f>'pivot perf care'!B5:D5</xm:f>
              <xm:sqref>F5</xm:sqref>
            </x14:sparkline>
            <x14:sparkline>
              <xm:f>'pivot perf care'!B6:D6</xm:f>
              <xm:sqref>F6</xm:sqref>
            </x14:sparkline>
            <x14:sparkline>
              <xm:f>'pivot perf care'!B7:D7</xm:f>
              <xm:sqref>F7</xm:sqref>
            </x14:sparkline>
            <x14:sparkline>
              <xm:f>'pivot perf care'!B8:D8</xm:f>
              <xm:sqref>F8</xm:sqref>
            </x14:sparkline>
            <x14:sparkline>
              <xm:f>'pivot perf care'!B9:D9</xm:f>
              <xm:sqref>F9</xm:sqref>
            </x14:sparkline>
          </x14:sparklines>
        </x14:sparklineGroup>
      </x14:sparklineGroups>
    </ex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AA9DE-BE19-4E82-8869-17A885284E81}">
  <sheetPr codeName="Sheet2"/>
  <dimension ref="A1:P28"/>
  <sheetViews>
    <sheetView topLeftCell="A3" workbookViewId="0">
      <selection activeCell="E20" sqref="E20"/>
    </sheetView>
  </sheetViews>
  <sheetFormatPr defaultRowHeight="15" x14ac:dyDescent="0.25"/>
  <cols>
    <col min="1" max="1" width="45.28515625" bestFit="1" customWidth="1"/>
    <col min="2" max="2" width="17.85546875" bestFit="1" customWidth="1"/>
    <col min="3" max="3" width="11.5703125" style="46" bestFit="1" customWidth="1"/>
    <col min="4" max="4" width="19.42578125" bestFit="1" customWidth="1"/>
    <col min="5" max="5" width="17.85546875" bestFit="1" customWidth="1"/>
    <col min="6" max="6" width="6.140625" bestFit="1" customWidth="1"/>
    <col min="7" max="7" width="7.140625" bestFit="1" customWidth="1"/>
    <col min="8" max="19" width="6.140625" bestFit="1" customWidth="1"/>
    <col min="20" max="20" width="7.5703125" bestFit="1" customWidth="1"/>
    <col min="21" max="31" width="6.140625" bestFit="1" customWidth="1"/>
    <col min="32" max="32" width="7.140625" bestFit="1" customWidth="1"/>
    <col min="33" max="37" width="6.140625" bestFit="1" customWidth="1"/>
    <col min="38" max="38" width="11.5703125" bestFit="1" customWidth="1"/>
    <col min="39" max="41" width="4" bestFit="1" customWidth="1"/>
    <col min="42" max="42" width="3" bestFit="1" customWidth="1"/>
    <col min="43" max="43" width="7.5703125" bestFit="1" customWidth="1"/>
    <col min="44" max="46" width="4" bestFit="1" customWidth="1"/>
    <col min="47" max="49" width="3" bestFit="1" customWidth="1"/>
    <col min="50" max="50" width="4" bestFit="1" customWidth="1"/>
    <col min="51" max="55" width="3" bestFit="1" customWidth="1"/>
    <col min="56" max="56" width="7.5703125" bestFit="1" customWidth="1"/>
    <col min="57" max="57" width="6.5703125" bestFit="1" customWidth="1"/>
    <col min="58" max="62" width="3" bestFit="1" customWidth="1"/>
    <col min="63" max="63" width="6.5703125" bestFit="1" customWidth="1"/>
    <col min="64" max="67" width="3" bestFit="1" customWidth="1"/>
    <col min="68" max="68" width="7.5703125" bestFit="1" customWidth="1"/>
    <col min="69" max="73" width="3" bestFit="1" customWidth="1"/>
    <col min="74" max="74" width="22.85546875" bestFit="1" customWidth="1"/>
    <col min="75" max="75" width="16.5703125" bestFit="1" customWidth="1"/>
  </cols>
  <sheetData>
    <row r="1" spans="1:16" ht="15.75" x14ac:dyDescent="0.25">
      <c r="A1" s="154" t="s">
        <v>1192</v>
      </c>
      <c r="D1" s="46"/>
      <c r="E1" s="46"/>
      <c r="F1" s="46"/>
      <c r="G1" s="46"/>
      <c r="H1" s="46"/>
      <c r="I1" s="46"/>
      <c r="J1" s="46"/>
      <c r="K1" s="46"/>
      <c r="L1" s="46"/>
      <c r="M1" s="46"/>
      <c r="N1" s="46"/>
      <c r="O1" s="46"/>
      <c r="P1" s="46"/>
    </row>
    <row r="2" spans="1:16" x14ac:dyDescent="0.25">
      <c r="A2" s="123" t="s">
        <v>878</v>
      </c>
      <c r="B2" t="s" vm="3">
        <v>1179</v>
      </c>
      <c r="D2" s="46"/>
      <c r="E2" s="46"/>
      <c r="F2" s="46"/>
      <c r="G2" s="46"/>
      <c r="H2" s="46"/>
      <c r="I2" s="46"/>
      <c r="J2" s="46"/>
      <c r="K2" s="46"/>
      <c r="L2" s="46"/>
      <c r="M2" s="46"/>
      <c r="N2" s="46"/>
      <c r="O2" s="46"/>
      <c r="P2" s="46"/>
    </row>
    <row r="3" spans="1:16" x14ac:dyDescent="0.25">
      <c r="D3" s="46"/>
      <c r="E3" s="46"/>
      <c r="F3" s="46"/>
      <c r="G3" s="46"/>
      <c r="H3" s="46"/>
      <c r="I3" s="46"/>
      <c r="J3" s="46"/>
      <c r="K3" s="46"/>
      <c r="L3" s="46"/>
      <c r="M3" s="46"/>
      <c r="N3" s="46"/>
      <c r="O3" s="46"/>
      <c r="P3" s="46"/>
    </row>
    <row r="4" spans="1:16" x14ac:dyDescent="0.25">
      <c r="A4" s="123" t="s">
        <v>1156</v>
      </c>
      <c r="B4" t="s">
        <v>1157</v>
      </c>
      <c r="D4" s="123" t="s">
        <v>1156</v>
      </c>
      <c r="E4" t="s">
        <v>1157</v>
      </c>
      <c r="F4" s="46"/>
      <c r="G4" s="46"/>
      <c r="H4" s="46"/>
      <c r="I4" s="46"/>
      <c r="J4" s="46"/>
      <c r="K4" s="46"/>
      <c r="L4" s="46"/>
      <c r="M4" s="46"/>
      <c r="N4" s="46"/>
      <c r="O4" s="46"/>
      <c r="P4" s="46"/>
    </row>
    <row r="5" spans="1:16" x14ac:dyDescent="0.25">
      <c r="A5" s="124" t="s">
        <v>1181</v>
      </c>
      <c r="B5" s="155">
        <v>0.40101264359841726</v>
      </c>
      <c r="D5" s="124" t="s">
        <v>714</v>
      </c>
      <c r="E5" s="155">
        <v>0.36451346681564395</v>
      </c>
      <c r="F5" s="46"/>
      <c r="G5" s="46"/>
      <c r="H5" s="46"/>
      <c r="I5" s="46"/>
      <c r="J5" s="46"/>
      <c r="K5" s="46"/>
      <c r="L5" s="46"/>
      <c r="M5" s="46"/>
      <c r="N5" s="46"/>
      <c r="O5" s="46"/>
      <c r="P5" s="46"/>
    </row>
    <row r="6" spans="1:16" x14ac:dyDescent="0.25">
      <c r="A6" s="124" t="s">
        <v>1188</v>
      </c>
      <c r="B6" s="155">
        <v>0.23970732156462166</v>
      </c>
      <c r="D6" s="124" t="s">
        <v>791</v>
      </c>
      <c r="E6" s="155">
        <v>0.21789470614798317</v>
      </c>
      <c r="F6" s="46"/>
      <c r="G6" s="46"/>
      <c r="H6" s="46"/>
      <c r="I6" s="46"/>
      <c r="J6" s="46"/>
      <c r="K6" s="46"/>
      <c r="L6" s="46"/>
      <c r="M6" s="46"/>
      <c r="N6" s="46"/>
      <c r="O6" s="46"/>
      <c r="P6" s="46"/>
    </row>
    <row r="7" spans="1:16" x14ac:dyDescent="0.25">
      <c r="A7" s="124" t="s">
        <v>1186</v>
      </c>
      <c r="B7" s="155">
        <v>6.1153659169281879E-2</v>
      </c>
      <c r="D7" s="124" t="s">
        <v>744</v>
      </c>
      <c r="E7" s="155">
        <v>9.3177038694604197E-2</v>
      </c>
      <c r="F7" s="46"/>
      <c r="G7" s="46"/>
      <c r="H7" s="46"/>
      <c r="I7" s="46"/>
      <c r="J7" s="46"/>
      <c r="K7" s="46"/>
      <c r="L7" s="46"/>
      <c r="M7" s="46"/>
      <c r="N7" s="46"/>
      <c r="O7" s="46"/>
      <c r="P7" s="46"/>
    </row>
    <row r="8" spans="1:16" x14ac:dyDescent="0.25">
      <c r="A8" s="124" t="s">
        <v>1183</v>
      </c>
      <c r="B8" s="155">
        <v>5.5618151126825395E-2</v>
      </c>
      <c r="D8" s="124" t="s">
        <v>803</v>
      </c>
      <c r="E8" s="155">
        <v>6.022601502639624E-2</v>
      </c>
      <c r="F8" s="46"/>
      <c r="G8" s="46"/>
      <c r="H8" s="46"/>
      <c r="I8" s="46"/>
      <c r="J8" s="46"/>
      <c r="K8" s="46"/>
      <c r="L8" s="46"/>
      <c r="M8" s="46"/>
      <c r="N8" s="46"/>
      <c r="O8" s="46"/>
      <c r="P8" s="46"/>
    </row>
    <row r="9" spans="1:16" x14ac:dyDescent="0.25">
      <c r="A9" s="124" t="s">
        <v>1185</v>
      </c>
      <c r="B9" s="155">
        <v>5.2130827106753076E-2</v>
      </c>
      <c r="D9" s="124" t="s">
        <v>715</v>
      </c>
      <c r="E9" s="155">
        <v>5.558760470051477E-2</v>
      </c>
      <c r="F9" s="46"/>
      <c r="G9" s="46"/>
      <c r="H9" s="46"/>
      <c r="I9" s="46"/>
      <c r="J9" s="46"/>
      <c r="K9" s="46"/>
      <c r="L9" s="46"/>
      <c r="M9" s="46"/>
      <c r="N9" s="46"/>
      <c r="O9" s="46"/>
      <c r="P9" s="46"/>
    </row>
    <row r="10" spans="1:16" x14ac:dyDescent="0.25">
      <c r="A10" s="124" t="s">
        <v>1184</v>
      </c>
      <c r="B10" s="155">
        <v>4.3734136804095436E-2</v>
      </c>
      <c r="D10" s="124" t="s">
        <v>725</v>
      </c>
      <c r="E10" s="155">
        <v>5.0555924878563002E-2</v>
      </c>
      <c r="F10" s="46"/>
      <c r="G10" s="46"/>
      <c r="H10" s="46"/>
      <c r="I10" s="46"/>
      <c r="J10" s="46"/>
      <c r="K10" s="46"/>
      <c r="L10" s="46"/>
      <c r="M10" s="46"/>
      <c r="N10" s="46"/>
      <c r="O10" s="46"/>
      <c r="P10" s="46"/>
    </row>
    <row r="11" spans="1:16" x14ac:dyDescent="0.25">
      <c r="A11" s="124" t="s">
        <v>1187</v>
      </c>
      <c r="B11" s="155">
        <v>4.2958989863573271E-2</v>
      </c>
      <c r="D11" s="124" t="s">
        <v>767</v>
      </c>
      <c r="E11" s="155">
        <v>4.7581973081669282E-2</v>
      </c>
      <c r="F11" s="46"/>
      <c r="G11" s="46"/>
      <c r="H11" s="46"/>
      <c r="I11" s="46"/>
      <c r="J11" s="46"/>
      <c r="K11" s="46"/>
      <c r="L11" s="46"/>
      <c r="M11" s="46"/>
      <c r="N11" s="46"/>
      <c r="O11" s="46"/>
      <c r="P11" s="46"/>
    </row>
    <row r="12" spans="1:16" x14ac:dyDescent="0.25">
      <c r="A12" s="124" t="s">
        <v>1182</v>
      </c>
      <c r="B12" s="155">
        <v>3.564252665530402E-2</v>
      </c>
      <c r="D12" s="124" t="s">
        <v>750</v>
      </c>
      <c r="E12" s="155">
        <v>3.9048969093729111E-2</v>
      </c>
      <c r="F12" s="46"/>
      <c r="G12" s="46"/>
      <c r="H12" s="46"/>
      <c r="I12" s="46"/>
      <c r="J12" s="46"/>
      <c r="K12" s="46"/>
      <c r="L12" s="46"/>
      <c r="M12" s="46"/>
      <c r="N12" s="46"/>
      <c r="O12" s="46"/>
      <c r="P12" s="46"/>
    </row>
    <row r="13" spans="1:16" x14ac:dyDescent="0.25">
      <c r="A13" s="124" t="s">
        <v>1189</v>
      </c>
      <c r="B13" s="155">
        <v>3.4841895903295207E-2</v>
      </c>
      <c r="D13" s="124" t="s">
        <v>805</v>
      </c>
      <c r="E13" s="155">
        <v>3.8398930160180068E-2</v>
      </c>
      <c r="F13" s="46"/>
      <c r="G13" s="46"/>
      <c r="H13" s="46"/>
      <c r="I13" s="46"/>
      <c r="J13" s="46"/>
      <c r="K13" s="46"/>
      <c r="L13" s="46"/>
      <c r="M13" s="46"/>
      <c r="N13" s="46"/>
      <c r="O13" s="46"/>
      <c r="P13" s="46"/>
    </row>
    <row r="14" spans="1:16" x14ac:dyDescent="0.25">
      <c r="A14" s="124" t="s">
        <v>1180</v>
      </c>
      <c r="B14" s="155">
        <v>3.31998482078327E-2</v>
      </c>
      <c r="D14" s="124" t="s">
        <v>771</v>
      </c>
      <c r="E14" s="155">
        <v>3.3015371400716247E-2</v>
      </c>
      <c r="F14" s="46"/>
      <c r="G14" s="46"/>
      <c r="H14" s="46"/>
      <c r="I14" s="46"/>
      <c r="J14" s="46"/>
      <c r="K14" s="46"/>
      <c r="L14" s="46"/>
      <c r="M14" s="46"/>
      <c r="N14" s="46"/>
      <c r="O14" s="46"/>
      <c r="P14" s="46"/>
    </row>
    <row r="15" spans="1:16" x14ac:dyDescent="0.25">
      <c r="A15" s="124" t="s">
        <v>1158</v>
      </c>
      <c r="B15" s="155">
        <v>1</v>
      </c>
      <c r="D15" s="124" t="s">
        <v>1158</v>
      </c>
      <c r="E15" s="155">
        <v>1</v>
      </c>
      <c r="F15" s="46"/>
      <c r="G15" s="46"/>
      <c r="H15" s="46"/>
      <c r="I15" s="46"/>
      <c r="J15" s="46"/>
      <c r="K15" s="46"/>
      <c r="L15" s="46"/>
      <c r="M15" s="46"/>
      <c r="N15" s="46"/>
      <c r="O15" s="46"/>
      <c r="P15" s="46"/>
    </row>
    <row r="16" spans="1:16" x14ac:dyDescent="0.25">
      <c r="D16" s="46"/>
      <c r="E16" s="46"/>
      <c r="F16" s="46"/>
      <c r="G16" s="46"/>
      <c r="H16" s="46"/>
      <c r="I16" s="46"/>
      <c r="J16" s="46"/>
      <c r="K16" s="46"/>
      <c r="L16" s="46"/>
      <c r="M16" s="46"/>
      <c r="N16" s="46"/>
      <c r="O16" s="46"/>
      <c r="P16" s="46"/>
    </row>
    <row r="17" spans="1:6" x14ac:dyDescent="0.25">
      <c r="A17" s="123" t="s">
        <v>1156</v>
      </c>
      <c r="B17" t="s">
        <v>1157</v>
      </c>
      <c r="C17" t="s">
        <v>1160</v>
      </c>
    </row>
    <row r="18" spans="1:6" x14ac:dyDescent="0.25">
      <c r="A18" s="124" t="s">
        <v>51</v>
      </c>
      <c r="B18" s="155">
        <v>0.51292298295959016</v>
      </c>
      <c r="C18" s="252">
        <v>1815.6596999999999</v>
      </c>
    </row>
    <row r="19" spans="1:6" x14ac:dyDescent="0.25">
      <c r="A19" s="124" t="s">
        <v>23</v>
      </c>
      <c r="B19" s="155">
        <v>0.22144106078576722</v>
      </c>
      <c r="C19" s="252">
        <v>745.33579999999995</v>
      </c>
    </row>
    <row r="20" spans="1:6" x14ac:dyDescent="0.25">
      <c r="A20" s="124" t="s">
        <v>191</v>
      </c>
      <c r="B20" s="155">
        <v>9.4110285597291982E-2</v>
      </c>
      <c r="C20" s="252">
        <v>316.5532</v>
      </c>
    </row>
    <row r="21" spans="1:6" x14ac:dyDescent="0.25">
      <c r="A21" s="124" t="s">
        <v>479</v>
      </c>
      <c r="B21" s="155">
        <v>9.0546351926484123E-2</v>
      </c>
      <c r="C21" s="252">
        <v>329.44319999999999</v>
      </c>
    </row>
    <row r="22" spans="1:6" x14ac:dyDescent="0.25">
      <c r="A22" s="124" t="s">
        <v>243</v>
      </c>
      <c r="B22" s="155">
        <v>8.0979318730866293E-2</v>
      </c>
      <c r="C22" s="252">
        <v>290.55259999999998</v>
      </c>
    </row>
    <row r="23" spans="1:6" x14ac:dyDescent="0.25">
      <c r="A23" s="124" t="s">
        <v>1158</v>
      </c>
      <c r="B23" s="155">
        <v>1</v>
      </c>
      <c r="C23" s="252">
        <v>3497.5445</v>
      </c>
    </row>
    <row r="24" spans="1:6" x14ac:dyDescent="0.25">
      <c r="C24"/>
    </row>
    <row r="25" spans="1:6" x14ac:dyDescent="0.25">
      <c r="C25"/>
    </row>
    <row r="26" spans="1:6" x14ac:dyDescent="0.25">
      <c r="C26"/>
      <c r="D26" s="46"/>
      <c r="E26" s="46"/>
      <c r="F26" s="46"/>
    </row>
    <row r="27" spans="1:6" x14ac:dyDescent="0.25">
      <c r="C27"/>
      <c r="D27" s="46"/>
      <c r="E27" s="46"/>
      <c r="F27" s="46"/>
    </row>
    <row r="28" spans="1:6" x14ac:dyDescent="0.25">
      <c r="C28"/>
    </row>
  </sheetData>
  <conditionalFormatting pivot="1" sqref="B18:B22">
    <cfRule type="dataBar" priority="2">
      <dataBar>
        <cfvo type="min"/>
        <cfvo type="max"/>
        <color rgb="FF638EC6"/>
      </dataBar>
      <extLst>
        <ext xmlns:x14="http://schemas.microsoft.com/office/spreadsheetml/2009/9/main" uri="{B025F937-C7B1-47D3-B67F-A62EFF666E3E}">
          <x14:id>{20722D86-B27A-4B5E-8534-A92200609FF9}</x14:id>
        </ext>
      </extLst>
    </cfRule>
  </conditionalFormatting>
  <conditionalFormatting pivot="1" sqref="B18:B22">
    <cfRule type="top10" dxfId="17" priority="1" percent="1" rank="10"/>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20722D86-B27A-4B5E-8534-A92200609FF9}">
            <x14:dataBar minLength="0" maxLength="100" gradient="0">
              <x14:cfvo type="autoMin"/>
              <x14:cfvo type="autoMax"/>
              <x14:negativeFillColor rgb="FFFF0000"/>
              <x14:axisColor rgb="FF000000"/>
            </x14:dataBar>
          </x14:cfRule>
          <xm:sqref>B18:B22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7BCF5-298D-46A0-AABC-32FEF9F4FC5E}">
  <sheetPr codeName="Sheet10"/>
  <dimension ref="B1:F13"/>
  <sheetViews>
    <sheetView zoomScaleNormal="100" zoomScaleSheetLayoutView="100" workbookViewId="0">
      <selection activeCell="R2" sqref="R2"/>
    </sheetView>
  </sheetViews>
  <sheetFormatPr defaultRowHeight="15" x14ac:dyDescent="0.25"/>
  <cols>
    <col min="1" max="1" width="2" style="46" customWidth="1"/>
    <col min="2" max="2" width="16.42578125" style="46" bestFit="1" customWidth="1"/>
    <col min="3" max="3" width="18.5703125" style="46" bestFit="1" customWidth="1"/>
    <col min="4" max="4" width="10.28515625" style="46" bestFit="1" customWidth="1"/>
    <col min="5" max="5" width="16.42578125" style="46" bestFit="1" customWidth="1"/>
    <col min="6" max="6" width="10" style="46" bestFit="1" customWidth="1"/>
    <col min="7" max="16384" width="9.140625" style="46"/>
  </cols>
  <sheetData>
    <row r="1" spans="2:6" ht="23.25" x14ac:dyDescent="0.35">
      <c r="B1" s="134" t="s">
        <v>1219</v>
      </c>
    </row>
    <row r="2" spans="2:6" x14ac:dyDescent="0.25">
      <c r="B2" s="230" t="s">
        <v>1227</v>
      </c>
      <c r="C2" s="231" t="str">
        <f>INDEX('pivot by mfg.'!$A$4:$A$8,MATCH(MAX('pivot by mfg.'!$C$4:$C$8),'pivot by mfg.'!$C$4:$C$8,0))</f>
        <v xml:space="preserve"> VigaLife</v>
      </c>
      <c r="D2" s="232"/>
      <c r="E2" s="233" t="s">
        <v>1225</v>
      </c>
      <c r="F2" s="234">
        <f>Mgf!D4</f>
        <v>32432.398499999999</v>
      </c>
    </row>
    <row r="3" spans="2:6" x14ac:dyDescent="0.25">
      <c r="B3" s="235" t="s">
        <v>1223</v>
      </c>
      <c r="C3" s="236" t="str">
        <f>INDEX('pivot brand'!$A$5:$A$9,MATCH(MAX('pivot brand'!$C$5:$C$9),'pivot brand'!$C$5:$C$9,0))</f>
        <v>BABY CREMA (VigaLife)</v>
      </c>
      <c r="D3" s="237"/>
      <c r="E3" s="238" t="s">
        <v>1220</v>
      </c>
      <c r="F3" s="239">
        <f>Mgf!G4</f>
        <v>1188013.216</v>
      </c>
    </row>
    <row r="4" spans="2:6" x14ac:dyDescent="0.25">
      <c r="B4" s="235" t="s">
        <v>1222</v>
      </c>
      <c r="C4" s="236" t="str">
        <f>INDEX('pivot perf care'!$A$4:$A$9,MATCH(MAX('pivot perf care'!$C$4:$C$9),'pivot perf care'!$C$4:$C$9,0))</f>
        <v>PH BALANCED</v>
      </c>
      <c r="D4" s="237"/>
      <c r="E4" s="238" t="s">
        <v>1226</v>
      </c>
      <c r="F4" s="240" t="str">
        <f>INDEX(Table6[Package Size],MATCH(MAX(Table6[Count of Volume 2022]),Table6[Count of Volume 2022],0))</f>
        <v>72</v>
      </c>
    </row>
    <row r="5" spans="2:6" x14ac:dyDescent="0.25">
      <c r="B5" s="241" t="s">
        <v>1224</v>
      </c>
      <c r="C5" s="242">
        <f>Mgf!$D$3</f>
        <v>3.2341622320586405E-2</v>
      </c>
      <c r="D5" s="243"/>
      <c r="E5" s="244" t="s">
        <v>1221</v>
      </c>
      <c r="F5" s="245">
        <f>F2/F3</f>
        <v>2.729969503975619E-2</v>
      </c>
    </row>
    <row r="7" spans="2:6" x14ac:dyDescent="0.25">
      <c r="B7" s="246" t="s">
        <v>714</v>
      </c>
      <c r="C7" s="247">
        <v>3428.0437000000002</v>
      </c>
    </row>
    <row r="8" spans="2:6" x14ac:dyDescent="0.25">
      <c r="B8" s="248" t="s">
        <v>791</v>
      </c>
      <c r="C8" s="249">
        <v>2101.7049999999999</v>
      </c>
    </row>
    <row r="9" spans="2:6" x14ac:dyDescent="0.25">
      <c r="B9" s="248" t="s">
        <v>744</v>
      </c>
      <c r="C9" s="249">
        <v>822.98099999999999</v>
      </c>
    </row>
    <row r="10" spans="2:6" x14ac:dyDescent="0.25">
      <c r="B10" s="248" t="s">
        <v>803</v>
      </c>
      <c r="C10" s="249">
        <v>529.41039999999998</v>
      </c>
    </row>
    <row r="11" spans="2:6" ht="24.75" x14ac:dyDescent="0.25">
      <c r="B11" s="250" t="s">
        <v>715</v>
      </c>
      <c r="C11" s="251">
        <v>507.3048</v>
      </c>
    </row>
    <row r="13" spans="2:6" x14ac:dyDescent="0.25">
      <c r="B13" s="45"/>
      <c r="C13" s="253"/>
      <c r="D13" s="254"/>
    </row>
  </sheetData>
  <conditionalFormatting sqref="C7:C11">
    <cfRule type="dataBar" priority="3">
      <dataBar>
        <cfvo type="min"/>
        <cfvo type="max"/>
        <color rgb="FF63C384"/>
      </dataBar>
      <extLst>
        <ext xmlns:x14="http://schemas.microsoft.com/office/spreadsheetml/2009/9/main" uri="{B025F937-C7B1-47D3-B67F-A62EFF666E3E}">
          <x14:id>{14A0B1C5-34CA-4AAF-81A9-FBF132EFBA68}</x14:id>
        </ext>
      </extLst>
    </cfRule>
  </conditionalFormatting>
  <conditionalFormatting sqref="C13">
    <cfRule type="top10" dxfId="0" priority="1" percent="1" rank="10"/>
    <cfRule type="dataBar" priority="2">
      <dataBar>
        <cfvo type="min"/>
        <cfvo type="max"/>
        <color rgb="FF638EC6"/>
      </dataBar>
      <extLst>
        <ext xmlns:x14="http://schemas.microsoft.com/office/spreadsheetml/2009/9/main" uri="{B025F937-C7B1-47D3-B67F-A62EFF666E3E}">
          <x14:id>{8ACA59EC-D8E0-41AF-991A-03CD67017E59}</x14:id>
        </ext>
      </extLst>
    </cfRule>
  </conditionalFormatting>
  <pageMargins left="0.7" right="0.7" top="0.75" bottom="0.75" header="0.3" footer="0.3"/>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4" id="{D11DF537-47CC-4CFB-B210-6320C7008E7F}">
            <x14:iconSet iconSet="3Stars">
              <x14:cfvo type="percent">
                <xm:f>0</xm:f>
              </x14:cfvo>
              <x14:cfvo type="percent">
                <xm:f>33</xm:f>
              </x14:cfvo>
              <x14:cfvo type="percent">
                <xm:f>67</xm:f>
              </x14:cfvo>
            </x14:iconSet>
          </x14:cfRule>
          <xm:sqref>B3</xm:sqref>
        </x14:conditionalFormatting>
        <x14:conditionalFormatting xmlns:xm="http://schemas.microsoft.com/office/excel/2006/main">
          <x14:cfRule type="iconSet" priority="6" id="{D3847996-BF6D-444C-B0F2-1F261379387A}">
            <x14:iconSet iconSet="3Triangles">
              <x14:cfvo type="percent">
                <xm:f>0</xm:f>
              </x14:cfvo>
              <x14:cfvo type="percent">
                <xm:f>33</xm:f>
              </x14:cfvo>
              <x14:cfvo type="percent">
                <xm:f>67</xm:f>
              </x14:cfvo>
            </x14:iconSet>
          </x14:cfRule>
          <xm:sqref>C5</xm:sqref>
        </x14:conditionalFormatting>
        <x14:conditionalFormatting xmlns:xm="http://schemas.microsoft.com/office/excel/2006/main">
          <x14:cfRule type="dataBar" id="{14A0B1C5-34CA-4AAF-81A9-FBF132EFBA68}">
            <x14:dataBar minLength="0" maxLength="100" gradient="0">
              <x14:cfvo type="autoMin"/>
              <x14:cfvo type="autoMax"/>
              <x14:negativeFillColor rgb="FFFF0000"/>
              <x14:axisColor rgb="FF000000"/>
            </x14:dataBar>
          </x14:cfRule>
          <xm:sqref>C7:C11</xm:sqref>
        </x14:conditionalFormatting>
        <x14:conditionalFormatting xmlns:xm="http://schemas.microsoft.com/office/excel/2006/main">
          <x14:cfRule type="dataBar" id="{8ACA59EC-D8E0-41AF-991A-03CD67017E59}">
            <x14:dataBar minLength="0" maxLength="100" gradient="0">
              <x14:cfvo type="autoMin"/>
              <x14:cfvo type="autoMax"/>
              <x14:negativeFillColor rgb="FFFF0000"/>
              <x14:axisColor rgb="FF000000"/>
            </x14:dataBar>
          </x14:cfRule>
          <xm:sqref>C13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2AFA3DC7-C2C5-42D7-A1E0-95F12C259E70}">
  <ds:schemaRefs/>
</ds:datastoreItem>
</file>

<file path=customXml/itemProps2.xml><?xml version="1.0" encoding="utf-8"?>
<ds:datastoreItem xmlns:ds="http://schemas.openxmlformats.org/officeDocument/2006/customXml" ds:itemID="{411594E2-3367-45AD-99C5-F7491ECB348A}">
  <ds:schemaRefs/>
</ds:datastoreItem>
</file>

<file path=customXml/itemProps3.xml><?xml version="1.0" encoding="utf-8"?>
<ds:datastoreItem xmlns:ds="http://schemas.openxmlformats.org/officeDocument/2006/customXml" ds:itemID="{919924C3-534F-43F9-A3CB-C5C1927252F6}">
  <ds:schemaRefs/>
</ds:datastoreItem>
</file>

<file path=customXml/itemProps4.xml><?xml version="1.0" encoding="utf-8"?>
<ds:datastoreItem xmlns:ds="http://schemas.openxmlformats.org/officeDocument/2006/customXml" ds:itemID="{1259D36C-8313-4F59-8C86-C9434B847A81}">
  <ds:schemaRefs/>
</ds:datastoreItem>
</file>

<file path=customXml/itemProps5.xml><?xml version="1.0" encoding="utf-8"?>
<ds:datastoreItem xmlns:ds="http://schemas.openxmlformats.org/officeDocument/2006/customXml" ds:itemID="{89365FEE-8163-4CE3-BA3C-610FA5102F43}">
  <ds:schemaRefs>
    <ds:schemaRef ds:uri="http://schemas.microsoft.com/DataMashup"/>
  </ds:schemaRefs>
</ds:datastoreItem>
</file>

<file path=customXml/itemProps6.xml><?xml version="1.0" encoding="utf-8"?>
<ds:datastoreItem xmlns:ds="http://schemas.openxmlformats.org/officeDocument/2006/customXml" ds:itemID="{2B5813AE-D365-4F57-80B1-1B67C193DED1}">
  <ds:schemaRefs/>
</ds:datastoreItem>
</file>

<file path=customXml/itemProps7.xml><?xml version="1.0" encoding="utf-8"?>
<ds:datastoreItem xmlns:ds="http://schemas.openxmlformats.org/officeDocument/2006/customXml" ds:itemID="{F3BFB74F-3995-4AD4-8F7B-BB660415AA12}">
  <ds:schemaRefs/>
</ds:datastoreItem>
</file>

<file path=customXml/itemProps8.xml><?xml version="1.0" encoding="utf-8"?>
<ds:datastoreItem xmlns:ds="http://schemas.openxmlformats.org/officeDocument/2006/customXml" ds:itemID="{F268F5F5-093B-4D25-9631-148C97E48AA0}">
  <ds:schemaRefs/>
</ds:datastoreItem>
</file>

<file path=customXml/itemProps9.xml><?xml version="1.0" encoding="utf-8"?>
<ds:datastoreItem xmlns:ds="http://schemas.openxmlformats.org/officeDocument/2006/customXml" ds:itemID="{FCE71748-D806-4922-B6DD-20B509E5BF77}">
  <ds:schemaRefs/>
</ds:datastoreItem>
</file>

<file path=customXml/itemProps10.xml><?xml version="1.0" encoding="utf-8"?>
<ds:datastoreItem xmlns:ds="http://schemas.openxmlformats.org/officeDocument/2006/customXml" ds:itemID="{B1D743E1-87B4-4A1F-8008-8B43A99D4047}">
  <ds:schemaRefs/>
</ds:datastoreItem>
</file>

<file path=customXml/itemProps11.xml><?xml version="1.0" encoding="utf-8"?>
<ds:datastoreItem xmlns:ds="http://schemas.openxmlformats.org/officeDocument/2006/customXml" ds:itemID="{E24D57B4-2BB8-45F8-AE9C-A24CF751D58F}">
  <ds:schemaRefs/>
</ds:datastoreItem>
</file>

<file path=customXml/itemProps12.xml><?xml version="1.0" encoding="utf-8"?>
<ds:datastoreItem xmlns:ds="http://schemas.openxmlformats.org/officeDocument/2006/customXml" ds:itemID="{F6E8BF8E-B02C-4B66-B718-E8669A650192}">
  <ds:schemaRefs/>
</ds:datastoreItem>
</file>

<file path=customXml/itemProps13.xml><?xml version="1.0" encoding="utf-8"?>
<ds:datastoreItem xmlns:ds="http://schemas.openxmlformats.org/officeDocument/2006/customXml" ds:itemID="{810D3250-C023-4491-9ADE-08AD24DA2DC6}">
  <ds:schemaRefs/>
</ds:datastoreItem>
</file>

<file path=customXml/itemProps14.xml><?xml version="1.0" encoding="utf-8"?>
<ds:datastoreItem xmlns:ds="http://schemas.openxmlformats.org/officeDocument/2006/customXml" ds:itemID="{241A0307-A4C6-4728-B2C4-EE3F23CA979E}">
  <ds:schemaRefs/>
</ds:datastoreItem>
</file>

<file path=customXml/itemProps15.xml><?xml version="1.0" encoding="utf-8"?>
<ds:datastoreItem xmlns:ds="http://schemas.openxmlformats.org/officeDocument/2006/customXml" ds:itemID="{B6AB313A-7CE9-4EBF-9262-7C612C94C8F9}">
  <ds:schemaRefs/>
</ds:datastoreItem>
</file>

<file path=customXml/itemProps16.xml><?xml version="1.0" encoding="utf-8"?>
<ds:datastoreItem xmlns:ds="http://schemas.openxmlformats.org/officeDocument/2006/customXml" ds:itemID="{B9DE2C16-456B-4796-AF61-A265CBEA8593}">
  <ds:schemaRefs/>
</ds:datastoreItem>
</file>

<file path=customXml/itemProps17.xml><?xml version="1.0" encoding="utf-8"?>
<ds:datastoreItem xmlns:ds="http://schemas.openxmlformats.org/officeDocument/2006/customXml" ds:itemID="{D811A47E-6E50-4F14-9D6C-F3B32D5B851C}">
  <ds:schemaRefs/>
</ds:datastoreItem>
</file>

<file path=customXml/itemProps18.xml><?xml version="1.0" encoding="utf-8"?>
<ds:datastoreItem xmlns:ds="http://schemas.openxmlformats.org/officeDocument/2006/customXml" ds:itemID="{54C87222-7ED2-4A41-B6C8-434566ADB545}">
  <ds:schemaRefs/>
</ds:datastoreItem>
</file>

<file path=customXml/itemProps19.xml><?xml version="1.0" encoding="utf-8"?>
<ds:datastoreItem xmlns:ds="http://schemas.openxmlformats.org/officeDocument/2006/customXml" ds:itemID="{D222338C-0D1C-4F3C-ABCC-33753330A947}">
  <ds:schemaRefs/>
</ds:datastoreItem>
</file>

<file path=customXml/itemProps20.xml><?xml version="1.0" encoding="utf-8"?>
<ds:datastoreItem xmlns:ds="http://schemas.openxmlformats.org/officeDocument/2006/customXml" ds:itemID="{071236F0-D242-4119-8039-98C2D777C769}">
  <ds:schemaRefs/>
</ds:datastoreItem>
</file>

<file path=customXml/itemProps21.xml><?xml version="1.0" encoding="utf-8"?>
<ds:datastoreItem xmlns:ds="http://schemas.openxmlformats.org/officeDocument/2006/customXml" ds:itemID="{F5FE4819-991F-4B5A-88E4-C780FB2AFF55}">
  <ds:schemaRefs/>
</ds:datastoreItem>
</file>

<file path=customXml/itemProps22.xml><?xml version="1.0" encoding="utf-8"?>
<ds:datastoreItem xmlns:ds="http://schemas.openxmlformats.org/officeDocument/2006/customXml" ds:itemID="{A1CDF61E-628A-4588-9231-63E6C9F2EC5E}">
  <ds:schemaRefs/>
</ds:datastoreItem>
</file>

<file path=customXml/itemProps23.xml><?xml version="1.0" encoding="utf-8"?>
<ds:datastoreItem xmlns:ds="http://schemas.openxmlformats.org/officeDocument/2006/customXml" ds:itemID="{7C24BD56-A4A2-47E8-B48F-BF7926BEB4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RawData</vt:lpstr>
      <vt:lpstr>BabycareClean</vt:lpstr>
      <vt:lpstr>data segregation</vt:lpstr>
      <vt:lpstr>Mgf</vt:lpstr>
      <vt:lpstr>pivot by mfg.</vt:lpstr>
      <vt:lpstr>Brand</vt:lpstr>
      <vt:lpstr>pivot brand</vt:lpstr>
      <vt:lpstr>productdetails</vt:lpstr>
      <vt:lpstr>Vol_size</vt:lpstr>
      <vt:lpstr>pivot perf care</vt:lpstr>
      <vt:lpstr>Market share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NewPC20</dc:creator>
  <cp:lastModifiedBy>Aishwarya Raut</cp:lastModifiedBy>
  <dcterms:created xsi:type="dcterms:W3CDTF">2023-06-30T13:31:58Z</dcterms:created>
  <dcterms:modified xsi:type="dcterms:W3CDTF">2026-02-14T08:00:42Z</dcterms:modified>
</cp:coreProperties>
</file>